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70C464A3-B790-4E3D-A7BF-BB7478CFB162}" xr6:coauthVersionLast="47" xr6:coauthVersionMax="47" xr10:uidLastSave="{00000000-0000-0000-0000-000000000000}"/>
  <bookViews>
    <workbookView xWindow="-120" yWindow="-120" windowWidth="29040" windowHeight="15720" tabRatio="650" firstSheet="1" activeTab="1" xr2:uid="{B804AE85-D568-497C-A9FE-D3D1E6C68946}"/>
  </bookViews>
  <sheets>
    <sheet name="CONFIG" sheetId="13" state="hidden" r:id="rId1"/>
    <sheet name="INICIO" sheetId="14" r:id="rId2"/>
    <sheet name="FACTURA" sheetId="3" r:id="rId3"/>
    <sheet name="FACTURA_BACKUP" sheetId="20" state="hidden" r:id="rId4"/>
    <sheet name="STOCK" sheetId="1" r:id="rId5"/>
    <sheet name="HISTORICO" sheetId="4" r:id="rId6"/>
    <sheet name="INGRESOS" sheetId="10" r:id="rId7"/>
    <sheet name="CIERRE_DE_CAJA" sheetId="18" state="veryHidden" r:id="rId8"/>
    <sheet name="FACTURAS EMITIDAS" sheetId="5" r:id="rId9"/>
    <sheet name="CLIENTES" sheetId="7" r:id="rId10"/>
    <sheet name="CIERRE_CAJA" sheetId="23" state="hidden" r:id="rId11"/>
    <sheet name="PAGOS" sheetId="16" r:id="rId12"/>
    <sheet name="BALANCE" sheetId="19" state="hidden" r:id="rId13"/>
    <sheet name="RETIROS" sheetId="22" state="hidden" r:id="rId14"/>
    <sheet name="CAJEROS" sheetId="21" state="hidden" r:id="rId15"/>
  </sheets>
  <functionGroups builtInGroupCount="19"/>
  <definedNames>
    <definedName name="_xlnm._FilterDatabase" localSheetId="5" hidden="1">HISTORICO!$G$1:$G$1</definedName>
    <definedName name="_xlnm._FilterDatabase" localSheetId="6" hidden="1">INGRESOS!$A$1:$I$1</definedName>
    <definedName name="_xlnm._FilterDatabase" localSheetId="4" hidden="1">STOCK!$A$1:$K$1</definedName>
    <definedName name="ABRIR_FACTURA">CONFIG!$B$11</definedName>
    <definedName name="_xlnm.Print_Area" localSheetId="10">CIERRE_CAJA!$A$1:$G$20</definedName>
    <definedName name="BUSCADOR_PRODUCTO">CONFIG!$B$16</definedName>
    <definedName name="C_FECHA" localSheetId="12">BALANCE!$D$4</definedName>
    <definedName name="C_FECHA" localSheetId="10">CIERRE_CAJA!$D$4</definedName>
    <definedName name="C_FECHA">CIERRE_DE_CAJA!$D$4</definedName>
    <definedName name="CLIENTE" localSheetId="3">FACTURA_BACKUP!$D$8</definedName>
    <definedName name="CLIENTE">FACTURA!$D$8</definedName>
    <definedName name="CONSULTA_FC">'FACTURAS EMITIDAS'!$G$2</definedName>
    <definedName name="CORREO" localSheetId="3">FACTURA_BACKUP!$D$11</definedName>
    <definedName name="CORREO">FACTURA!$D$11</definedName>
    <definedName name="DECLARADO" localSheetId="12">BALANCE!#REF!</definedName>
    <definedName name="DECLARADO" localSheetId="10">CIERRE_CAJA!$F$11</definedName>
    <definedName name="DESCUENTO" localSheetId="3">FACTURA_BACKUP!$G$38</definedName>
    <definedName name="DESCUENTO">FACTURA!$G$37</definedName>
    <definedName name="DESDE">INICIO!$B$9</definedName>
    <definedName name="DETALLE" localSheetId="12">BALANCE!#REF!</definedName>
    <definedName name="DETALLE" localSheetId="10">CIERRE_CAJA!$E$18</definedName>
    <definedName name="DETALLE">CIERRE_DE_CAJA!$E$18</definedName>
    <definedName name="DEVOLUCIONES">INICIO!$D$16</definedName>
    <definedName name="DEVOLUCIONES_TOTAL" localSheetId="10">CIERRE_CAJA!$F$13</definedName>
    <definedName name="DEVOLUCIONES_TOTAL">CIERRE_DE_CAJA!$F$13</definedName>
    <definedName name="DIFERENCIA">CONFIG!$D$12</definedName>
    <definedName name="DIFERENCIAS">CIERRE_CAJA!$F$15</definedName>
    <definedName name="EMPRESA" localSheetId="3">FACTURA_BACKUP!$B$1</definedName>
    <definedName name="EMPRESA">FACTURA!$B$1</definedName>
    <definedName name="FECHA_BASE">BALANCE!$B$5</definedName>
    <definedName name="FECHA_CIERRE" localSheetId="12">BALANCE!$E$5</definedName>
    <definedName name="FECHA_CIERRE" localSheetId="10">CIERRE_CAJA!$B$5</definedName>
    <definedName name="FECHA_CIERRE">CIERRE_DE_CAJA!$B$5</definedName>
    <definedName name="HASTA">INICIO!$D$9</definedName>
    <definedName name="HOY">CONFIG!$D$10</definedName>
    <definedName name="IDENTIFICACION" localSheetId="3">FACTURA_BACKUP!$D$9</definedName>
    <definedName name="IDENTIFICACION">FACTURA!$D$9</definedName>
    <definedName name="IMPRESION_FACTURA" localSheetId="3">FACTURA_BACKUP!$A$1:$H$42</definedName>
    <definedName name="IMPRESION_FACTURA">FACTURA!$A$1:$H$43</definedName>
    <definedName name="INICIO_AUTOMATICO">CONFIG!$B$10</definedName>
    <definedName name="LB_PENDIENTE" localSheetId="3">FACTURA_BACKUP!$F$45</definedName>
    <definedName name="LB_PENDIENTE">FACTURA!$F$46</definedName>
    <definedName name="LB_SENA" localSheetId="3">FACTURA_BACKUP!$F$43</definedName>
    <definedName name="LB_SENA">FACTURA!$F$44</definedName>
    <definedName name="MAYORISTA">CONFIG!$B$9</definedName>
    <definedName name="MODO_PUNTO_DE_VENTA">CONFIG!$B$17</definedName>
    <definedName name="MONEDA">CONFIG!$B$15</definedName>
    <definedName name="NFACTURA" localSheetId="3">FACTURA_BACKUP!$G$10</definedName>
    <definedName name="NFACTURA">FACTURA!$G$10</definedName>
    <definedName name="PARRAFO_1">CONFIG!$B$6</definedName>
    <definedName name="PARRAFO_2">CONFIG!$B$7</definedName>
    <definedName name="PARRAFO_3">CONFIG!$B$8</definedName>
    <definedName name="PENDIENTE" localSheetId="3">FACTURA_BACKUP!$G$45</definedName>
    <definedName name="PENDIENTE">FACTURA!$G$46</definedName>
    <definedName name="PRECIOS_MINORISTA">CONFIG!$B$13</definedName>
    <definedName name="PROX_FACTURA">'FACTURAS EMITIDAS'!$G$1</definedName>
    <definedName name="PROXIMO_INGRESO">INGRESOS!$I$1</definedName>
    <definedName name="RETIROS">CONFIG!$D$13</definedName>
    <definedName name="SENA" localSheetId="3">FACTURA_BACKUP!$G$43</definedName>
    <definedName name="SENA">FACTURA!$G$44</definedName>
    <definedName name="SIN_ITEM" localSheetId="14">CAJEROS!$D$1:$F$1</definedName>
    <definedName name="SIN_ITEM" localSheetId="9">CLIENTES!$D$1:$G$1</definedName>
    <definedName name="SIN_ITEM" localSheetId="11">PAGOS!$D$1:$F$1</definedName>
    <definedName name="SIN_ITEM" localSheetId="13">RETIROS!$D$1:$F$1</definedName>
    <definedName name="SIN_ITEM">'FACTURAS EMITIDAS'!$I$1:$M$1</definedName>
    <definedName name="STOCK_NEGATIVO">CONFIG!$B$14</definedName>
    <definedName name="SUBTITULO">CONFIG!$B$5</definedName>
    <definedName name="SUBTOTAL" localSheetId="9">CLIENTES!#REF!</definedName>
    <definedName name="SUBTOTAL">'FACTURAS EMITIDAS'!$H$2</definedName>
    <definedName name="TELEFONO" localSheetId="3">FACTURA_BACKUP!$D$10</definedName>
    <definedName name="TELEFONO">FACTURA!$D$10</definedName>
    <definedName name="TITULO">CONFIG!$B$4</definedName>
    <definedName name="TOTAL" localSheetId="3">FACTURA_BACKUP!$G$36</definedName>
    <definedName name="TOTAL">FACTURA!$G$35</definedName>
    <definedName name="TOTAL_FINAL" localSheetId="3">FACTURA_BACKUP!$G$41</definedName>
    <definedName name="TOTAL_FINAL">FACTURA!$G$42</definedName>
    <definedName name="TOTAL_HOY">INICIO!$H$8</definedName>
    <definedName name="TOTAL_SIMPLE">CONFIG!$B$12</definedName>
    <definedName name="TOTAL_VENTAS_CALCULADO">INICIO!$D$18</definedName>
    <definedName name="TOTALIZADOR">CONFIG!$B$12</definedName>
    <definedName name="VENTAS">CONFIG!$D$11</definedName>
    <definedName name="VENTAS_CIERRE" localSheetId="12">BALANCE!$E$9</definedName>
    <definedName name="VENTAS_CIERRE" localSheetId="10">CIERRE_CAJA!$C$9</definedName>
    <definedName name="VENTAS_CIERRE">CIERRE_DE_CAJA!$C$9</definedName>
    <definedName name="VENTAS_CUENTAS" localSheetId="12">BALANCE!$E$13</definedName>
    <definedName name="VENTAS_CUENTAS" localSheetId="10">CIERRE_CAJA!$C$13</definedName>
    <definedName name="VENTAS_CUENTAS">CIERRE_DE_CAJA!$C$13</definedName>
    <definedName name="VENTAS_EFECTIVO">CIERRE_CAJA!$F$9</definedName>
    <definedName name="VENTAS_HOY">INICIO!$F$8</definedName>
    <definedName name="VENTAS_TARJETA" localSheetId="12">BALANCE!$E$15</definedName>
    <definedName name="VENTAS_TARJETA" localSheetId="10">CIERRE_CAJA!$C$15</definedName>
    <definedName name="VENTAS_TARJETA">CIERRE_DE_CAJA!$C$15</definedName>
    <definedName name="VENTAS_TRASNFER" localSheetId="12">BALANCE!$E$11</definedName>
    <definedName name="VENTAS_TRASNFER" localSheetId="10">CIERRE_CAJA!$C$11</definedName>
    <definedName name="VENTAS_TRASNFER">CIERRE_DE_CAJA!$C$11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0" i="3" l="1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D2" i="7"/>
  <c r="I3" i="1"/>
  <c r="K3" i="1" s="1"/>
  <c r="I2" i="1"/>
  <c r="K2" i="1" s="1"/>
  <c r="E12" i="3"/>
  <c r="D6" i="3"/>
  <c r="C15" i="23"/>
  <c r="C13" i="23"/>
  <c r="C11" i="23"/>
  <c r="C9" i="23"/>
  <c r="F9" i="23" s="1"/>
  <c r="F13" i="23"/>
  <c r="F11" i="23"/>
  <c r="D16" i="14"/>
  <c r="F11" i="18"/>
  <c r="F13" i="18"/>
  <c r="C15" i="18"/>
  <c r="C13" i="18"/>
  <c r="C11" i="18"/>
  <c r="C9" i="18"/>
  <c r="C16" i="14"/>
  <c r="E16" i="14"/>
  <c r="F15" i="23" l="1"/>
  <c r="E18" i="23" s="1"/>
  <c r="E9" i="19"/>
  <c r="C17" i="23" l="1"/>
  <c r="D1" i="7"/>
  <c r="J103" i="3"/>
  <c r="J102" i="3"/>
  <c r="J101" i="3"/>
  <c r="B3" i="3" l="1"/>
  <c r="D11" i="13" l="1"/>
  <c r="D13" i="13"/>
  <c r="J6927" i="20" l="1"/>
  <c r="J6926" i="20"/>
  <c r="J6925" i="20"/>
  <c r="J6924" i="20"/>
  <c r="J6923" i="20"/>
  <c r="J6922" i="20"/>
  <c r="J6921" i="20"/>
  <c r="J6920" i="20"/>
  <c r="J6919" i="20"/>
  <c r="J6918" i="20"/>
  <c r="J6917" i="20"/>
  <c r="J6916" i="20"/>
  <c r="J6915" i="20"/>
  <c r="J6914" i="20"/>
  <c r="J6913" i="20"/>
  <c r="J6912" i="20"/>
  <c r="J6911" i="20"/>
  <c r="J6910" i="20"/>
  <c r="J6909" i="20"/>
  <c r="J6908" i="20"/>
  <c r="J6907" i="20"/>
  <c r="J6906" i="20"/>
  <c r="J6905" i="20"/>
  <c r="J6904" i="20"/>
  <c r="J6903" i="20"/>
  <c r="J6902" i="20"/>
  <c r="J6901" i="20"/>
  <c r="J6900" i="20"/>
  <c r="J6899" i="20"/>
  <c r="J6898" i="20"/>
  <c r="J6897" i="20"/>
  <c r="J6896" i="20"/>
  <c r="J6895" i="20"/>
  <c r="J6894" i="20"/>
  <c r="J6893" i="20"/>
  <c r="J6892" i="20"/>
  <c r="J6891" i="20"/>
  <c r="J6890" i="20"/>
  <c r="J6889" i="20"/>
  <c r="J6888" i="20"/>
  <c r="J6887" i="20"/>
  <c r="J6886" i="20"/>
  <c r="J6885" i="20"/>
  <c r="J6884" i="20"/>
  <c r="J6883" i="20"/>
  <c r="J6882" i="20"/>
  <c r="J6881" i="20"/>
  <c r="J6880" i="20"/>
  <c r="J6879" i="20"/>
  <c r="J6878" i="20"/>
  <c r="J6877" i="20"/>
  <c r="J6876" i="20"/>
  <c r="J6875" i="20"/>
  <c r="J6874" i="20"/>
  <c r="J6873" i="20"/>
  <c r="J6872" i="20"/>
  <c r="J6871" i="20"/>
  <c r="J6870" i="20"/>
  <c r="J6869" i="20"/>
  <c r="J6868" i="20"/>
  <c r="J6867" i="20"/>
  <c r="J6866" i="20"/>
  <c r="J6865" i="20"/>
  <c r="J6864" i="20"/>
  <c r="J6863" i="20"/>
  <c r="J6862" i="20"/>
  <c r="J6861" i="20"/>
  <c r="J6860" i="20"/>
  <c r="J6859" i="20"/>
  <c r="J6858" i="20"/>
  <c r="J6857" i="20"/>
  <c r="J6856" i="20"/>
  <c r="J6855" i="20"/>
  <c r="J6854" i="20"/>
  <c r="J6853" i="20"/>
  <c r="J6852" i="20"/>
  <c r="J6851" i="20"/>
  <c r="J6850" i="20"/>
  <c r="J6849" i="20"/>
  <c r="J6848" i="20"/>
  <c r="J6847" i="20"/>
  <c r="J6846" i="20"/>
  <c r="J6845" i="20"/>
  <c r="J6844" i="20"/>
  <c r="J6843" i="20"/>
  <c r="J6842" i="20"/>
  <c r="J6841" i="20"/>
  <c r="J6840" i="20"/>
  <c r="J6839" i="20"/>
  <c r="J6838" i="20"/>
  <c r="J6837" i="20"/>
  <c r="J6836" i="20"/>
  <c r="J6835" i="20"/>
  <c r="J6834" i="20"/>
  <c r="J6833" i="20"/>
  <c r="J6832" i="20"/>
  <c r="J6831" i="20"/>
  <c r="J6830" i="20"/>
  <c r="J6829" i="20"/>
  <c r="J6828" i="20"/>
  <c r="J6827" i="20"/>
  <c r="J6826" i="20"/>
  <c r="J6825" i="20"/>
  <c r="J6824" i="20"/>
  <c r="J6823" i="20"/>
  <c r="J6822" i="20"/>
  <c r="J6821" i="20"/>
  <c r="J6820" i="20"/>
  <c r="J6819" i="20"/>
  <c r="J6818" i="20"/>
  <c r="J6817" i="20"/>
  <c r="J6816" i="20"/>
  <c r="J6815" i="20"/>
  <c r="J6814" i="20"/>
  <c r="J6813" i="20"/>
  <c r="J6812" i="20"/>
  <c r="J6811" i="20"/>
  <c r="J6810" i="20"/>
  <c r="J6809" i="20"/>
  <c r="J6808" i="20"/>
  <c r="J6807" i="20"/>
  <c r="J6806" i="20"/>
  <c r="J6805" i="20"/>
  <c r="J6804" i="20"/>
  <c r="J6803" i="20"/>
  <c r="J6802" i="20"/>
  <c r="J6801" i="20"/>
  <c r="J6800" i="20"/>
  <c r="J6799" i="20"/>
  <c r="J6798" i="20"/>
  <c r="J6797" i="20"/>
  <c r="J6796" i="20"/>
  <c r="J6795" i="20"/>
  <c r="J6794" i="20"/>
  <c r="J6793" i="20"/>
  <c r="J6792" i="20"/>
  <c r="J6791" i="20"/>
  <c r="J6790" i="20"/>
  <c r="J6789" i="20"/>
  <c r="J6788" i="20"/>
  <c r="J6787" i="20"/>
  <c r="J6786" i="20"/>
  <c r="J6785" i="20"/>
  <c r="J6784" i="20"/>
  <c r="J6783" i="20"/>
  <c r="J6782" i="20"/>
  <c r="J6781" i="20"/>
  <c r="J6780" i="20"/>
  <c r="J6779" i="20"/>
  <c r="J6778" i="20"/>
  <c r="J6777" i="20"/>
  <c r="J6776" i="20"/>
  <c r="J6775" i="20"/>
  <c r="J6774" i="20"/>
  <c r="J6773" i="20"/>
  <c r="J6772" i="20"/>
  <c r="J6771" i="20"/>
  <c r="J6770" i="20"/>
  <c r="J6769" i="20"/>
  <c r="J6768" i="20"/>
  <c r="J6767" i="20"/>
  <c r="J6766" i="20"/>
  <c r="J6765" i="20"/>
  <c r="J6764" i="20"/>
  <c r="J6763" i="20"/>
  <c r="J6762" i="20"/>
  <c r="J6761" i="20"/>
  <c r="J6760" i="20"/>
  <c r="J6759" i="20"/>
  <c r="J6758" i="20"/>
  <c r="J6757" i="20"/>
  <c r="J6756" i="20"/>
  <c r="J6755" i="20"/>
  <c r="J6754" i="20"/>
  <c r="J6753" i="20"/>
  <c r="J6752" i="20"/>
  <c r="J6751" i="20"/>
  <c r="J6750" i="20"/>
  <c r="J6749" i="20"/>
  <c r="J6748" i="20"/>
  <c r="J6747" i="20"/>
  <c r="J6746" i="20"/>
  <c r="J6745" i="20"/>
  <c r="J6744" i="20"/>
  <c r="J6743" i="20"/>
  <c r="J6742" i="20"/>
  <c r="J6741" i="20"/>
  <c r="J6740" i="20"/>
  <c r="J6739" i="20"/>
  <c r="J6738" i="20"/>
  <c r="J6737" i="20"/>
  <c r="J6736" i="20"/>
  <c r="J6735" i="20"/>
  <c r="J6734" i="20"/>
  <c r="J6733" i="20"/>
  <c r="J6732" i="20"/>
  <c r="J6731" i="20"/>
  <c r="J6730" i="20"/>
  <c r="J6729" i="20"/>
  <c r="J6728" i="20"/>
  <c r="J6727" i="20"/>
  <c r="J6726" i="20"/>
  <c r="J6725" i="20"/>
  <c r="J6724" i="20"/>
  <c r="J6723" i="20"/>
  <c r="J6722" i="20"/>
  <c r="J6721" i="20"/>
  <c r="J6720" i="20"/>
  <c r="J6719" i="20"/>
  <c r="J6718" i="20"/>
  <c r="J6717" i="20"/>
  <c r="J6716" i="20"/>
  <c r="J6715" i="20"/>
  <c r="J6714" i="20"/>
  <c r="J6713" i="20"/>
  <c r="J6712" i="20"/>
  <c r="J6711" i="20"/>
  <c r="J6710" i="20"/>
  <c r="J6709" i="20"/>
  <c r="J6708" i="20"/>
  <c r="J6707" i="20"/>
  <c r="J6706" i="20"/>
  <c r="J6705" i="20"/>
  <c r="J6704" i="20"/>
  <c r="J6703" i="20"/>
  <c r="J6702" i="20"/>
  <c r="J6701" i="20"/>
  <c r="J6700" i="20"/>
  <c r="J6699" i="20"/>
  <c r="J6698" i="20"/>
  <c r="J6697" i="20"/>
  <c r="J6696" i="20"/>
  <c r="J6695" i="20"/>
  <c r="J6694" i="20"/>
  <c r="J6693" i="20"/>
  <c r="J6692" i="20"/>
  <c r="J6691" i="20"/>
  <c r="J6690" i="20"/>
  <c r="J6689" i="20"/>
  <c r="J6688" i="20"/>
  <c r="J6687" i="20"/>
  <c r="J6686" i="20"/>
  <c r="J6685" i="20"/>
  <c r="J6684" i="20"/>
  <c r="J6683" i="20"/>
  <c r="J6682" i="20"/>
  <c r="J6681" i="20"/>
  <c r="J6680" i="20"/>
  <c r="J6679" i="20"/>
  <c r="J6678" i="20"/>
  <c r="J6677" i="20"/>
  <c r="J6676" i="20"/>
  <c r="J6675" i="20"/>
  <c r="J6674" i="20"/>
  <c r="J6673" i="20"/>
  <c r="J6672" i="20"/>
  <c r="J6671" i="20"/>
  <c r="J6670" i="20"/>
  <c r="J6669" i="20"/>
  <c r="J6668" i="20"/>
  <c r="J6667" i="20"/>
  <c r="J6666" i="20"/>
  <c r="J6665" i="20"/>
  <c r="J6664" i="20"/>
  <c r="J6663" i="20"/>
  <c r="J6662" i="20"/>
  <c r="J6661" i="20"/>
  <c r="J6660" i="20"/>
  <c r="J6659" i="20"/>
  <c r="J6658" i="20"/>
  <c r="J6657" i="20"/>
  <c r="J6656" i="20"/>
  <c r="J6655" i="20"/>
  <c r="J6654" i="20"/>
  <c r="J6653" i="20"/>
  <c r="J6652" i="20"/>
  <c r="J6651" i="20"/>
  <c r="J6650" i="20"/>
  <c r="J6649" i="20"/>
  <c r="J6648" i="20"/>
  <c r="J6647" i="20"/>
  <c r="J6646" i="20"/>
  <c r="J6645" i="20"/>
  <c r="J6644" i="20"/>
  <c r="J6643" i="20"/>
  <c r="J6642" i="20"/>
  <c r="J6641" i="20"/>
  <c r="J6640" i="20"/>
  <c r="J6639" i="20"/>
  <c r="J6638" i="20"/>
  <c r="J6637" i="20"/>
  <c r="J6636" i="20"/>
  <c r="J6635" i="20"/>
  <c r="J6634" i="20"/>
  <c r="J6633" i="20"/>
  <c r="J6632" i="20"/>
  <c r="J6631" i="20"/>
  <c r="J6630" i="20"/>
  <c r="J6629" i="20"/>
  <c r="J6628" i="20"/>
  <c r="J6627" i="20"/>
  <c r="J6626" i="20"/>
  <c r="J6625" i="20"/>
  <c r="J6624" i="20"/>
  <c r="J6623" i="20"/>
  <c r="J6622" i="20"/>
  <c r="J6621" i="20"/>
  <c r="J6620" i="20"/>
  <c r="J6619" i="20"/>
  <c r="J6618" i="20"/>
  <c r="J6617" i="20"/>
  <c r="J6616" i="20"/>
  <c r="J6615" i="20"/>
  <c r="J6614" i="20"/>
  <c r="J6613" i="20"/>
  <c r="J6612" i="20"/>
  <c r="J6611" i="20"/>
  <c r="J6610" i="20"/>
  <c r="J6609" i="20"/>
  <c r="J6608" i="20"/>
  <c r="J6607" i="20"/>
  <c r="J6606" i="20"/>
  <c r="J6605" i="20"/>
  <c r="J6604" i="20"/>
  <c r="J6603" i="20"/>
  <c r="J6602" i="20"/>
  <c r="J6601" i="20"/>
  <c r="J6600" i="20"/>
  <c r="J6599" i="20"/>
  <c r="J6598" i="20"/>
  <c r="J6597" i="20"/>
  <c r="J6596" i="20"/>
  <c r="J6595" i="20"/>
  <c r="J6594" i="20"/>
  <c r="J6593" i="20"/>
  <c r="J6592" i="20"/>
  <c r="J6591" i="20"/>
  <c r="J6590" i="20"/>
  <c r="J6589" i="20"/>
  <c r="J6588" i="20"/>
  <c r="J6587" i="20"/>
  <c r="J6586" i="20"/>
  <c r="J6585" i="20"/>
  <c r="J6584" i="20"/>
  <c r="J6583" i="20"/>
  <c r="J6582" i="20"/>
  <c r="J6581" i="20"/>
  <c r="J6580" i="20"/>
  <c r="J6579" i="20"/>
  <c r="J6578" i="20"/>
  <c r="J6577" i="20"/>
  <c r="J6576" i="20"/>
  <c r="J6575" i="20"/>
  <c r="J6574" i="20"/>
  <c r="J6573" i="20"/>
  <c r="J6572" i="20"/>
  <c r="J6571" i="20"/>
  <c r="J6570" i="20"/>
  <c r="J6569" i="20"/>
  <c r="J6568" i="20"/>
  <c r="J6567" i="20"/>
  <c r="J6566" i="20"/>
  <c r="J6565" i="20"/>
  <c r="J6564" i="20"/>
  <c r="J6563" i="20"/>
  <c r="J6562" i="20"/>
  <c r="J6561" i="20"/>
  <c r="J6560" i="20"/>
  <c r="J6559" i="20"/>
  <c r="J6558" i="20"/>
  <c r="J6557" i="20"/>
  <c r="J6556" i="20"/>
  <c r="J6555" i="20"/>
  <c r="J6554" i="20"/>
  <c r="J6553" i="20"/>
  <c r="J6552" i="20"/>
  <c r="J6551" i="20"/>
  <c r="J6550" i="20"/>
  <c r="J6549" i="20"/>
  <c r="J6548" i="20"/>
  <c r="J6547" i="20"/>
  <c r="J6546" i="20"/>
  <c r="J6545" i="20"/>
  <c r="J6544" i="20"/>
  <c r="J6543" i="20"/>
  <c r="J6542" i="20"/>
  <c r="J6541" i="20"/>
  <c r="J6540" i="20"/>
  <c r="J6539" i="20"/>
  <c r="J6538" i="20"/>
  <c r="J6537" i="20"/>
  <c r="J6536" i="20"/>
  <c r="J6535" i="20"/>
  <c r="J6534" i="20"/>
  <c r="J6533" i="20"/>
  <c r="J6532" i="20"/>
  <c r="J6531" i="20"/>
  <c r="J6530" i="20"/>
  <c r="J6529" i="20"/>
  <c r="J6528" i="20"/>
  <c r="J6527" i="20"/>
  <c r="J6526" i="20"/>
  <c r="J6525" i="20"/>
  <c r="J6524" i="20"/>
  <c r="J6523" i="20"/>
  <c r="J6522" i="20"/>
  <c r="J6521" i="20"/>
  <c r="J6520" i="20"/>
  <c r="J6519" i="20"/>
  <c r="J6518" i="20"/>
  <c r="J6517" i="20"/>
  <c r="J6516" i="20"/>
  <c r="J6515" i="20"/>
  <c r="J6514" i="20"/>
  <c r="J6513" i="20"/>
  <c r="J6512" i="20"/>
  <c r="J6511" i="20"/>
  <c r="J6510" i="20"/>
  <c r="J6509" i="20"/>
  <c r="J6508" i="20"/>
  <c r="J6507" i="20"/>
  <c r="J6506" i="20"/>
  <c r="J6505" i="20"/>
  <c r="J6504" i="20"/>
  <c r="J6503" i="20"/>
  <c r="J6502" i="20"/>
  <c r="J6501" i="20"/>
  <c r="J6500" i="20"/>
  <c r="J6499" i="20"/>
  <c r="J6498" i="20"/>
  <c r="J6497" i="20"/>
  <c r="J6496" i="20"/>
  <c r="J6495" i="20"/>
  <c r="J6494" i="20"/>
  <c r="J6493" i="20"/>
  <c r="J6492" i="20"/>
  <c r="J6491" i="20"/>
  <c r="J6490" i="20"/>
  <c r="J6489" i="20"/>
  <c r="J6488" i="20"/>
  <c r="J6487" i="20"/>
  <c r="J6486" i="20"/>
  <c r="J6485" i="20"/>
  <c r="J6484" i="20"/>
  <c r="J6483" i="20"/>
  <c r="J6482" i="20"/>
  <c r="J6481" i="20"/>
  <c r="J6480" i="20"/>
  <c r="J6479" i="20"/>
  <c r="J6478" i="20"/>
  <c r="J6477" i="20"/>
  <c r="J6476" i="20"/>
  <c r="J6475" i="20"/>
  <c r="J6474" i="20"/>
  <c r="J6473" i="20"/>
  <c r="J6472" i="20"/>
  <c r="J6471" i="20"/>
  <c r="J6470" i="20"/>
  <c r="J6469" i="20"/>
  <c r="J6468" i="20"/>
  <c r="J6467" i="20"/>
  <c r="J6466" i="20"/>
  <c r="J6465" i="20"/>
  <c r="J6464" i="20"/>
  <c r="J6463" i="20"/>
  <c r="J6462" i="20"/>
  <c r="J6461" i="20"/>
  <c r="J6460" i="20"/>
  <c r="J6459" i="20"/>
  <c r="J6458" i="20"/>
  <c r="J6457" i="20"/>
  <c r="J6456" i="20"/>
  <c r="J6455" i="20"/>
  <c r="J6454" i="20"/>
  <c r="J6453" i="20"/>
  <c r="J6452" i="20"/>
  <c r="J6451" i="20"/>
  <c r="J6450" i="20"/>
  <c r="J6449" i="20"/>
  <c r="J6448" i="20"/>
  <c r="J6447" i="20"/>
  <c r="J6446" i="20"/>
  <c r="J6445" i="20"/>
  <c r="J6444" i="20"/>
  <c r="J6443" i="20"/>
  <c r="J6442" i="20"/>
  <c r="J6441" i="20"/>
  <c r="J6440" i="20"/>
  <c r="J6439" i="20"/>
  <c r="J6438" i="20"/>
  <c r="J6437" i="20"/>
  <c r="J6436" i="20"/>
  <c r="J6435" i="20"/>
  <c r="J6434" i="20"/>
  <c r="J6433" i="20"/>
  <c r="J6432" i="20"/>
  <c r="J6431" i="20"/>
  <c r="J6430" i="20"/>
  <c r="J6429" i="20"/>
  <c r="J6428" i="20"/>
  <c r="J6427" i="20"/>
  <c r="J6426" i="20"/>
  <c r="J6425" i="20"/>
  <c r="J6424" i="20"/>
  <c r="J6423" i="20"/>
  <c r="J6422" i="20"/>
  <c r="J6421" i="20"/>
  <c r="J6420" i="20"/>
  <c r="J6419" i="20"/>
  <c r="J6418" i="20"/>
  <c r="J6417" i="20"/>
  <c r="J6416" i="20"/>
  <c r="J6415" i="20"/>
  <c r="J6414" i="20"/>
  <c r="J6413" i="20"/>
  <c r="J6412" i="20"/>
  <c r="J6411" i="20"/>
  <c r="J6410" i="20"/>
  <c r="J6409" i="20"/>
  <c r="J6408" i="20"/>
  <c r="J6407" i="20"/>
  <c r="J6406" i="20"/>
  <c r="J6405" i="20"/>
  <c r="J6404" i="20"/>
  <c r="J6403" i="20"/>
  <c r="J6402" i="20"/>
  <c r="J6401" i="20"/>
  <c r="J6400" i="20"/>
  <c r="J6399" i="20"/>
  <c r="J6398" i="20"/>
  <c r="J6397" i="20"/>
  <c r="J6396" i="20"/>
  <c r="J6395" i="20"/>
  <c r="J6394" i="20"/>
  <c r="J6393" i="20"/>
  <c r="J6392" i="20"/>
  <c r="J6391" i="20"/>
  <c r="J6390" i="20"/>
  <c r="J6389" i="20"/>
  <c r="J6388" i="20"/>
  <c r="J6387" i="20"/>
  <c r="J6386" i="20"/>
  <c r="J6385" i="20"/>
  <c r="J6384" i="20"/>
  <c r="J6383" i="20"/>
  <c r="J6382" i="20"/>
  <c r="J6381" i="20"/>
  <c r="J6380" i="20"/>
  <c r="J6379" i="20"/>
  <c r="J6378" i="20"/>
  <c r="J6377" i="20"/>
  <c r="J6376" i="20"/>
  <c r="J6375" i="20"/>
  <c r="J6374" i="20"/>
  <c r="J6373" i="20"/>
  <c r="J6372" i="20"/>
  <c r="J6371" i="20"/>
  <c r="J6370" i="20"/>
  <c r="J6369" i="20"/>
  <c r="J6368" i="20"/>
  <c r="J6367" i="20"/>
  <c r="J6366" i="20"/>
  <c r="J6365" i="20"/>
  <c r="J6364" i="20"/>
  <c r="J6363" i="20"/>
  <c r="J6362" i="20"/>
  <c r="J6361" i="20"/>
  <c r="J6360" i="20"/>
  <c r="J6359" i="20"/>
  <c r="J6358" i="20"/>
  <c r="J6357" i="20"/>
  <c r="J6356" i="20"/>
  <c r="J6355" i="20"/>
  <c r="J6354" i="20"/>
  <c r="J6353" i="20"/>
  <c r="J6352" i="20"/>
  <c r="J6351" i="20"/>
  <c r="J6350" i="20"/>
  <c r="J6349" i="20"/>
  <c r="J6348" i="20"/>
  <c r="J6347" i="20"/>
  <c r="J6346" i="20"/>
  <c r="J6345" i="20"/>
  <c r="J6344" i="20"/>
  <c r="J6343" i="20"/>
  <c r="J6342" i="20"/>
  <c r="J6341" i="20"/>
  <c r="J6340" i="20"/>
  <c r="J6339" i="20"/>
  <c r="J6338" i="20"/>
  <c r="J6337" i="20"/>
  <c r="J6336" i="20"/>
  <c r="J6335" i="20"/>
  <c r="J6334" i="20"/>
  <c r="J6333" i="20"/>
  <c r="J6332" i="20"/>
  <c r="J6331" i="20"/>
  <c r="J6330" i="20"/>
  <c r="J6329" i="20"/>
  <c r="J6328" i="20"/>
  <c r="J6327" i="20"/>
  <c r="J6326" i="20"/>
  <c r="J6325" i="20"/>
  <c r="J6324" i="20"/>
  <c r="J6323" i="20"/>
  <c r="J6322" i="20"/>
  <c r="J6321" i="20"/>
  <c r="J6320" i="20"/>
  <c r="J6319" i="20"/>
  <c r="J6318" i="20"/>
  <c r="J6317" i="20"/>
  <c r="J6316" i="20"/>
  <c r="J6315" i="20"/>
  <c r="J6314" i="20"/>
  <c r="J6313" i="20"/>
  <c r="J6312" i="20"/>
  <c r="J6311" i="20"/>
  <c r="J6310" i="20"/>
  <c r="J6309" i="20"/>
  <c r="J6308" i="20"/>
  <c r="J6307" i="20"/>
  <c r="J6306" i="20"/>
  <c r="J6305" i="20"/>
  <c r="J6304" i="20"/>
  <c r="J6303" i="20"/>
  <c r="J6302" i="20"/>
  <c r="J6301" i="20"/>
  <c r="J6300" i="20"/>
  <c r="J6299" i="20"/>
  <c r="J6298" i="20"/>
  <c r="J6297" i="20"/>
  <c r="J6296" i="20"/>
  <c r="J6295" i="20"/>
  <c r="J6294" i="20"/>
  <c r="J6293" i="20"/>
  <c r="J6292" i="20"/>
  <c r="J6291" i="20"/>
  <c r="J6290" i="20"/>
  <c r="J6289" i="20"/>
  <c r="J6288" i="20"/>
  <c r="J6287" i="20"/>
  <c r="J6286" i="20"/>
  <c r="J6285" i="20"/>
  <c r="J6284" i="20"/>
  <c r="J6283" i="20"/>
  <c r="J6282" i="20"/>
  <c r="J6281" i="20"/>
  <c r="J6280" i="20"/>
  <c r="J6279" i="20"/>
  <c r="J6278" i="20"/>
  <c r="J6277" i="20"/>
  <c r="J6276" i="20"/>
  <c r="J6275" i="20"/>
  <c r="J6274" i="20"/>
  <c r="J6273" i="20"/>
  <c r="J6272" i="20"/>
  <c r="J6271" i="20"/>
  <c r="J6270" i="20"/>
  <c r="J6269" i="20"/>
  <c r="J6268" i="20"/>
  <c r="J6267" i="20"/>
  <c r="J6266" i="20"/>
  <c r="J6265" i="20"/>
  <c r="J6264" i="20"/>
  <c r="J6263" i="20"/>
  <c r="J6262" i="20"/>
  <c r="J6261" i="20"/>
  <c r="J6260" i="20"/>
  <c r="J6259" i="20"/>
  <c r="J6258" i="20"/>
  <c r="J6257" i="20"/>
  <c r="J6256" i="20"/>
  <c r="J6255" i="20"/>
  <c r="J6254" i="20"/>
  <c r="J6253" i="20"/>
  <c r="J6252" i="20"/>
  <c r="J6251" i="20"/>
  <c r="J6250" i="20"/>
  <c r="J6249" i="20"/>
  <c r="J6248" i="20"/>
  <c r="J6247" i="20"/>
  <c r="J6246" i="20"/>
  <c r="J6245" i="20"/>
  <c r="J6244" i="20"/>
  <c r="J6243" i="20"/>
  <c r="J6242" i="20"/>
  <c r="J6241" i="20"/>
  <c r="J6240" i="20"/>
  <c r="J6239" i="20"/>
  <c r="J6238" i="20"/>
  <c r="J6237" i="20"/>
  <c r="J6236" i="20"/>
  <c r="J6235" i="20"/>
  <c r="J6234" i="20"/>
  <c r="J6233" i="20"/>
  <c r="J6232" i="20"/>
  <c r="J6231" i="20"/>
  <c r="J6230" i="20"/>
  <c r="J6229" i="20"/>
  <c r="J6228" i="20"/>
  <c r="J6227" i="20"/>
  <c r="J6226" i="20"/>
  <c r="J6225" i="20"/>
  <c r="J6224" i="20"/>
  <c r="J6223" i="20"/>
  <c r="J6222" i="20"/>
  <c r="J6221" i="20"/>
  <c r="J6220" i="20"/>
  <c r="J6219" i="20"/>
  <c r="J6218" i="20"/>
  <c r="J6217" i="20"/>
  <c r="J6216" i="20"/>
  <c r="J6215" i="20"/>
  <c r="J6214" i="20"/>
  <c r="J6213" i="20"/>
  <c r="J6212" i="20"/>
  <c r="J6211" i="20"/>
  <c r="J6210" i="20"/>
  <c r="J6209" i="20"/>
  <c r="J6208" i="20"/>
  <c r="J6207" i="20"/>
  <c r="J6206" i="20"/>
  <c r="J6205" i="20"/>
  <c r="J6204" i="20"/>
  <c r="J6203" i="20"/>
  <c r="J6202" i="20"/>
  <c r="J6201" i="20"/>
  <c r="J6200" i="20"/>
  <c r="J6199" i="20"/>
  <c r="J6198" i="20"/>
  <c r="J6197" i="20"/>
  <c r="J6196" i="20"/>
  <c r="J6195" i="20"/>
  <c r="J6194" i="20"/>
  <c r="J6193" i="20"/>
  <c r="J6192" i="20"/>
  <c r="J6191" i="20"/>
  <c r="J6190" i="20"/>
  <c r="J6189" i="20"/>
  <c r="J6188" i="20"/>
  <c r="J6187" i="20"/>
  <c r="J6186" i="20"/>
  <c r="J6185" i="20"/>
  <c r="J6184" i="20"/>
  <c r="J6183" i="20"/>
  <c r="J6182" i="20"/>
  <c r="J6181" i="20"/>
  <c r="J6180" i="20"/>
  <c r="J6179" i="20"/>
  <c r="J6178" i="20"/>
  <c r="J6177" i="20"/>
  <c r="J6176" i="20"/>
  <c r="J6175" i="20"/>
  <c r="J6174" i="20"/>
  <c r="J6173" i="20"/>
  <c r="J6172" i="20"/>
  <c r="J6171" i="20"/>
  <c r="J6170" i="20"/>
  <c r="J6169" i="20"/>
  <c r="J6168" i="20"/>
  <c r="J6167" i="20"/>
  <c r="J6166" i="20"/>
  <c r="J6165" i="20"/>
  <c r="J6164" i="20"/>
  <c r="J6163" i="20"/>
  <c r="J6162" i="20"/>
  <c r="J6161" i="20"/>
  <c r="J6160" i="20"/>
  <c r="J6159" i="20"/>
  <c r="J6158" i="20"/>
  <c r="J6157" i="20"/>
  <c r="J6156" i="20"/>
  <c r="J6155" i="20"/>
  <c r="J6154" i="20"/>
  <c r="J6153" i="20"/>
  <c r="J6152" i="20"/>
  <c r="J6151" i="20"/>
  <c r="J6150" i="20"/>
  <c r="J6149" i="20"/>
  <c r="J6148" i="20"/>
  <c r="J6147" i="20"/>
  <c r="J6146" i="20"/>
  <c r="J6145" i="20"/>
  <c r="J6144" i="20"/>
  <c r="J6143" i="20"/>
  <c r="J6142" i="20"/>
  <c r="J6141" i="20"/>
  <c r="J6140" i="20"/>
  <c r="J6139" i="20"/>
  <c r="J6138" i="20"/>
  <c r="J6137" i="20"/>
  <c r="J6136" i="20"/>
  <c r="J6135" i="20"/>
  <c r="J6134" i="20"/>
  <c r="J6133" i="20"/>
  <c r="J6132" i="20"/>
  <c r="J6131" i="20"/>
  <c r="J6130" i="20"/>
  <c r="J6129" i="20"/>
  <c r="J6128" i="20"/>
  <c r="J6127" i="20"/>
  <c r="J6126" i="20"/>
  <c r="J6125" i="20"/>
  <c r="J6124" i="20"/>
  <c r="J6123" i="20"/>
  <c r="J6122" i="20"/>
  <c r="J6121" i="20"/>
  <c r="J6120" i="20"/>
  <c r="J6119" i="20"/>
  <c r="J6118" i="20"/>
  <c r="J6117" i="20"/>
  <c r="J6116" i="20"/>
  <c r="J6115" i="20"/>
  <c r="J6114" i="20"/>
  <c r="J6113" i="20"/>
  <c r="J6112" i="20"/>
  <c r="J6111" i="20"/>
  <c r="J6110" i="20"/>
  <c r="J6109" i="20"/>
  <c r="J6108" i="20"/>
  <c r="J6107" i="20"/>
  <c r="J6106" i="20"/>
  <c r="J6105" i="20"/>
  <c r="J6104" i="20"/>
  <c r="J6103" i="20"/>
  <c r="J6102" i="20"/>
  <c r="J6101" i="20"/>
  <c r="J6100" i="20"/>
  <c r="J6099" i="20"/>
  <c r="J6098" i="20"/>
  <c r="J6097" i="20"/>
  <c r="J6096" i="20"/>
  <c r="J6095" i="20"/>
  <c r="J6094" i="20"/>
  <c r="J6093" i="20"/>
  <c r="J6092" i="20"/>
  <c r="J6091" i="20"/>
  <c r="J6090" i="20"/>
  <c r="J6089" i="20"/>
  <c r="J6088" i="20"/>
  <c r="J6087" i="20"/>
  <c r="J6086" i="20"/>
  <c r="J6085" i="20"/>
  <c r="J6084" i="20"/>
  <c r="J6083" i="20"/>
  <c r="J6082" i="20"/>
  <c r="J6081" i="20"/>
  <c r="J6080" i="20"/>
  <c r="J6079" i="20"/>
  <c r="J6078" i="20"/>
  <c r="J6077" i="20"/>
  <c r="J6076" i="20"/>
  <c r="J6075" i="20"/>
  <c r="J6074" i="20"/>
  <c r="J6073" i="20"/>
  <c r="J6072" i="20"/>
  <c r="J6071" i="20"/>
  <c r="J6070" i="20"/>
  <c r="J6069" i="20"/>
  <c r="J6068" i="20"/>
  <c r="J6067" i="20"/>
  <c r="J6066" i="20"/>
  <c r="J6065" i="20"/>
  <c r="J6064" i="20"/>
  <c r="J6063" i="20"/>
  <c r="J6062" i="20"/>
  <c r="J6061" i="20"/>
  <c r="J6060" i="20"/>
  <c r="J6059" i="20"/>
  <c r="J6058" i="20"/>
  <c r="J6057" i="20"/>
  <c r="J6056" i="20"/>
  <c r="J6055" i="20"/>
  <c r="J6054" i="20"/>
  <c r="J6053" i="20"/>
  <c r="J6052" i="20"/>
  <c r="J6051" i="20"/>
  <c r="J6050" i="20"/>
  <c r="J6049" i="20"/>
  <c r="J6048" i="20"/>
  <c r="J6047" i="20"/>
  <c r="J6046" i="20"/>
  <c r="J6045" i="20"/>
  <c r="J6044" i="20"/>
  <c r="J6043" i="20"/>
  <c r="J6042" i="20"/>
  <c r="J6041" i="20"/>
  <c r="J6040" i="20"/>
  <c r="J6039" i="20"/>
  <c r="J6038" i="20"/>
  <c r="J6037" i="20"/>
  <c r="J6036" i="20"/>
  <c r="J6035" i="20"/>
  <c r="J6034" i="20"/>
  <c r="J6033" i="20"/>
  <c r="J6032" i="20"/>
  <c r="J6031" i="20"/>
  <c r="J6030" i="20"/>
  <c r="J6029" i="20"/>
  <c r="J6028" i="20"/>
  <c r="J6027" i="20"/>
  <c r="J6026" i="20"/>
  <c r="J6025" i="20"/>
  <c r="J6024" i="20"/>
  <c r="J6023" i="20"/>
  <c r="J6022" i="20"/>
  <c r="J6021" i="20"/>
  <c r="J6020" i="20"/>
  <c r="J6019" i="20"/>
  <c r="J6018" i="20"/>
  <c r="J6017" i="20"/>
  <c r="J6016" i="20"/>
  <c r="J6015" i="20"/>
  <c r="J6014" i="20"/>
  <c r="J6013" i="20"/>
  <c r="J6012" i="20"/>
  <c r="J6011" i="20"/>
  <c r="J6010" i="20"/>
  <c r="J6009" i="20"/>
  <c r="J6008" i="20"/>
  <c r="J6007" i="20"/>
  <c r="J6006" i="20"/>
  <c r="J6005" i="20"/>
  <c r="J6004" i="20"/>
  <c r="J6003" i="20"/>
  <c r="J6002" i="20"/>
  <c r="J6001" i="20"/>
  <c r="J6000" i="20"/>
  <c r="J5999" i="20"/>
  <c r="J5998" i="20"/>
  <c r="J5997" i="20"/>
  <c r="J5996" i="20"/>
  <c r="J5995" i="20"/>
  <c r="J5994" i="20"/>
  <c r="J5993" i="20"/>
  <c r="J5992" i="20"/>
  <c r="J5991" i="20"/>
  <c r="J5990" i="20"/>
  <c r="J5989" i="20"/>
  <c r="J5988" i="20"/>
  <c r="J5987" i="20"/>
  <c r="J5986" i="20"/>
  <c r="J5985" i="20"/>
  <c r="J5984" i="20"/>
  <c r="J5983" i="20"/>
  <c r="J5982" i="20"/>
  <c r="J5981" i="20"/>
  <c r="J5980" i="20"/>
  <c r="J5979" i="20"/>
  <c r="J5978" i="20"/>
  <c r="J5977" i="20"/>
  <c r="J5976" i="20"/>
  <c r="J5975" i="20"/>
  <c r="J5974" i="20"/>
  <c r="J5973" i="20"/>
  <c r="J5972" i="20"/>
  <c r="J5971" i="20"/>
  <c r="J5970" i="20"/>
  <c r="J5969" i="20"/>
  <c r="J5968" i="20"/>
  <c r="J5967" i="20"/>
  <c r="J5966" i="20"/>
  <c r="J5965" i="20"/>
  <c r="J5964" i="20"/>
  <c r="J5963" i="20"/>
  <c r="J5962" i="20"/>
  <c r="J5961" i="20"/>
  <c r="J5960" i="20"/>
  <c r="J5959" i="20"/>
  <c r="J5958" i="20"/>
  <c r="J5957" i="20"/>
  <c r="J5956" i="20"/>
  <c r="J5955" i="20"/>
  <c r="J5954" i="20"/>
  <c r="J5953" i="20"/>
  <c r="J5952" i="20"/>
  <c r="J5951" i="20"/>
  <c r="J5950" i="20"/>
  <c r="J5949" i="20"/>
  <c r="J5948" i="20"/>
  <c r="J5947" i="20"/>
  <c r="J5946" i="20"/>
  <c r="J5945" i="20"/>
  <c r="J5944" i="20"/>
  <c r="J5943" i="20"/>
  <c r="J5942" i="20"/>
  <c r="J5941" i="20"/>
  <c r="J5940" i="20"/>
  <c r="J5939" i="20"/>
  <c r="J5938" i="20"/>
  <c r="J5937" i="20"/>
  <c r="J5936" i="20"/>
  <c r="J5935" i="20"/>
  <c r="J5934" i="20"/>
  <c r="J5933" i="20"/>
  <c r="J5932" i="20"/>
  <c r="J5931" i="20"/>
  <c r="J5930" i="20"/>
  <c r="J5929" i="20"/>
  <c r="J5928" i="20"/>
  <c r="J5927" i="20"/>
  <c r="J5926" i="20"/>
  <c r="J5925" i="20"/>
  <c r="J5924" i="20"/>
  <c r="J5923" i="20"/>
  <c r="J5922" i="20"/>
  <c r="J5921" i="20"/>
  <c r="J5920" i="20"/>
  <c r="J5919" i="20"/>
  <c r="J5918" i="20"/>
  <c r="J5917" i="20"/>
  <c r="J5916" i="20"/>
  <c r="J5915" i="20"/>
  <c r="J5914" i="20"/>
  <c r="J5913" i="20"/>
  <c r="J5912" i="20"/>
  <c r="J5911" i="20"/>
  <c r="J5910" i="20"/>
  <c r="J5909" i="20"/>
  <c r="J5908" i="20"/>
  <c r="J5907" i="20"/>
  <c r="J5906" i="20"/>
  <c r="J5905" i="20"/>
  <c r="J5904" i="20"/>
  <c r="J5903" i="20"/>
  <c r="J5902" i="20"/>
  <c r="J5901" i="20"/>
  <c r="J5900" i="20"/>
  <c r="J5899" i="20"/>
  <c r="J5898" i="20"/>
  <c r="J5897" i="20"/>
  <c r="J5896" i="20"/>
  <c r="J5895" i="20"/>
  <c r="J5894" i="20"/>
  <c r="J5893" i="20"/>
  <c r="J5892" i="20"/>
  <c r="J5891" i="20"/>
  <c r="J5890" i="20"/>
  <c r="J5889" i="20"/>
  <c r="J5888" i="20"/>
  <c r="J5887" i="20"/>
  <c r="J5886" i="20"/>
  <c r="J5885" i="20"/>
  <c r="J5884" i="20"/>
  <c r="J5883" i="20"/>
  <c r="J5882" i="20"/>
  <c r="J5881" i="20"/>
  <c r="J5880" i="20"/>
  <c r="J5879" i="20"/>
  <c r="J5878" i="20"/>
  <c r="J5877" i="20"/>
  <c r="J5876" i="20"/>
  <c r="J5875" i="20"/>
  <c r="J5874" i="20"/>
  <c r="J5873" i="20"/>
  <c r="J5872" i="20"/>
  <c r="J5871" i="20"/>
  <c r="J5870" i="20"/>
  <c r="J5869" i="20"/>
  <c r="J5868" i="20"/>
  <c r="J5867" i="20"/>
  <c r="J5866" i="20"/>
  <c r="J5865" i="20"/>
  <c r="J5864" i="20"/>
  <c r="J5863" i="20"/>
  <c r="J5862" i="20"/>
  <c r="J5861" i="20"/>
  <c r="J5860" i="20"/>
  <c r="J5859" i="20"/>
  <c r="J5858" i="20"/>
  <c r="J5857" i="20"/>
  <c r="J5856" i="20"/>
  <c r="J5855" i="20"/>
  <c r="J5854" i="20"/>
  <c r="J5853" i="20"/>
  <c r="J5852" i="20"/>
  <c r="J5851" i="20"/>
  <c r="J5850" i="20"/>
  <c r="J5849" i="20"/>
  <c r="J5848" i="20"/>
  <c r="J5847" i="20"/>
  <c r="J5846" i="20"/>
  <c r="J5845" i="20"/>
  <c r="J5844" i="20"/>
  <c r="J5843" i="20"/>
  <c r="J5842" i="20"/>
  <c r="J5841" i="20"/>
  <c r="J5840" i="20"/>
  <c r="J5839" i="20"/>
  <c r="J5838" i="20"/>
  <c r="J5837" i="20"/>
  <c r="J5836" i="20"/>
  <c r="J5835" i="20"/>
  <c r="J5834" i="20"/>
  <c r="J5833" i="20"/>
  <c r="J5832" i="20"/>
  <c r="J5831" i="20"/>
  <c r="J5830" i="20"/>
  <c r="J5829" i="20"/>
  <c r="J5828" i="20"/>
  <c r="J5827" i="20"/>
  <c r="J5826" i="20"/>
  <c r="J5825" i="20"/>
  <c r="J5824" i="20"/>
  <c r="J5823" i="20"/>
  <c r="J5822" i="20"/>
  <c r="J5821" i="20"/>
  <c r="J5820" i="20"/>
  <c r="J5819" i="20"/>
  <c r="J5818" i="20"/>
  <c r="J5817" i="20"/>
  <c r="J5816" i="20"/>
  <c r="J5815" i="20"/>
  <c r="J5814" i="20"/>
  <c r="J5813" i="20"/>
  <c r="J5812" i="20"/>
  <c r="J5811" i="20"/>
  <c r="J5810" i="20"/>
  <c r="J5809" i="20"/>
  <c r="J5808" i="20"/>
  <c r="J5807" i="20"/>
  <c r="J5806" i="20"/>
  <c r="J5805" i="20"/>
  <c r="J5804" i="20"/>
  <c r="J5803" i="20"/>
  <c r="J5802" i="20"/>
  <c r="J5801" i="20"/>
  <c r="J5800" i="20"/>
  <c r="J5799" i="20"/>
  <c r="J5798" i="20"/>
  <c r="J5797" i="20"/>
  <c r="J5796" i="20"/>
  <c r="J5795" i="20"/>
  <c r="J5794" i="20"/>
  <c r="J5793" i="20"/>
  <c r="J5792" i="20"/>
  <c r="J5791" i="20"/>
  <c r="J5790" i="20"/>
  <c r="J5789" i="20"/>
  <c r="J5788" i="20"/>
  <c r="J5787" i="20"/>
  <c r="J5786" i="20"/>
  <c r="J5785" i="20"/>
  <c r="J5784" i="20"/>
  <c r="J5783" i="20"/>
  <c r="J5782" i="20"/>
  <c r="J5781" i="20"/>
  <c r="J5780" i="20"/>
  <c r="J5779" i="20"/>
  <c r="J5778" i="20"/>
  <c r="J5777" i="20"/>
  <c r="J5776" i="20"/>
  <c r="J5775" i="20"/>
  <c r="J5774" i="20"/>
  <c r="J5773" i="20"/>
  <c r="J5772" i="20"/>
  <c r="J5771" i="20"/>
  <c r="J5770" i="20"/>
  <c r="J5769" i="20"/>
  <c r="J5768" i="20"/>
  <c r="J5767" i="20"/>
  <c r="J5766" i="20"/>
  <c r="J5765" i="20"/>
  <c r="J5764" i="20"/>
  <c r="J5763" i="20"/>
  <c r="J5762" i="20"/>
  <c r="J5761" i="20"/>
  <c r="J5760" i="20"/>
  <c r="J5759" i="20"/>
  <c r="J5758" i="20"/>
  <c r="J5757" i="20"/>
  <c r="J5756" i="20"/>
  <c r="J5755" i="20"/>
  <c r="J5754" i="20"/>
  <c r="J5753" i="20"/>
  <c r="J5752" i="20"/>
  <c r="J5751" i="20"/>
  <c r="J5750" i="20"/>
  <c r="J5749" i="20"/>
  <c r="J5748" i="20"/>
  <c r="J5747" i="20"/>
  <c r="J5746" i="20"/>
  <c r="J5745" i="20"/>
  <c r="J5744" i="20"/>
  <c r="J5743" i="20"/>
  <c r="J5742" i="20"/>
  <c r="J5741" i="20"/>
  <c r="J5740" i="20"/>
  <c r="J5739" i="20"/>
  <c r="J5738" i="20"/>
  <c r="J5737" i="20"/>
  <c r="J5736" i="20"/>
  <c r="J5735" i="20"/>
  <c r="J5734" i="20"/>
  <c r="J5733" i="20"/>
  <c r="J5732" i="20"/>
  <c r="J5731" i="20"/>
  <c r="J5730" i="20"/>
  <c r="J5729" i="20"/>
  <c r="J5728" i="20"/>
  <c r="J5727" i="20"/>
  <c r="J5726" i="20"/>
  <c r="J5725" i="20"/>
  <c r="J5724" i="20"/>
  <c r="J5723" i="20"/>
  <c r="J5722" i="20"/>
  <c r="J5721" i="20"/>
  <c r="J5720" i="20"/>
  <c r="J5719" i="20"/>
  <c r="J5718" i="20"/>
  <c r="J5717" i="20"/>
  <c r="J5716" i="20"/>
  <c r="J5715" i="20"/>
  <c r="J5714" i="20"/>
  <c r="J5713" i="20"/>
  <c r="J5712" i="20"/>
  <c r="J5711" i="20"/>
  <c r="J5710" i="20"/>
  <c r="J5709" i="20"/>
  <c r="J5708" i="20"/>
  <c r="J5707" i="20"/>
  <c r="J5706" i="20"/>
  <c r="J5705" i="20"/>
  <c r="J5704" i="20"/>
  <c r="J5703" i="20"/>
  <c r="J5702" i="20"/>
  <c r="J5701" i="20"/>
  <c r="J5700" i="20"/>
  <c r="J5699" i="20"/>
  <c r="J5698" i="20"/>
  <c r="J5697" i="20"/>
  <c r="J5696" i="20"/>
  <c r="J5695" i="20"/>
  <c r="J5694" i="20"/>
  <c r="J5693" i="20"/>
  <c r="J5692" i="20"/>
  <c r="J5691" i="20"/>
  <c r="J5690" i="20"/>
  <c r="J5689" i="20"/>
  <c r="J5688" i="20"/>
  <c r="J5687" i="20"/>
  <c r="J5686" i="20"/>
  <c r="J5685" i="20"/>
  <c r="J5684" i="20"/>
  <c r="J5683" i="20"/>
  <c r="J5682" i="20"/>
  <c r="J5681" i="20"/>
  <c r="J5680" i="20"/>
  <c r="J5679" i="20"/>
  <c r="J5678" i="20"/>
  <c r="J5677" i="20"/>
  <c r="J5676" i="20"/>
  <c r="J5675" i="20"/>
  <c r="J5674" i="20"/>
  <c r="J5673" i="20"/>
  <c r="J5672" i="20"/>
  <c r="J5671" i="20"/>
  <c r="J5670" i="20"/>
  <c r="J5669" i="20"/>
  <c r="J5668" i="20"/>
  <c r="J5667" i="20"/>
  <c r="J5666" i="20"/>
  <c r="J5665" i="20"/>
  <c r="J5664" i="20"/>
  <c r="J5663" i="20"/>
  <c r="J5662" i="20"/>
  <c r="J5661" i="20"/>
  <c r="J5660" i="20"/>
  <c r="J5659" i="20"/>
  <c r="J5658" i="20"/>
  <c r="J5657" i="20"/>
  <c r="J5656" i="20"/>
  <c r="J5655" i="20"/>
  <c r="J5654" i="20"/>
  <c r="J5653" i="20"/>
  <c r="J5652" i="20"/>
  <c r="J5651" i="20"/>
  <c r="J5650" i="20"/>
  <c r="J5649" i="20"/>
  <c r="J5648" i="20"/>
  <c r="J5647" i="20"/>
  <c r="J5646" i="20"/>
  <c r="J5645" i="20"/>
  <c r="J5644" i="20"/>
  <c r="J5643" i="20"/>
  <c r="J5642" i="20"/>
  <c r="J5641" i="20"/>
  <c r="J5640" i="20"/>
  <c r="J5639" i="20"/>
  <c r="J5638" i="20"/>
  <c r="J5637" i="20"/>
  <c r="J5636" i="20"/>
  <c r="J5635" i="20"/>
  <c r="J5634" i="20"/>
  <c r="J5633" i="20"/>
  <c r="J5632" i="20"/>
  <c r="J5631" i="20"/>
  <c r="J5630" i="20"/>
  <c r="J5629" i="20"/>
  <c r="J5628" i="20"/>
  <c r="J5627" i="20"/>
  <c r="J5626" i="20"/>
  <c r="J5625" i="20"/>
  <c r="J5624" i="20"/>
  <c r="J5623" i="20"/>
  <c r="J5622" i="20"/>
  <c r="J5621" i="20"/>
  <c r="J5620" i="20"/>
  <c r="J5619" i="20"/>
  <c r="J5618" i="20"/>
  <c r="J5617" i="20"/>
  <c r="J5616" i="20"/>
  <c r="J5615" i="20"/>
  <c r="J5614" i="20"/>
  <c r="J5613" i="20"/>
  <c r="J5612" i="20"/>
  <c r="J5611" i="20"/>
  <c r="J5610" i="20"/>
  <c r="J5609" i="20"/>
  <c r="J5608" i="20"/>
  <c r="J5607" i="20"/>
  <c r="J5606" i="20"/>
  <c r="J5605" i="20"/>
  <c r="J5604" i="20"/>
  <c r="J5603" i="20"/>
  <c r="J5602" i="20"/>
  <c r="J5601" i="20"/>
  <c r="J5600" i="20"/>
  <c r="J5599" i="20"/>
  <c r="J5598" i="20"/>
  <c r="J5597" i="20"/>
  <c r="J5596" i="20"/>
  <c r="J5595" i="20"/>
  <c r="J5594" i="20"/>
  <c r="J5593" i="20"/>
  <c r="J5592" i="20"/>
  <c r="J5591" i="20"/>
  <c r="J5590" i="20"/>
  <c r="J5589" i="20"/>
  <c r="J5588" i="20"/>
  <c r="J5587" i="20"/>
  <c r="J5586" i="20"/>
  <c r="J5585" i="20"/>
  <c r="J5584" i="20"/>
  <c r="J5583" i="20"/>
  <c r="J5582" i="20"/>
  <c r="J5581" i="20"/>
  <c r="J5580" i="20"/>
  <c r="J5579" i="20"/>
  <c r="J5578" i="20"/>
  <c r="J5577" i="20"/>
  <c r="J5576" i="20"/>
  <c r="J5575" i="20"/>
  <c r="J5574" i="20"/>
  <c r="J5573" i="20"/>
  <c r="J5572" i="20"/>
  <c r="J5571" i="20"/>
  <c r="J5570" i="20"/>
  <c r="J5569" i="20"/>
  <c r="J5568" i="20"/>
  <c r="J5567" i="20"/>
  <c r="J5566" i="20"/>
  <c r="J5565" i="20"/>
  <c r="J5564" i="20"/>
  <c r="J5563" i="20"/>
  <c r="J5562" i="20"/>
  <c r="J5561" i="20"/>
  <c r="J5560" i="20"/>
  <c r="J5559" i="20"/>
  <c r="J5558" i="20"/>
  <c r="J5557" i="20"/>
  <c r="J5556" i="20"/>
  <c r="J5555" i="20"/>
  <c r="J5554" i="20"/>
  <c r="J5553" i="20"/>
  <c r="J5552" i="20"/>
  <c r="J5551" i="20"/>
  <c r="J5550" i="20"/>
  <c r="J5549" i="20"/>
  <c r="J5548" i="20"/>
  <c r="J5547" i="20"/>
  <c r="J5546" i="20"/>
  <c r="J5545" i="20"/>
  <c r="J5544" i="20"/>
  <c r="J5543" i="20"/>
  <c r="J5542" i="20"/>
  <c r="J5541" i="20"/>
  <c r="J5540" i="20"/>
  <c r="J5539" i="20"/>
  <c r="J5538" i="20"/>
  <c r="J5537" i="20"/>
  <c r="J5536" i="20"/>
  <c r="J5535" i="20"/>
  <c r="J5534" i="20"/>
  <c r="J5533" i="20"/>
  <c r="J5532" i="20"/>
  <c r="J5531" i="20"/>
  <c r="J5530" i="20"/>
  <c r="J5529" i="20"/>
  <c r="J5528" i="20"/>
  <c r="J5527" i="20"/>
  <c r="J5526" i="20"/>
  <c r="J5525" i="20"/>
  <c r="J5524" i="20"/>
  <c r="J5523" i="20"/>
  <c r="J5522" i="20"/>
  <c r="J5521" i="20"/>
  <c r="J5520" i="20"/>
  <c r="J5519" i="20"/>
  <c r="J5518" i="20"/>
  <c r="J5517" i="20"/>
  <c r="J5516" i="20"/>
  <c r="J5515" i="20"/>
  <c r="J5514" i="20"/>
  <c r="J5513" i="20"/>
  <c r="J5512" i="20"/>
  <c r="J5511" i="20"/>
  <c r="J5510" i="20"/>
  <c r="J5509" i="20"/>
  <c r="J5508" i="20"/>
  <c r="J5507" i="20"/>
  <c r="J5506" i="20"/>
  <c r="J5505" i="20"/>
  <c r="J5504" i="20"/>
  <c r="J5503" i="20"/>
  <c r="J5502" i="20"/>
  <c r="J5501" i="20"/>
  <c r="J5500" i="20"/>
  <c r="J5499" i="20"/>
  <c r="J5498" i="20"/>
  <c r="J5497" i="20"/>
  <c r="J5496" i="20"/>
  <c r="J5495" i="20"/>
  <c r="J5494" i="20"/>
  <c r="J5493" i="20"/>
  <c r="J5492" i="20"/>
  <c r="J5491" i="20"/>
  <c r="J5490" i="20"/>
  <c r="J5489" i="20"/>
  <c r="J5488" i="20"/>
  <c r="J5487" i="20"/>
  <c r="J5486" i="20"/>
  <c r="J5485" i="20"/>
  <c r="J5484" i="20"/>
  <c r="J5483" i="20"/>
  <c r="J5482" i="20"/>
  <c r="J5481" i="20"/>
  <c r="J5480" i="20"/>
  <c r="J5479" i="20"/>
  <c r="J5478" i="20"/>
  <c r="J5477" i="20"/>
  <c r="J5476" i="20"/>
  <c r="J5475" i="20"/>
  <c r="J5474" i="20"/>
  <c r="J5473" i="20"/>
  <c r="J5472" i="20"/>
  <c r="J5471" i="20"/>
  <c r="J5470" i="20"/>
  <c r="J5469" i="20"/>
  <c r="J5468" i="20"/>
  <c r="J5467" i="20"/>
  <c r="J5466" i="20"/>
  <c r="J5465" i="20"/>
  <c r="J5464" i="20"/>
  <c r="J5463" i="20"/>
  <c r="J5462" i="20"/>
  <c r="J5461" i="20"/>
  <c r="J5460" i="20"/>
  <c r="J5459" i="20"/>
  <c r="J5458" i="20"/>
  <c r="J5457" i="20"/>
  <c r="J5456" i="20"/>
  <c r="J5455" i="20"/>
  <c r="J5454" i="20"/>
  <c r="J5453" i="20"/>
  <c r="J5452" i="20"/>
  <c r="J5451" i="20"/>
  <c r="J5450" i="20"/>
  <c r="J5449" i="20"/>
  <c r="J5448" i="20"/>
  <c r="J5447" i="20"/>
  <c r="J5446" i="20"/>
  <c r="J5445" i="20"/>
  <c r="J5444" i="20"/>
  <c r="J5443" i="20"/>
  <c r="J5442" i="20"/>
  <c r="J5441" i="20"/>
  <c r="J5440" i="20"/>
  <c r="J5439" i="20"/>
  <c r="J5438" i="20"/>
  <c r="J5437" i="20"/>
  <c r="J5436" i="20"/>
  <c r="J5435" i="20"/>
  <c r="J5434" i="20"/>
  <c r="J5433" i="20"/>
  <c r="J5432" i="20"/>
  <c r="J5431" i="20"/>
  <c r="J5430" i="20"/>
  <c r="J5429" i="20"/>
  <c r="J5428" i="20"/>
  <c r="J5427" i="20"/>
  <c r="J5426" i="20"/>
  <c r="J5425" i="20"/>
  <c r="J5424" i="20"/>
  <c r="J5423" i="20"/>
  <c r="J5422" i="20"/>
  <c r="J5421" i="20"/>
  <c r="J5420" i="20"/>
  <c r="J5419" i="20"/>
  <c r="J5418" i="20"/>
  <c r="J5417" i="20"/>
  <c r="J5416" i="20"/>
  <c r="J5415" i="20"/>
  <c r="J5414" i="20"/>
  <c r="J5413" i="20"/>
  <c r="J5412" i="20"/>
  <c r="J5411" i="20"/>
  <c r="J5410" i="20"/>
  <c r="J5409" i="20"/>
  <c r="J5408" i="20"/>
  <c r="J5407" i="20"/>
  <c r="J5406" i="20"/>
  <c r="J5405" i="20"/>
  <c r="J5404" i="20"/>
  <c r="J5403" i="20"/>
  <c r="J5402" i="20"/>
  <c r="J5401" i="20"/>
  <c r="J5400" i="20"/>
  <c r="J5399" i="20"/>
  <c r="J5398" i="20"/>
  <c r="J5397" i="20"/>
  <c r="J5396" i="20"/>
  <c r="J5395" i="20"/>
  <c r="J5394" i="20"/>
  <c r="J5393" i="20"/>
  <c r="J5392" i="20"/>
  <c r="J5391" i="20"/>
  <c r="J5390" i="20"/>
  <c r="J5389" i="20"/>
  <c r="J5388" i="20"/>
  <c r="J5387" i="20"/>
  <c r="J5386" i="20"/>
  <c r="J5385" i="20"/>
  <c r="J5384" i="20"/>
  <c r="J5383" i="20"/>
  <c r="J5382" i="20"/>
  <c r="J5381" i="20"/>
  <c r="J5380" i="20"/>
  <c r="J5379" i="20"/>
  <c r="J5378" i="20"/>
  <c r="J5377" i="20"/>
  <c r="J5376" i="20"/>
  <c r="J5375" i="20"/>
  <c r="J5374" i="20"/>
  <c r="J5373" i="20"/>
  <c r="J5372" i="20"/>
  <c r="J5371" i="20"/>
  <c r="J5370" i="20"/>
  <c r="J5369" i="20"/>
  <c r="J5368" i="20"/>
  <c r="J5367" i="20"/>
  <c r="J5366" i="20"/>
  <c r="J5365" i="20"/>
  <c r="J5364" i="20"/>
  <c r="J5363" i="20"/>
  <c r="J5362" i="20"/>
  <c r="J5361" i="20"/>
  <c r="J5360" i="20"/>
  <c r="J5359" i="20"/>
  <c r="J5358" i="20"/>
  <c r="J5357" i="20"/>
  <c r="J5356" i="20"/>
  <c r="J5355" i="20"/>
  <c r="J5354" i="20"/>
  <c r="J5353" i="20"/>
  <c r="J5352" i="20"/>
  <c r="J5351" i="20"/>
  <c r="J5350" i="20"/>
  <c r="J5349" i="20"/>
  <c r="J5348" i="20"/>
  <c r="J5347" i="20"/>
  <c r="J5346" i="20"/>
  <c r="J5345" i="20"/>
  <c r="J5344" i="20"/>
  <c r="J5343" i="20"/>
  <c r="J5342" i="20"/>
  <c r="J5341" i="20"/>
  <c r="J5340" i="20"/>
  <c r="J5339" i="20"/>
  <c r="J5338" i="20"/>
  <c r="J5337" i="20"/>
  <c r="J5336" i="20"/>
  <c r="J5335" i="20"/>
  <c r="J5334" i="20"/>
  <c r="J5333" i="20"/>
  <c r="J5332" i="20"/>
  <c r="J5331" i="20"/>
  <c r="J5330" i="20"/>
  <c r="J5329" i="20"/>
  <c r="J5328" i="20"/>
  <c r="J5327" i="20"/>
  <c r="J5326" i="20"/>
  <c r="J5325" i="20"/>
  <c r="J5324" i="20"/>
  <c r="J5323" i="20"/>
  <c r="J5322" i="20"/>
  <c r="J5321" i="20"/>
  <c r="J5320" i="20"/>
  <c r="J5319" i="20"/>
  <c r="J5318" i="20"/>
  <c r="J5317" i="20"/>
  <c r="J5316" i="20"/>
  <c r="J5315" i="20"/>
  <c r="J5314" i="20"/>
  <c r="J5313" i="20"/>
  <c r="J5312" i="20"/>
  <c r="J5311" i="20"/>
  <c r="J5310" i="20"/>
  <c r="J5309" i="20"/>
  <c r="J5308" i="20"/>
  <c r="J5307" i="20"/>
  <c r="J5306" i="20"/>
  <c r="J5305" i="20"/>
  <c r="J5304" i="20"/>
  <c r="J5303" i="20"/>
  <c r="J5302" i="20"/>
  <c r="J5301" i="20"/>
  <c r="J5300" i="20"/>
  <c r="J5299" i="20"/>
  <c r="J5298" i="20"/>
  <c r="J5297" i="20"/>
  <c r="J5296" i="20"/>
  <c r="J5295" i="20"/>
  <c r="J5294" i="20"/>
  <c r="J5293" i="20"/>
  <c r="J5292" i="20"/>
  <c r="J5291" i="20"/>
  <c r="J5290" i="20"/>
  <c r="J5289" i="20"/>
  <c r="J5288" i="20"/>
  <c r="J5287" i="20"/>
  <c r="J5286" i="20"/>
  <c r="J5285" i="20"/>
  <c r="J5284" i="20"/>
  <c r="J5283" i="20"/>
  <c r="J5282" i="20"/>
  <c r="J5281" i="20"/>
  <c r="J5280" i="20"/>
  <c r="J5279" i="20"/>
  <c r="J5278" i="20"/>
  <c r="J5277" i="20"/>
  <c r="J5276" i="20"/>
  <c r="J5275" i="20"/>
  <c r="J5274" i="20"/>
  <c r="J5273" i="20"/>
  <c r="J5272" i="20"/>
  <c r="J5271" i="20"/>
  <c r="J5270" i="20"/>
  <c r="J5269" i="20"/>
  <c r="J5268" i="20"/>
  <c r="J5267" i="20"/>
  <c r="J5266" i="20"/>
  <c r="J5265" i="20"/>
  <c r="J5264" i="20"/>
  <c r="J5263" i="20"/>
  <c r="J5262" i="20"/>
  <c r="J5261" i="20"/>
  <c r="J5260" i="20"/>
  <c r="J5259" i="20"/>
  <c r="J5258" i="20"/>
  <c r="J5257" i="20"/>
  <c r="J5256" i="20"/>
  <c r="J5255" i="20"/>
  <c r="J5254" i="20"/>
  <c r="J5253" i="20"/>
  <c r="J5252" i="20"/>
  <c r="J5251" i="20"/>
  <c r="J5250" i="20"/>
  <c r="J5249" i="20"/>
  <c r="J5248" i="20"/>
  <c r="J5247" i="20"/>
  <c r="J5246" i="20"/>
  <c r="J5245" i="20"/>
  <c r="J5244" i="20"/>
  <c r="J5243" i="20"/>
  <c r="J5242" i="20"/>
  <c r="J5241" i="20"/>
  <c r="J5240" i="20"/>
  <c r="J5239" i="20"/>
  <c r="J5238" i="20"/>
  <c r="J5237" i="20"/>
  <c r="J5236" i="20"/>
  <c r="J5235" i="20"/>
  <c r="J5234" i="20"/>
  <c r="J5233" i="20"/>
  <c r="J5232" i="20"/>
  <c r="J5231" i="20"/>
  <c r="J5230" i="20"/>
  <c r="J5229" i="20"/>
  <c r="J5228" i="20"/>
  <c r="J5227" i="20"/>
  <c r="J5226" i="20"/>
  <c r="J5225" i="20"/>
  <c r="J5224" i="20"/>
  <c r="J5223" i="20"/>
  <c r="J5222" i="20"/>
  <c r="J5221" i="20"/>
  <c r="J5220" i="20"/>
  <c r="J5219" i="20"/>
  <c r="J5218" i="20"/>
  <c r="J5217" i="20"/>
  <c r="J5216" i="20"/>
  <c r="J5215" i="20"/>
  <c r="J5214" i="20"/>
  <c r="J5213" i="20"/>
  <c r="J5212" i="20"/>
  <c r="J5211" i="20"/>
  <c r="J5210" i="20"/>
  <c r="J5209" i="20"/>
  <c r="J5208" i="20"/>
  <c r="J5207" i="20"/>
  <c r="J5206" i="20"/>
  <c r="J5205" i="20"/>
  <c r="J5204" i="20"/>
  <c r="J5203" i="20"/>
  <c r="J5202" i="20"/>
  <c r="J5201" i="20"/>
  <c r="J5200" i="20"/>
  <c r="J5199" i="20"/>
  <c r="J5198" i="20"/>
  <c r="J5197" i="20"/>
  <c r="J5196" i="20"/>
  <c r="J5195" i="20"/>
  <c r="J5194" i="20"/>
  <c r="J5193" i="20"/>
  <c r="J5192" i="20"/>
  <c r="J5191" i="20"/>
  <c r="J5190" i="20"/>
  <c r="J5189" i="20"/>
  <c r="J5188" i="20"/>
  <c r="J5187" i="20"/>
  <c r="J5186" i="20"/>
  <c r="J5185" i="20"/>
  <c r="J5184" i="20"/>
  <c r="J5183" i="20"/>
  <c r="J5182" i="20"/>
  <c r="J5181" i="20"/>
  <c r="J5180" i="20"/>
  <c r="J5179" i="20"/>
  <c r="J5178" i="20"/>
  <c r="J5177" i="20"/>
  <c r="J5176" i="20"/>
  <c r="J5175" i="20"/>
  <c r="J5174" i="20"/>
  <c r="J5173" i="20"/>
  <c r="J5172" i="20"/>
  <c r="J5171" i="20"/>
  <c r="J5170" i="20"/>
  <c r="J5169" i="20"/>
  <c r="J5168" i="20"/>
  <c r="J5167" i="20"/>
  <c r="J5166" i="20"/>
  <c r="J5165" i="20"/>
  <c r="J5164" i="20"/>
  <c r="J5163" i="20"/>
  <c r="J5162" i="20"/>
  <c r="J5161" i="20"/>
  <c r="J5160" i="20"/>
  <c r="J5159" i="20"/>
  <c r="J5158" i="20"/>
  <c r="J5157" i="20"/>
  <c r="J5156" i="20"/>
  <c r="J5155" i="20"/>
  <c r="J5154" i="20"/>
  <c r="J5153" i="20"/>
  <c r="J5152" i="20"/>
  <c r="J5151" i="20"/>
  <c r="J5150" i="20"/>
  <c r="J5149" i="20"/>
  <c r="J5148" i="20"/>
  <c r="J5147" i="20"/>
  <c r="J5146" i="20"/>
  <c r="J5145" i="20"/>
  <c r="J5144" i="20"/>
  <c r="J5143" i="20"/>
  <c r="J5142" i="20"/>
  <c r="J5141" i="20"/>
  <c r="J5140" i="20"/>
  <c r="J5139" i="20"/>
  <c r="J5138" i="20"/>
  <c r="J5137" i="20"/>
  <c r="J5136" i="20"/>
  <c r="J5135" i="20"/>
  <c r="J5134" i="20"/>
  <c r="J5133" i="20"/>
  <c r="J5132" i="20"/>
  <c r="J5131" i="20"/>
  <c r="J5130" i="20"/>
  <c r="J5129" i="20"/>
  <c r="J5128" i="20"/>
  <c r="J5127" i="20"/>
  <c r="J5126" i="20"/>
  <c r="J5125" i="20"/>
  <c r="J5124" i="20"/>
  <c r="J5123" i="20"/>
  <c r="J5122" i="20"/>
  <c r="J5121" i="20"/>
  <c r="J5120" i="20"/>
  <c r="J5119" i="20"/>
  <c r="J5118" i="20"/>
  <c r="J5117" i="20"/>
  <c r="J5116" i="20"/>
  <c r="J5115" i="20"/>
  <c r="J5114" i="20"/>
  <c r="J5113" i="20"/>
  <c r="J5112" i="20"/>
  <c r="J5111" i="20"/>
  <c r="J5110" i="20"/>
  <c r="J5109" i="20"/>
  <c r="J5108" i="20"/>
  <c r="J5107" i="20"/>
  <c r="J5106" i="20"/>
  <c r="J5105" i="20"/>
  <c r="J5104" i="20"/>
  <c r="J5103" i="20"/>
  <c r="J5102" i="20"/>
  <c r="J5101" i="20"/>
  <c r="J5100" i="20"/>
  <c r="J5099" i="20"/>
  <c r="J5098" i="20"/>
  <c r="J5097" i="20"/>
  <c r="J5096" i="20"/>
  <c r="J5095" i="20"/>
  <c r="J5094" i="20"/>
  <c r="J5093" i="20"/>
  <c r="J5092" i="20"/>
  <c r="J5091" i="20"/>
  <c r="J5090" i="20"/>
  <c r="J5089" i="20"/>
  <c r="J5088" i="20"/>
  <c r="J5087" i="20"/>
  <c r="J5086" i="20"/>
  <c r="J5085" i="20"/>
  <c r="J5084" i="20"/>
  <c r="J5083" i="20"/>
  <c r="J5082" i="20"/>
  <c r="J5081" i="20"/>
  <c r="J5080" i="20"/>
  <c r="J5079" i="20"/>
  <c r="J5078" i="20"/>
  <c r="J5077" i="20"/>
  <c r="J5076" i="20"/>
  <c r="J5075" i="20"/>
  <c r="J5074" i="20"/>
  <c r="J5073" i="20"/>
  <c r="J5072" i="20"/>
  <c r="J5071" i="20"/>
  <c r="J5070" i="20"/>
  <c r="J5069" i="20"/>
  <c r="J5068" i="20"/>
  <c r="J5067" i="20"/>
  <c r="J5066" i="20"/>
  <c r="J5065" i="20"/>
  <c r="J5064" i="20"/>
  <c r="J5063" i="20"/>
  <c r="J5062" i="20"/>
  <c r="J5061" i="20"/>
  <c r="J5060" i="20"/>
  <c r="J5059" i="20"/>
  <c r="J5058" i="20"/>
  <c r="J5057" i="20"/>
  <c r="J5056" i="20"/>
  <c r="J5055" i="20"/>
  <c r="J5054" i="20"/>
  <c r="J5053" i="20"/>
  <c r="J5052" i="20"/>
  <c r="J5051" i="20"/>
  <c r="J5050" i="20"/>
  <c r="J5049" i="20"/>
  <c r="J5048" i="20"/>
  <c r="J5047" i="20"/>
  <c r="J5046" i="20"/>
  <c r="J5045" i="20"/>
  <c r="J5044" i="20"/>
  <c r="J5043" i="20"/>
  <c r="J5042" i="20"/>
  <c r="J5041" i="20"/>
  <c r="J5040" i="20"/>
  <c r="J5039" i="20"/>
  <c r="J5038" i="20"/>
  <c r="J5037" i="20"/>
  <c r="J5036" i="20"/>
  <c r="J5035" i="20"/>
  <c r="J5034" i="20"/>
  <c r="J5033" i="20"/>
  <c r="J5032" i="20"/>
  <c r="J5031" i="20"/>
  <c r="J5030" i="20"/>
  <c r="J5029" i="20"/>
  <c r="J5028" i="20"/>
  <c r="J5027" i="20"/>
  <c r="J5026" i="20"/>
  <c r="J5025" i="20"/>
  <c r="J5024" i="20"/>
  <c r="J5023" i="20"/>
  <c r="J5022" i="20"/>
  <c r="J5021" i="20"/>
  <c r="J5020" i="20"/>
  <c r="J5019" i="20"/>
  <c r="J5018" i="20"/>
  <c r="J5017" i="20"/>
  <c r="J5016" i="20"/>
  <c r="J5015" i="20"/>
  <c r="J5014" i="20"/>
  <c r="J5013" i="20"/>
  <c r="J5012" i="20"/>
  <c r="J5011" i="20"/>
  <c r="J5010" i="20"/>
  <c r="J5009" i="20"/>
  <c r="J5008" i="20"/>
  <c r="J5007" i="20"/>
  <c r="J5006" i="20"/>
  <c r="J5005" i="20"/>
  <c r="J5004" i="20"/>
  <c r="J5003" i="20"/>
  <c r="J5002" i="20"/>
  <c r="J5001" i="20"/>
  <c r="J5000" i="20"/>
  <c r="J4999" i="20"/>
  <c r="J4998" i="20"/>
  <c r="J4997" i="20"/>
  <c r="J4996" i="20"/>
  <c r="J4995" i="20"/>
  <c r="J4994" i="20"/>
  <c r="J4993" i="20"/>
  <c r="J4992" i="20"/>
  <c r="J4991" i="20"/>
  <c r="J4990" i="20"/>
  <c r="J4989" i="20"/>
  <c r="J4988" i="20"/>
  <c r="J4987" i="20"/>
  <c r="J4986" i="20"/>
  <c r="J4985" i="20"/>
  <c r="J4984" i="20"/>
  <c r="J4983" i="20"/>
  <c r="J4982" i="20"/>
  <c r="J4981" i="20"/>
  <c r="J4980" i="20"/>
  <c r="J4979" i="20"/>
  <c r="J4978" i="20"/>
  <c r="J4977" i="20"/>
  <c r="J4976" i="20"/>
  <c r="J4975" i="20"/>
  <c r="J4974" i="20"/>
  <c r="J4973" i="20"/>
  <c r="J4972" i="20"/>
  <c r="J4971" i="20"/>
  <c r="J4970" i="20"/>
  <c r="J4969" i="20"/>
  <c r="J4968" i="20"/>
  <c r="J4967" i="20"/>
  <c r="J4966" i="20"/>
  <c r="J4965" i="20"/>
  <c r="J4964" i="20"/>
  <c r="J4963" i="20"/>
  <c r="J4962" i="20"/>
  <c r="J4961" i="20"/>
  <c r="J4960" i="20"/>
  <c r="J4959" i="20"/>
  <c r="J4958" i="20"/>
  <c r="J4957" i="20"/>
  <c r="J4956" i="20"/>
  <c r="J4955" i="20"/>
  <c r="J4954" i="20"/>
  <c r="J4953" i="20"/>
  <c r="J4952" i="20"/>
  <c r="J4951" i="20"/>
  <c r="J4950" i="20"/>
  <c r="J4949" i="20"/>
  <c r="J4948" i="20"/>
  <c r="J4947" i="20"/>
  <c r="J4946" i="20"/>
  <c r="J4945" i="20"/>
  <c r="J4944" i="20"/>
  <c r="J4943" i="20"/>
  <c r="J4942" i="20"/>
  <c r="J4941" i="20"/>
  <c r="J4940" i="20"/>
  <c r="J4939" i="20"/>
  <c r="J4938" i="20"/>
  <c r="J4937" i="20"/>
  <c r="J4936" i="20"/>
  <c r="J4935" i="20"/>
  <c r="J4934" i="20"/>
  <c r="J4933" i="20"/>
  <c r="J4932" i="20"/>
  <c r="J4931" i="20"/>
  <c r="J4930" i="20"/>
  <c r="J4929" i="20"/>
  <c r="J4928" i="20"/>
  <c r="J4927" i="20"/>
  <c r="J4926" i="20"/>
  <c r="J4925" i="20"/>
  <c r="J4924" i="20"/>
  <c r="J4923" i="20"/>
  <c r="J4922" i="20"/>
  <c r="J4921" i="20"/>
  <c r="J4920" i="20"/>
  <c r="J4919" i="20"/>
  <c r="J4918" i="20"/>
  <c r="J4917" i="20"/>
  <c r="J4916" i="20"/>
  <c r="J4915" i="20"/>
  <c r="J4914" i="20"/>
  <c r="J4913" i="20"/>
  <c r="J4912" i="20"/>
  <c r="J4911" i="20"/>
  <c r="J4910" i="20"/>
  <c r="J4909" i="20"/>
  <c r="J4908" i="20"/>
  <c r="J4907" i="20"/>
  <c r="J4906" i="20"/>
  <c r="J4905" i="20"/>
  <c r="J4904" i="20"/>
  <c r="J4903" i="20"/>
  <c r="J4902" i="20"/>
  <c r="J4901" i="20"/>
  <c r="J4900" i="20"/>
  <c r="J4899" i="20"/>
  <c r="J4898" i="20"/>
  <c r="J4897" i="20"/>
  <c r="J4896" i="20"/>
  <c r="J4895" i="20"/>
  <c r="J4894" i="20"/>
  <c r="J4893" i="20"/>
  <c r="J4892" i="20"/>
  <c r="J4891" i="20"/>
  <c r="J4890" i="20"/>
  <c r="J4889" i="20"/>
  <c r="J4888" i="20"/>
  <c r="J4887" i="20"/>
  <c r="J4886" i="20"/>
  <c r="J4885" i="20"/>
  <c r="J4884" i="20"/>
  <c r="J4883" i="20"/>
  <c r="J4882" i="20"/>
  <c r="J4881" i="20"/>
  <c r="J4880" i="20"/>
  <c r="J4879" i="20"/>
  <c r="J4878" i="20"/>
  <c r="J4877" i="20"/>
  <c r="J4876" i="20"/>
  <c r="J4875" i="20"/>
  <c r="J4874" i="20"/>
  <c r="J4873" i="20"/>
  <c r="J4872" i="20"/>
  <c r="J4871" i="20"/>
  <c r="J4870" i="20"/>
  <c r="J4869" i="20"/>
  <c r="J4868" i="20"/>
  <c r="J4867" i="20"/>
  <c r="J4866" i="20"/>
  <c r="J4865" i="20"/>
  <c r="J4864" i="20"/>
  <c r="J4863" i="20"/>
  <c r="J4862" i="20"/>
  <c r="J4861" i="20"/>
  <c r="J4860" i="20"/>
  <c r="J4859" i="20"/>
  <c r="J4858" i="20"/>
  <c r="J4857" i="20"/>
  <c r="J4856" i="20"/>
  <c r="J4855" i="20"/>
  <c r="J4854" i="20"/>
  <c r="J4853" i="20"/>
  <c r="J4852" i="20"/>
  <c r="J4851" i="20"/>
  <c r="J4850" i="20"/>
  <c r="J4849" i="20"/>
  <c r="J4848" i="20"/>
  <c r="J4847" i="20"/>
  <c r="J4846" i="20"/>
  <c r="J4845" i="20"/>
  <c r="J4844" i="20"/>
  <c r="J4843" i="20"/>
  <c r="J4842" i="20"/>
  <c r="J4841" i="20"/>
  <c r="J4840" i="20"/>
  <c r="J4839" i="20"/>
  <c r="J4838" i="20"/>
  <c r="J4837" i="20"/>
  <c r="J4836" i="20"/>
  <c r="J4835" i="20"/>
  <c r="J4834" i="20"/>
  <c r="J4833" i="20"/>
  <c r="J4832" i="20"/>
  <c r="J4831" i="20"/>
  <c r="J4830" i="20"/>
  <c r="J4829" i="20"/>
  <c r="J4828" i="20"/>
  <c r="J4827" i="20"/>
  <c r="J4826" i="20"/>
  <c r="J4825" i="20"/>
  <c r="J4824" i="20"/>
  <c r="J4823" i="20"/>
  <c r="J4822" i="20"/>
  <c r="J4821" i="20"/>
  <c r="J4820" i="20"/>
  <c r="J4819" i="20"/>
  <c r="J4818" i="20"/>
  <c r="J4817" i="20"/>
  <c r="J4816" i="20"/>
  <c r="J4815" i="20"/>
  <c r="J4814" i="20"/>
  <c r="J4813" i="20"/>
  <c r="J4812" i="20"/>
  <c r="J4811" i="20"/>
  <c r="J4810" i="20"/>
  <c r="J4809" i="20"/>
  <c r="J4808" i="20"/>
  <c r="J4807" i="20"/>
  <c r="J4806" i="20"/>
  <c r="J4805" i="20"/>
  <c r="J4804" i="20"/>
  <c r="J4803" i="20"/>
  <c r="J4802" i="20"/>
  <c r="J4801" i="20"/>
  <c r="J4800" i="20"/>
  <c r="J4799" i="20"/>
  <c r="J4798" i="20"/>
  <c r="J4797" i="20"/>
  <c r="J4796" i="20"/>
  <c r="J4795" i="20"/>
  <c r="J4794" i="20"/>
  <c r="J4793" i="20"/>
  <c r="J4792" i="20"/>
  <c r="J4791" i="20"/>
  <c r="J4790" i="20"/>
  <c r="J4789" i="20"/>
  <c r="J4788" i="20"/>
  <c r="J4787" i="20"/>
  <c r="J4786" i="20"/>
  <c r="J4785" i="20"/>
  <c r="J4784" i="20"/>
  <c r="J4783" i="20"/>
  <c r="J4782" i="20"/>
  <c r="J4781" i="20"/>
  <c r="J4780" i="20"/>
  <c r="J4779" i="20"/>
  <c r="J4778" i="20"/>
  <c r="J4777" i="20"/>
  <c r="J4776" i="20"/>
  <c r="J4775" i="20"/>
  <c r="J4774" i="20"/>
  <c r="J4773" i="20"/>
  <c r="J4772" i="20"/>
  <c r="J4771" i="20"/>
  <c r="J4770" i="20"/>
  <c r="J4769" i="20"/>
  <c r="J4768" i="20"/>
  <c r="J4767" i="20"/>
  <c r="J4766" i="20"/>
  <c r="J4765" i="20"/>
  <c r="J4764" i="20"/>
  <c r="J4763" i="20"/>
  <c r="J4762" i="20"/>
  <c r="J4761" i="20"/>
  <c r="J4760" i="20"/>
  <c r="J4759" i="20"/>
  <c r="J4758" i="20"/>
  <c r="J4757" i="20"/>
  <c r="J4756" i="20"/>
  <c r="J4755" i="20"/>
  <c r="J4754" i="20"/>
  <c r="J4753" i="20"/>
  <c r="J4752" i="20"/>
  <c r="J4751" i="20"/>
  <c r="J4750" i="20"/>
  <c r="J4749" i="20"/>
  <c r="J4748" i="20"/>
  <c r="J4747" i="20"/>
  <c r="J4746" i="20"/>
  <c r="J4745" i="20"/>
  <c r="J4744" i="20"/>
  <c r="J4743" i="20"/>
  <c r="J4742" i="20"/>
  <c r="J4741" i="20"/>
  <c r="J4740" i="20"/>
  <c r="J4739" i="20"/>
  <c r="J4738" i="20"/>
  <c r="J4737" i="20"/>
  <c r="J4736" i="20"/>
  <c r="J4735" i="20"/>
  <c r="J4734" i="20"/>
  <c r="J4733" i="20"/>
  <c r="J4732" i="20"/>
  <c r="J4731" i="20"/>
  <c r="J4730" i="20"/>
  <c r="J4729" i="20"/>
  <c r="J4728" i="20"/>
  <c r="J4727" i="20"/>
  <c r="J4726" i="20"/>
  <c r="J4725" i="20"/>
  <c r="J4724" i="20"/>
  <c r="J4723" i="20"/>
  <c r="J4722" i="20"/>
  <c r="J4721" i="20"/>
  <c r="J4720" i="20"/>
  <c r="J4719" i="20"/>
  <c r="J4718" i="20"/>
  <c r="J4717" i="20"/>
  <c r="J4716" i="20"/>
  <c r="J4715" i="20"/>
  <c r="J4714" i="20"/>
  <c r="J4713" i="20"/>
  <c r="J4712" i="20"/>
  <c r="J4711" i="20"/>
  <c r="J4710" i="20"/>
  <c r="J4709" i="20"/>
  <c r="J4708" i="20"/>
  <c r="J4707" i="20"/>
  <c r="J4706" i="20"/>
  <c r="J4705" i="20"/>
  <c r="J4704" i="20"/>
  <c r="J4703" i="20"/>
  <c r="J4702" i="20"/>
  <c r="J4701" i="20"/>
  <c r="J4700" i="20"/>
  <c r="J4699" i="20"/>
  <c r="J4698" i="20"/>
  <c r="J4697" i="20"/>
  <c r="J4696" i="20"/>
  <c r="J4695" i="20"/>
  <c r="J4694" i="20"/>
  <c r="J4693" i="20"/>
  <c r="J4692" i="20"/>
  <c r="J4691" i="20"/>
  <c r="J4690" i="20"/>
  <c r="J4689" i="20"/>
  <c r="J4688" i="20"/>
  <c r="J4687" i="20"/>
  <c r="J4686" i="20"/>
  <c r="J4685" i="20"/>
  <c r="J4684" i="20"/>
  <c r="J4683" i="20"/>
  <c r="J4682" i="20"/>
  <c r="J4681" i="20"/>
  <c r="J4680" i="20"/>
  <c r="J4679" i="20"/>
  <c r="J4678" i="20"/>
  <c r="J4677" i="20"/>
  <c r="J4676" i="20"/>
  <c r="J4675" i="20"/>
  <c r="J4674" i="20"/>
  <c r="J4673" i="20"/>
  <c r="J4672" i="20"/>
  <c r="J4671" i="20"/>
  <c r="J4670" i="20"/>
  <c r="J4669" i="20"/>
  <c r="J4668" i="20"/>
  <c r="J4667" i="20"/>
  <c r="J4666" i="20"/>
  <c r="J4665" i="20"/>
  <c r="J4664" i="20"/>
  <c r="J4663" i="20"/>
  <c r="J4662" i="20"/>
  <c r="J4661" i="20"/>
  <c r="J4660" i="20"/>
  <c r="J4659" i="20"/>
  <c r="J4658" i="20"/>
  <c r="J4657" i="20"/>
  <c r="J4656" i="20"/>
  <c r="J4655" i="20"/>
  <c r="J4654" i="20"/>
  <c r="J4653" i="20"/>
  <c r="J4652" i="20"/>
  <c r="J4651" i="20"/>
  <c r="J4650" i="20"/>
  <c r="J4649" i="20"/>
  <c r="J4648" i="20"/>
  <c r="J4647" i="20"/>
  <c r="J4646" i="20"/>
  <c r="J4645" i="20"/>
  <c r="J4644" i="20"/>
  <c r="J4643" i="20"/>
  <c r="J4642" i="20"/>
  <c r="J4641" i="20"/>
  <c r="J4640" i="20"/>
  <c r="J4639" i="20"/>
  <c r="J4638" i="20"/>
  <c r="J4637" i="20"/>
  <c r="J4636" i="20"/>
  <c r="J4635" i="20"/>
  <c r="J4634" i="20"/>
  <c r="J4633" i="20"/>
  <c r="J4632" i="20"/>
  <c r="J4631" i="20"/>
  <c r="J4630" i="20"/>
  <c r="J4629" i="20"/>
  <c r="J4628" i="20"/>
  <c r="J4627" i="20"/>
  <c r="J4626" i="20"/>
  <c r="J4625" i="20"/>
  <c r="J4624" i="20"/>
  <c r="J4623" i="20"/>
  <c r="J4622" i="20"/>
  <c r="J4621" i="20"/>
  <c r="J4620" i="20"/>
  <c r="J4619" i="20"/>
  <c r="J4618" i="20"/>
  <c r="J4617" i="20"/>
  <c r="J4616" i="20"/>
  <c r="J4615" i="20"/>
  <c r="J4614" i="20"/>
  <c r="J4613" i="20"/>
  <c r="J4612" i="20"/>
  <c r="J4611" i="20"/>
  <c r="J4610" i="20"/>
  <c r="J4609" i="20"/>
  <c r="J4608" i="20"/>
  <c r="J4607" i="20"/>
  <c r="J4606" i="20"/>
  <c r="J4605" i="20"/>
  <c r="J4604" i="20"/>
  <c r="J4603" i="20"/>
  <c r="J4602" i="20"/>
  <c r="J4601" i="20"/>
  <c r="J4600" i="20"/>
  <c r="J4599" i="20"/>
  <c r="J4598" i="20"/>
  <c r="J4597" i="20"/>
  <c r="J4596" i="20"/>
  <c r="J4595" i="20"/>
  <c r="J4594" i="20"/>
  <c r="J4593" i="20"/>
  <c r="J4592" i="20"/>
  <c r="J4591" i="20"/>
  <c r="J4590" i="20"/>
  <c r="J4589" i="20"/>
  <c r="J4588" i="20"/>
  <c r="J4587" i="20"/>
  <c r="J4586" i="20"/>
  <c r="J4585" i="20"/>
  <c r="J4584" i="20"/>
  <c r="J4583" i="20"/>
  <c r="J4582" i="20"/>
  <c r="J4581" i="20"/>
  <c r="J4580" i="20"/>
  <c r="J4579" i="20"/>
  <c r="J4578" i="20"/>
  <c r="J4577" i="20"/>
  <c r="J4576" i="20"/>
  <c r="J4575" i="20"/>
  <c r="J4574" i="20"/>
  <c r="J4573" i="20"/>
  <c r="J4572" i="20"/>
  <c r="J4571" i="20"/>
  <c r="J4570" i="20"/>
  <c r="J4569" i="20"/>
  <c r="J4568" i="20"/>
  <c r="J4567" i="20"/>
  <c r="J4566" i="20"/>
  <c r="J4565" i="20"/>
  <c r="J4564" i="20"/>
  <c r="J4563" i="20"/>
  <c r="J4562" i="20"/>
  <c r="J4561" i="20"/>
  <c r="J4560" i="20"/>
  <c r="J4559" i="20"/>
  <c r="J4558" i="20"/>
  <c r="J4557" i="20"/>
  <c r="J4556" i="20"/>
  <c r="J4555" i="20"/>
  <c r="J4554" i="20"/>
  <c r="J4553" i="20"/>
  <c r="J4552" i="20"/>
  <c r="J4551" i="20"/>
  <c r="J4550" i="20"/>
  <c r="J4549" i="20"/>
  <c r="J4548" i="20"/>
  <c r="J4547" i="20"/>
  <c r="J4546" i="20"/>
  <c r="J4545" i="20"/>
  <c r="J4544" i="20"/>
  <c r="J4543" i="20"/>
  <c r="J4542" i="20"/>
  <c r="J4541" i="20"/>
  <c r="J4540" i="20"/>
  <c r="J4539" i="20"/>
  <c r="J4538" i="20"/>
  <c r="J4537" i="20"/>
  <c r="J4536" i="20"/>
  <c r="J4535" i="20"/>
  <c r="J4534" i="20"/>
  <c r="J4533" i="20"/>
  <c r="J4532" i="20"/>
  <c r="J4531" i="20"/>
  <c r="J4530" i="20"/>
  <c r="J4529" i="20"/>
  <c r="J4528" i="20"/>
  <c r="J4527" i="20"/>
  <c r="J4526" i="20"/>
  <c r="J4525" i="20"/>
  <c r="J4524" i="20"/>
  <c r="J4523" i="20"/>
  <c r="J4522" i="20"/>
  <c r="J4521" i="20"/>
  <c r="J4520" i="20"/>
  <c r="J4519" i="20"/>
  <c r="J4518" i="20"/>
  <c r="J4517" i="20"/>
  <c r="J4516" i="20"/>
  <c r="J4515" i="20"/>
  <c r="J4514" i="20"/>
  <c r="J4513" i="20"/>
  <c r="J4512" i="20"/>
  <c r="J4511" i="20"/>
  <c r="J4510" i="20"/>
  <c r="J4509" i="20"/>
  <c r="J4508" i="20"/>
  <c r="J4507" i="20"/>
  <c r="J4506" i="20"/>
  <c r="J4505" i="20"/>
  <c r="J4504" i="20"/>
  <c r="J4503" i="20"/>
  <c r="J4502" i="20"/>
  <c r="J4501" i="20"/>
  <c r="J4500" i="20"/>
  <c r="J4499" i="20"/>
  <c r="J4498" i="20"/>
  <c r="J4497" i="20"/>
  <c r="J4496" i="20"/>
  <c r="J4495" i="20"/>
  <c r="J4494" i="20"/>
  <c r="J4493" i="20"/>
  <c r="J4492" i="20"/>
  <c r="J4491" i="20"/>
  <c r="J4490" i="20"/>
  <c r="J4489" i="20"/>
  <c r="J4488" i="20"/>
  <c r="J4487" i="20"/>
  <c r="J4486" i="20"/>
  <c r="J4485" i="20"/>
  <c r="J4484" i="20"/>
  <c r="J4483" i="20"/>
  <c r="J4482" i="20"/>
  <c r="J4481" i="20"/>
  <c r="J4480" i="20"/>
  <c r="J4479" i="20"/>
  <c r="J4478" i="20"/>
  <c r="J4477" i="20"/>
  <c r="J4476" i="20"/>
  <c r="J4475" i="20"/>
  <c r="J4474" i="20"/>
  <c r="J4473" i="20"/>
  <c r="J4472" i="20"/>
  <c r="J4471" i="20"/>
  <c r="J4470" i="20"/>
  <c r="J4469" i="20"/>
  <c r="J4468" i="20"/>
  <c r="J4467" i="20"/>
  <c r="J4466" i="20"/>
  <c r="J4465" i="20"/>
  <c r="J4464" i="20"/>
  <c r="J4463" i="20"/>
  <c r="J4462" i="20"/>
  <c r="J4461" i="20"/>
  <c r="J4460" i="20"/>
  <c r="J4459" i="20"/>
  <c r="J4458" i="20"/>
  <c r="J4457" i="20"/>
  <c r="J4456" i="20"/>
  <c r="J4455" i="20"/>
  <c r="J4454" i="20"/>
  <c r="J4453" i="20"/>
  <c r="J4452" i="20"/>
  <c r="J4451" i="20"/>
  <c r="J4450" i="20"/>
  <c r="J4449" i="20"/>
  <c r="J4448" i="20"/>
  <c r="J4447" i="20"/>
  <c r="J4446" i="20"/>
  <c r="J4445" i="20"/>
  <c r="J4444" i="20"/>
  <c r="J4443" i="20"/>
  <c r="J4442" i="20"/>
  <c r="J4441" i="20"/>
  <c r="J4440" i="20"/>
  <c r="J4439" i="20"/>
  <c r="J4438" i="20"/>
  <c r="J4437" i="20"/>
  <c r="J4436" i="20"/>
  <c r="J4435" i="20"/>
  <c r="J4434" i="20"/>
  <c r="J4433" i="20"/>
  <c r="J4432" i="20"/>
  <c r="J4431" i="20"/>
  <c r="J4430" i="20"/>
  <c r="J4429" i="20"/>
  <c r="J4428" i="20"/>
  <c r="J4427" i="20"/>
  <c r="J4426" i="20"/>
  <c r="J4425" i="20"/>
  <c r="J4424" i="20"/>
  <c r="J4423" i="20"/>
  <c r="J4422" i="20"/>
  <c r="J4421" i="20"/>
  <c r="J4420" i="20"/>
  <c r="J4419" i="20"/>
  <c r="J4418" i="20"/>
  <c r="J4417" i="20"/>
  <c r="J4416" i="20"/>
  <c r="J4415" i="20"/>
  <c r="J4414" i="20"/>
  <c r="J4413" i="20"/>
  <c r="J4412" i="20"/>
  <c r="J4411" i="20"/>
  <c r="J4410" i="20"/>
  <c r="J4409" i="20"/>
  <c r="J4408" i="20"/>
  <c r="J4407" i="20"/>
  <c r="J4406" i="20"/>
  <c r="J4405" i="20"/>
  <c r="J4404" i="20"/>
  <c r="J4403" i="20"/>
  <c r="J4402" i="20"/>
  <c r="J4401" i="20"/>
  <c r="J4400" i="20"/>
  <c r="J4399" i="20"/>
  <c r="J4398" i="20"/>
  <c r="J4397" i="20"/>
  <c r="J4396" i="20"/>
  <c r="J4395" i="20"/>
  <c r="J4394" i="20"/>
  <c r="J4393" i="20"/>
  <c r="J4392" i="20"/>
  <c r="J4391" i="20"/>
  <c r="J4390" i="20"/>
  <c r="J4389" i="20"/>
  <c r="J4388" i="20"/>
  <c r="J4387" i="20"/>
  <c r="J4386" i="20"/>
  <c r="J4385" i="20"/>
  <c r="J4384" i="20"/>
  <c r="J4383" i="20"/>
  <c r="J4382" i="20"/>
  <c r="J4381" i="20"/>
  <c r="J4380" i="20"/>
  <c r="J4379" i="20"/>
  <c r="J4378" i="20"/>
  <c r="J4377" i="20"/>
  <c r="J4376" i="20"/>
  <c r="J4375" i="20"/>
  <c r="J4374" i="20"/>
  <c r="J4373" i="20"/>
  <c r="J4372" i="20"/>
  <c r="J4371" i="20"/>
  <c r="J4370" i="20"/>
  <c r="J4369" i="20"/>
  <c r="J4368" i="20"/>
  <c r="J4367" i="20"/>
  <c r="J4366" i="20"/>
  <c r="J4365" i="20"/>
  <c r="J4364" i="20"/>
  <c r="J4363" i="20"/>
  <c r="J4362" i="20"/>
  <c r="J4361" i="20"/>
  <c r="J4360" i="20"/>
  <c r="J4359" i="20"/>
  <c r="J4358" i="20"/>
  <c r="J4357" i="20"/>
  <c r="J4356" i="20"/>
  <c r="J4355" i="20"/>
  <c r="J4354" i="20"/>
  <c r="J4353" i="20"/>
  <c r="J4352" i="20"/>
  <c r="J4351" i="20"/>
  <c r="J4350" i="20"/>
  <c r="J4349" i="20"/>
  <c r="J4348" i="20"/>
  <c r="J4347" i="20"/>
  <c r="J4346" i="20"/>
  <c r="J4345" i="20"/>
  <c r="J4344" i="20"/>
  <c r="J4343" i="20"/>
  <c r="J4342" i="20"/>
  <c r="J4341" i="20"/>
  <c r="J4340" i="20"/>
  <c r="J4339" i="20"/>
  <c r="J4338" i="20"/>
  <c r="J4337" i="20"/>
  <c r="J4336" i="20"/>
  <c r="J4335" i="20"/>
  <c r="J4334" i="20"/>
  <c r="J4333" i="20"/>
  <c r="J4332" i="20"/>
  <c r="J4331" i="20"/>
  <c r="J4330" i="20"/>
  <c r="J4329" i="20"/>
  <c r="J4328" i="20"/>
  <c r="J4327" i="20"/>
  <c r="J4326" i="20"/>
  <c r="J4325" i="20"/>
  <c r="J4324" i="20"/>
  <c r="J4323" i="20"/>
  <c r="J4322" i="20"/>
  <c r="J4321" i="20"/>
  <c r="J4320" i="20"/>
  <c r="J4319" i="20"/>
  <c r="J4318" i="20"/>
  <c r="J4317" i="20"/>
  <c r="J4316" i="20"/>
  <c r="J4315" i="20"/>
  <c r="J4314" i="20"/>
  <c r="J4313" i="20"/>
  <c r="J4312" i="20"/>
  <c r="J4311" i="20"/>
  <c r="J4310" i="20"/>
  <c r="J4309" i="20"/>
  <c r="J4308" i="20"/>
  <c r="J4307" i="20"/>
  <c r="J4306" i="20"/>
  <c r="J4305" i="20"/>
  <c r="J4304" i="20"/>
  <c r="J4303" i="20"/>
  <c r="J4302" i="20"/>
  <c r="J4301" i="20"/>
  <c r="J4300" i="20"/>
  <c r="J4299" i="20"/>
  <c r="J4298" i="20"/>
  <c r="J4297" i="20"/>
  <c r="J4296" i="20"/>
  <c r="J4295" i="20"/>
  <c r="J4294" i="20"/>
  <c r="J4293" i="20"/>
  <c r="J4292" i="20"/>
  <c r="J4291" i="20"/>
  <c r="J4290" i="20"/>
  <c r="J4289" i="20"/>
  <c r="J4288" i="20"/>
  <c r="J4287" i="20"/>
  <c r="J4286" i="20"/>
  <c r="J4285" i="20"/>
  <c r="J4284" i="20"/>
  <c r="J4283" i="20"/>
  <c r="J4282" i="20"/>
  <c r="J4281" i="20"/>
  <c r="J4280" i="20"/>
  <c r="J4279" i="20"/>
  <c r="J4278" i="20"/>
  <c r="J4277" i="20"/>
  <c r="J4276" i="20"/>
  <c r="J4275" i="20"/>
  <c r="J4274" i="20"/>
  <c r="J4273" i="20"/>
  <c r="J4272" i="20"/>
  <c r="J4271" i="20"/>
  <c r="J4270" i="20"/>
  <c r="J4269" i="20"/>
  <c r="J4268" i="20"/>
  <c r="J4267" i="20"/>
  <c r="J4266" i="20"/>
  <c r="J4265" i="20"/>
  <c r="J4264" i="20"/>
  <c r="J4263" i="20"/>
  <c r="J4262" i="20"/>
  <c r="J4261" i="20"/>
  <c r="J4260" i="20"/>
  <c r="J4259" i="20"/>
  <c r="J4258" i="20"/>
  <c r="J4257" i="20"/>
  <c r="J4256" i="20"/>
  <c r="J4255" i="20"/>
  <c r="J4254" i="20"/>
  <c r="J4253" i="20"/>
  <c r="J4252" i="20"/>
  <c r="J4251" i="20"/>
  <c r="J4250" i="20"/>
  <c r="J4249" i="20"/>
  <c r="J4248" i="20"/>
  <c r="J4247" i="20"/>
  <c r="J4246" i="20"/>
  <c r="J4245" i="20"/>
  <c r="J4244" i="20"/>
  <c r="J4243" i="20"/>
  <c r="J4242" i="20"/>
  <c r="J4241" i="20"/>
  <c r="J4240" i="20"/>
  <c r="J4239" i="20"/>
  <c r="J4238" i="20"/>
  <c r="J4237" i="20"/>
  <c r="J4236" i="20"/>
  <c r="J4235" i="20"/>
  <c r="J4234" i="20"/>
  <c r="J4233" i="20"/>
  <c r="J4232" i="20"/>
  <c r="J4231" i="20"/>
  <c r="J4230" i="20"/>
  <c r="J4229" i="20"/>
  <c r="J4228" i="20"/>
  <c r="J4227" i="20"/>
  <c r="J4226" i="20"/>
  <c r="J4225" i="20"/>
  <c r="J4224" i="20"/>
  <c r="J4223" i="20"/>
  <c r="J4222" i="20"/>
  <c r="J4221" i="20"/>
  <c r="J4220" i="20"/>
  <c r="J4219" i="20"/>
  <c r="J4218" i="20"/>
  <c r="J4217" i="20"/>
  <c r="J4216" i="20"/>
  <c r="J4215" i="20"/>
  <c r="J4214" i="20"/>
  <c r="J4213" i="20"/>
  <c r="J4212" i="20"/>
  <c r="J4211" i="20"/>
  <c r="J4210" i="20"/>
  <c r="J4209" i="20"/>
  <c r="J4208" i="20"/>
  <c r="J4207" i="20"/>
  <c r="J4206" i="20"/>
  <c r="J4205" i="20"/>
  <c r="J4204" i="20"/>
  <c r="J4203" i="20"/>
  <c r="J4202" i="20"/>
  <c r="J4201" i="20"/>
  <c r="J4200" i="20"/>
  <c r="J4199" i="20"/>
  <c r="J4198" i="20"/>
  <c r="J4197" i="20"/>
  <c r="J4196" i="20"/>
  <c r="J4195" i="20"/>
  <c r="J4194" i="20"/>
  <c r="J4193" i="20"/>
  <c r="J4192" i="20"/>
  <c r="J4191" i="20"/>
  <c r="J4190" i="20"/>
  <c r="J4189" i="20"/>
  <c r="J4188" i="20"/>
  <c r="J4187" i="20"/>
  <c r="J4186" i="20"/>
  <c r="J4185" i="20"/>
  <c r="J4184" i="20"/>
  <c r="J4183" i="20"/>
  <c r="J4182" i="20"/>
  <c r="J4181" i="20"/>
  <c r="J4180" i="20"/>
  <c r="J4179" i="20"/>
  <c r="J4178" i="20"/>
  <c r="J4177" i="20"/>
  <c r="J4176" i="20"/>
  <c r="J4175" i="20"/>
  <c r="J4174" i="20"/>
  <c r="J4173" i="20"/>
  <c r="J4172" i="20"/>
  <c r="J4171" i="20"/>
  <c r="J4170" i="20"/>
  <c r="J4169" i="20"/>
  <c r="J4168" i="20"/>
  <c r="J4167" i="20"/>
  <c r="J4166" i="20"/>
  <c r="J4165" i="20"/>
  <c r="J4164" i="20"/>
  <c r="J4163" i="20"/>
  <c r="J4162" i="20"/>
  <c r="J4161" i="20"/>
  <c r="J4160" i="20"/>
  <c r="J4159" i="20"/>
  <c r="J4158" i="20"/>
  <c r="J4157" i="20"/>
  <c r="J4156" i="20"/>
  <c r="J4155" i="20"/>
  <c r="J4154" i="20"/>
  <c r="J4153" i="20"/>
  <c r="J4152" i="20"/>
  <c r="J4151" i="20"/>
  <c r="J4150" i="20"/>
  <c r="J4149" i="20"/>
  <c r="J4148" i="20"/>
  <c r="J4147" i="20"/>
  <c r="J4146" i="20"/>
  <c r="J4145" i="20"/>
  <c r="J4144" i="20"/>
  <c r="J4143" i="20"/>
  <c r="J4142" i="20"/>
  <c r="J4141" i="20"/>
  <c r="J4140" i="20"/>
  <c r="J4139" i="20"/>
  <c r="J4138" i="20"/>
  <c r="J4137" i="20"/>
  <c r="J4136" i="20"/>
  <c r="J4135" i="20"/>
  <c r="J4134" i="20"/>
  <c r="J4133" i="20"/>
  <c r="J4132" i="20"/>
  <c r="J4131" i="20"/>
  <c r="J4130" i="20"/>
  <c r="J4129" i="20"/>
  <c r="J4128" i="20"/>
  <c r="J4127" i="20"/>
  <c r="J4126" i="20"/>
  <c r="J4125" i="20"/>
  <c r="J4124" i="20"/>
  <c r="J4123" i="20"/>
  <c r="J4122" i="20"/>
  <c r="J4121" i="20"/>
  <c r="J4120" i="20"/>
  <c r="J4119" i="20"/>
  <c r="J4118" i="20"/>
  <c r="J4117" i="20"/>
  <c r="J4116" i="20"/>
  <c r="J4115" i="20"/>
  <c r="J4114" i="20"/>
  <c r="J4113" i="20"/>
  <c r="J4112" i="20"/>
  <c r="J4111" i="20"/>
  <c r="J4110" i="20"/>
  <c r="J4109" i="20"/>
  <c r="J4108" i="20"/>
  <c r="J4107" i="20"/>
  <c r="J4106" i="20"/>
  <c r="J4105" i="20"/>
  <c r="J4104" i="20"/>
  <c r="J4103" i="20"/>
  <c r="J4102" i="20"/>
  <c r="J4101" i="20"/>
  <c r="J4100" i="20"/>
  <c r="J4099" i="20"/>
  <c r="J4098" i="20"/>
  <c r="J4097" i="20"/>
  <c r="J4096" i="20"/>
  <c r="J4095" i="20"/>
  <c r="J4094" i="20"/>
  <c r="J4093" i="20"/>
  <c r="J4092" i="20"/>
  <c r="J4091" i="20"/>
  <c r="J4090" i="20"/>
  <c r="J4089" i="20"/>
  <c r="J4088" i="20"/>
  <c r="J4087" i="20"/>
  <c r="J4086" i="20"/>
  <c r="J4085" i="20"/>
  <c r="J4084" i="20"/>
  <c r="J4083" i="20"/>
  <c r="J4082" i="20"/>
  <c r="J4081" i="20"/>
  <c r="J4080" i="20"/>
  <c r="J4079" i="20"/>
  <c r="J4078" i="20"/>
  <c r="J4077" i="20"/>
  <c r="J4076" i="20"/>
  <c r="J4075" i="20"/>
  <c r="J4074" i="20"/>
  <c r="J4073" i="20"/>
  <c r="J4072" i="20"/>
  <c r="J4071" i="20"/>
  <c r="J4070" i="20"/>
  <c r="J4069" i="20"/>
  <c r="J4068" i="20"/>
  <c r="J4067" i="20"/>
  <c r="J4066" i="20"/>
  <c r="J4065" i="20"/>
  <c r="J4064" i="20"/>
  <c r="J4063" i="20"/>
  <c r="J4062" i="20"/>
  <c r="J4061" i="20"/>
  <c r="J4060" i="20"/>
  <c r="J4059" i="20"/>
  <c r="J4058" i="20"/>
  <c r="J4057" i="20"/>
  <c r="J4056" i="20"/>
  <c r="J4055" i="20"/>
  <c r="J4054" i="20"/>
  <c r="J4053" i="20"/>
  <c r="J4052" i="20"/>
  <c r="J4051" i="20"/>
  <c r="J4050" i="20"/>
  <c r="J4049" i="20"/>
  <c r="J4048" i="20"/>
  <c r="J4047" i="20"/>
  <c r="J4046" i="20"/>
  <c r="J4045" i="20"/>
  <c r="J4044" i="20"/>
  <c r="J4043" i="20"/>
  <c r="J4042" i="20"/>
  <c r="J4041" i="20"/>
  <c r="J4040" i="20"/>
  <c r="J4039" i="20"/>
  <c r="J4038" i="20"/>
  <c r="J4037" i="20"/>
  <c r="J4036" i="20"/>
  <c r="J4035" i="20"/>
  <c r="J4034" i="20"/>
  <c r="J4033" i="20"/>
  <c r="J4032" i="20"/>
  <c r="J4031" i="20"/>
  <c r="J4030" i="20"/>
  <c r="J4029" i="20"/>
  <c r="J4028" i="20"/>
  <c r="J4027" i="20"/>
  <c r="J4026" i="20"/>
  <c r="J4025" i="20"/>
  <c r="J4024" i="20"/>
  <c r="J4023" i="20"/>
  <c r="J4022" i="20"/>
  <c r="J4021" i="20"/>
  <c r="J4020" i="20"/>
  <c r="J4019" i="20"/>
  <c r="J4018" i="20"/>
  <c r="J4017" i="20"/>
  <c r="J4016" i="20"/>
  <c r="J4015" i="20"/>
  <c r="J4014" i="20"/>
  <c r="J4013" i="20"/>
  <c r="J4012" i="20"/>
  <c r="J4011" i="20"/>
  <c r="J4010" i="20"/>
  <c r="J4009" i="20"/>
  <c r="J4008" i="20"/>
  <c r="J4007" i="20"/>
  <c r="J4006" i="20"/>
  <c r="J4005" i="20"/>
  <c r="J4004" i="20"/>
  <c r="J4003" i="20"/>
  <c r="J4002" i="20"/>
  <c r="J4001" i="20"/>
  <c r="J4000" i="20"/>
  <c r="J3999" i="20"/>
  <c r="J3998" i="20"/>
  <c r="J3997" i="20"/>
  <c r="J3996" i="20"/>
  <c r="J3995" i="20"/>
  <c r="J3994" i="20"/>
  <c r="J3993" i="20"/>
  <c r="J3992" i="20"/>
  <c r="J3991" i="20"/>
  <c r="J3990" i="20"/>
  <c r="J3989" i="20"/>
  <c r="J3988" i="20"/>
  <c r="J3987" i="20"/>
  <c r="J3986" i="20"/>
  <c r="J3985" i="20"/>
  <c r="J3984" i="20"/>
  <c r="J3983" i="20"/>
  <c r="J3982" i="20"/>
  <c r="J3981" i="20"/>
  <c r="J3980" i="20"/>
  <c r="J3979" i="20"/>
  <c r="J3978" i="20"/>
  <c r="J3977" i="20"/>
  <c r="J3976" i="20"/>
  <c r="J3975" i="20"/>
  <c r="J3974" i="20"/>
  <c r="J3973" i="20"/>
  <c r="J3972" i="20"/>
  <c r="J3971" i="20"/>
  <c r="J3970" i="20"/>
  <c r="J3969" i="20"/>
  <c r="J3968" i="20"/>
  <c r="J3967" i="20"/>
  <c r="J3966" i="20"/>
  <c r="J3965" i="20"/>
  <c r="J3964" i="20"/>
  <c r="J3963" i="20"/>
  <c r="J3962" i="20"/>
  <c r="J3961" i="20"/>
  <c r="J3960" i="20"/>
  <c r="J3959" i="20"/>
  <c r="J3958" i="20"/>
  <c r="J3957" i="20"/>
  <c r="J3956" i="20"/>
  <c r="J3955" i="20"/>
  <c r="J3954" i="20"/>
  <c r="J3953" i="20"/>
  <c r="J3952" i="20"/>
  <c r="J3951" i="20"/>
  <c r="J3950" i="20"/>
  <c r="J3949" i="20"/>
  <c r="J3948" i="20"/>
  <c r="J3947" i="20"/>
  <c r="J3946" i="20"/>
  <c r="J3945" i="20"/>
  <c r="J3944" i="20"/>
  <c r="J3943" i="20"/>
  <c r="J3942" i="20"/>
  <c r="J3941" i="20"/>
  <c r="J3940" i="20"/>
  <c r="J3939" i="20"/>
  <c r="J3938" i="20"/>
  <c r="J3937" i="20"/>
  <c r="J3936" i="20"/>
  <c r="J3935" i="20"/>
  <c r="J3934" i="20"/>
  <c r="J3933" i="20"/>
  <c r="J3932" i="20"/>
  <c r="J3931" i="20"/>
  <c r="J3930" i="20"/>
  <c r="J3929" i="20"/>
  <c r="J3928" i="20"/>
  <c r="J3927" i="20"/>
  <c r="J3926" i="20"/>
  <c r="J3925" i="20"/>
  <c r="J3924" i="20"/>
  <c r="J3923" i="20"/>
  <c r="J3922" i="20"/>
  <c r="J3921" i="20"/>
  <c r="J3920" i="20"/>
  <c r="J3919" i="20"/>
  <c r="J3918" i="20"/>
  <c r="J3917" i="20"/>
  <c r="J3916" i="20"/>
  <c r="J3915" i="20"/>
  <c r="J3914" i="20"/>
  <c r="J3913" i="20"/>
  <c r="J3912" i="20"/>
  <c r="J3911" i="20"/>
  <c r="J3910" i="20"/>
  <c r="J3909" i="20"/>
  <c r="J3908" i="20"/>
  <c r="J3907" i="20"/>
  <c r="J3906" i="20"/>
  <c r="J3905" i="20"/>
  <c r="J3904" i="20"/>
  <c r="J3903" i="20"/>
  <c r="J3902" i="20"/>
  <c r="J3901" i="20"/>
  <c r="J3900" i="20"/>
  <c r="J3899" i="20"/>
  <c r="J3898" i="20"/>
  <c r="J3897" i="20"/>
  <c r="J3896" i="20"/>
  <c r="J3895" i="20"/>
  <c r="J3894" i="20"/>
  <c r="J3893" i="20"/>
  <c r="J3892" i="20"/>
  <c r="J3891" i="20"/>
  <c r="J3890" i="20"/>
  <c r="J3889" i="20"/>
  <c r="J3888" i="20"/>
  <c r="J3887" i="20"/>
  <c r="J3886" i="20"/>
  <c r="J3885" i="20"/>
  <c r="J3884" i="20"/>
  <c r="J3883" i="20"/>
  <c r="J3882" i="20"/>
  <c r="J3881" i="20"/>
  <c r="J3880" i="20"/>
  <c r="J3879" i="20"/>
  <c r="J3878" i="20"/>
  <c r="J3877" i="20"/>
  <c r="J3876" i="20"/>
  <c r="J3875" i="20"/>
  <c r="J3874" i="20"/>
  <c r="J3873" i="20"/>
  <c r="J3872" i="20"/>
  <c r="J3871" i="20"/>
  <c r="J3870" i="20"/>
  <c r="J3869" i="20"/>
  <c r="J3868" i="20"/>
  <c r="J3867" i="20"/>
  <c r="J3866" i="20"/>
  <c r="J3865" i="20"/>
  <c r="J3864" i="20"/>
  <c r="J3863" i="20"/>
  <c r="J3862" i="20"/>
  <c r="J3861" i="20"/>
  <c r="J3860" i="20"/>
  <c r="J3859" i="20"/>
  <c r="J3858" i="20"/>
  <c r="J3857" i="20"/>
  <c r="J3856" i="20"/>
  <c r="J3855" i="20"/>
  <c r="J3854" i="20"/>
  <c r="J3853" i="20"/>
  <c r="J3852" i="20"/>
  <c r="J3851" i="20"/>
  <c r="J3850" i="20"/>
  <c r="J3849" i="20"/>
  <c r="J3848" i="20"/>
  <c r="J3847" i="20"/>
  <c r="J3846" i="20"/>
  <c r="J3845" i="20"/>
  <c r="J3844" i="20"/>
  <c r="J3843" i="20"/>
  <c r="J3842" i="20"/>
  <c r="J3841" i="20"/>
  <c r="J3840" i="20"/>
  <c r="J3839" i="20"/>
  <c r="J3838" i="20"/>
  <c r="J3837" i="20"/>
  <c r="J3836" i="20"/>
  <c r="J3835" i="20"/>
  <c r="J3834" i="20"/>
  <c r="J3833" i="20"/>
  <c r="J3832" i="20"/>
  <c r="J3831" i="20"/>
  <c r="J3830" i="20"/>
  <c r="J3829" i="20"/>
  <c r="J3828" i="20"/>
  <c r="J3827" i="20"/>
  <c r="J3826" i="20"/>
  <c r="J3825" i="20"/>
  <c r="J3824" i="20"/>
  <c r="J3823" i="20"/>
  <c r="J3822" i="20"/>
  <c r="J3821" i="20"/>
  <c r="J3820" i="20"/>
  <c r="J3819" i="20"/>
  <c r="J3818" i="20"/>
  <c r="J3817" i="20"/>
  <c r="J3816" i="20"/>
  <c r="J3815" i="20"/>
  <c r="J3814" i="20"/>
  <c r="J3813" i="20"/>
  <c r="J3812" i="20"/>
  <c r="J3811" i="20"/>
  <c r="J3810" i="20"/>
  <c r="J3809" i="20"/>
  <c r="J3808" i="20"/>
  <c r="J3807" i="20"/>
  <c r="J3806" i="20"/>
  <c r="J3805" i="20"/>
  <c r="J3804" i="20"/>
  <c r="J3803" i="20"/>
  <c r="J3802" i="20"/>
  <c r="J3801" i="20"/>
  <c r="J3800" i="20"/>
  <c r="J3799" i="20"/>
  <c r="J3798" i="20"/>
  <c r="J3797" i="20"/>
  <c r="J3796" i="20"/>
  <c r="J3795" i="20"/>
  <c r="J3794" i="20"/>
  <c r="J3793" i="20"/>
  <c r="J3792" i="20"/>
  <c r="J3791" i="20"/>
  <c r="J3790" i="20"/>
  <c r="J3789" i="20"/>
  <c r="J3788" i="20"/>
  <c r="J3787" i="20"/>
  <c r="J3786" i="20"/>
  <c r="J3785" i="20"/>
  <c r="J3784" i="20"/>
  <c r="J3783" i="20"/>
  <c r="J3782" i="20"/>
  <c r="J3781" i="20"/>
  <c r="J3780" i="20"/>
  <c r="J3779" i="20"/>
  <c r="J3778" i="20"/>
  <c r="J3777" i="20"/>
  <c r="J3776" i="20"/>
  <c r="J3775" i="20"/>
  <c r="J3774" i="20"/>
  <c r="J3773" i="20"/>
  <c r="J3772" i="20"/>
  <c r="J3771" i="20"/>
  <c r="J3770" i="20"/>
  <c r="J3769" i="20"/>
  <c r="J3768" i="20"/>
  <c r="J3767" i="20"/>
  <c r="J3766" i="20"/>
  <c r="J3765" i="20"/>
  <c r="J3764" i="20"/>
  <c r="J3763" i="20"/>
  <c r="J3762" i="20"/>
  <c r="J3761" i="20"/>
  <c r="J3760" i="20"/>
  <c r="J3759" i="20"/>
  <c r="J3758" i="20"/>
  <c r="J3757" i="20"/>
  <c r="J3756" i="20"/>
  <c r="J3755" i="20"/>
  <c r="J3754" i="20"/>
  <c r="J3753" i="20"/>
  <c r="J3752" i="20"/>
  <c r="J3751" i="20"/>
  <c r="J3750" i="20"/>
  <c r="J3749" i="20"/>
  <c r="J3748" i="20"/>
  <c r="J3747" i="20"/>
  <c r="J3746" i="20"/>
  <c r="J3745" i="20"/>
  <c r="J3744" i="20"/>
  <c r="J3743" i="20"/>
  <c r="J3742" i="20"/>
  <c r="J3741" i="20"/>
  <c r="J3740" i="20"/>
  <c r="J3739" i="20"/>
  <c r="J3738" i="20"/>
  <c r="J3737" i="20"/>
  <c r="J3736" i="20"/>
  <c r="J3735" i="20"/>
  <c r="J3734" i="20"/>
  <c r="J3733" i="20"/>
  <c r="J3732" i="20"/>
  <c r="J3731" i="20"/>
  <c r="J3730" i="20"/>
  <c r="J3729" i="20"/>
  <c r="J3728" i="20"/>
  <c r="J3727" i="20"/>
  <c r="J3726" i="20"/>
  <c r="J3725" i="20"/>
  <c r="J3724" i="20"/>
  <c r="J3723" i="20"/>
  <c r="J3722" i="20"/>
  <c r="J3721" i="20"/>
  <c r="J3720" i="20"/>
  <c r="J3719" i="20"/>
  <c r="J3718" i="20"/>
  <c r="J3717" i="20"/>
  <c r="J3716" i="20"/>
  <c r="J3715" i="20"/>
  <c r="J3714" i="20"/>
  <c r="J3713" i="20"/>
  <c r="J3712" i="20"/>
  <c r="J3711" i="20"/>
  <c r="J3710" i="20"/>
  <c r="J3709" i="20"/>
  <c r="J3708" i="20"/>
  <c r="J3707" i="20"/>
  <c r="J3706" i="20"/>
  <c r="J3705" i="20"/>
  <c r="J3704" i="20"/>
  <c r="J3703" i="20"/>
  <c r="J3702" i="20"/>
  <c r="J3701" i="20"/>
  <c r="J3700" i="20"/>
  <c r="J3699" i="20"/>
  <c r="J3698" i="20"/>
  <c r="J3697" i="20"/>
  <c r="J3696" i="20"/>
  <c r="J3695" i="20"/>
  <c r="J3694" i="20"/>
  <c r="J3693" i="20"/>
  <c r="J3692" i="20"/>
  <c r="J3691" i="20"/>
  <c r="J3690" i="20"/>
  <c r="J3689" i="20"/>
  <c r="J3688" i="20"/>
  <c r="J3687" i="20"/>
  <c r="J3686" i="20"/>
  <c r="J3685" i="20"/>
  <c r="J3684" i="20"/>
  <c r="J3683" i="20"/>
  <c r="J3682" i="20"/>
  <c r="J3681" i="20"/>
  <c r="J3680" i="20"/>
  <c r="J3679" i="20"/>
  <c r="J3678" i="20"/>
  <c r="J3677" i="20"/>
  <c r="J3676" i="20"/>
  <c r="J3675" i="20"/>
  <c r="J3674" i="20"/>
  <c r="J3673" i="20"/>
  <c r="J3672" i="20"/>
  <c r="J3671" i="20"/>
  <c r="J3670" i="20"/>
  <c r="J3669" i="20"/>
  <c r="J3668" i="20"/>
  <c r="J3667" i="20"/>
  <c r="J3666" i="20"/>
  <c r="J3665" i="20"/>
  <c r="J3664" i="20"/>
  <c r="J3663" i="20"/>
  <c r="J3662" i="20"/>
  <c r="J3661" i="20"/>
  <c r="J3660" i="20"/>
  <c r="J3659" i="20"/>
  <c r="J3658" i="20"/>
  <c r="J3657" i="20"/>
  <c r="J3656" i="20"/>
  <c r="J3655" i="20"/>
  <c r="J3654" i="20"/>
  <c r="J3653" i="20"/>
  <c r="J3652" i="20"/>
  <c r="J3651" i="20"/>
  <c r="J3650" i="20"/>
  <c r="J3649" i="20"/>
  <c r="J3648" i="20"/>
  <c r="J3647" i="20"/>
  <c r="J3646" i="20"/>
  <c r="J3645" i="20"/>
  <c r="J3644" i="20"/>
  <c r="J3643" i="20"/>
  <c r="J3642" i="20"/>
  <c r="J3641" i="20"/>
  <c r="J3640" i="20"/>
  <c r="J3639" i="20"/>
  <c r="J3638" i="20"/>
  <c r="J3637" i="20"/>
  <c r="J3636" i="20"/>
  <c r="J3635" i="20"/>
  <c r="J3634" i="20"/>
  <c r="J3633" i="20"/>
  <c r="J3632" i="20"/>
  <c r="J3631" i="20"/>
  <c r="J3630" i="20"/>
  <c r="J3629" i="20"/>
  <c r="J3628" i="20"/>
  <c r="J3627" i="20"/>
  <c r="J3626" i="20"/>
  <c r="J3625" i="20"/>
  <c r="J3624" i="20"/>
  <c r="J3623" i="20"/>
  <c r="J3622" i="20"/>
  <c r="J3621" i="20"/>
  <c r="J3620" i="20"/>
  <c r="J3619" i="20"/>
  <c r="J3618" i="20"/>
  <c r="J3617" i="20"/>
  <c r="J3616" i="20"/>
  <c r="J3615" i="20"/>
  <c r="J3614" i="20"/>
  <c r="J3613" i="20"/>
  <c r="J3612" i="20"/>
  <c r="J3611" i="20"/>
  <c r="J3610" i="20"/>
  <c r="J3609" i="20"/>
  <c r="J3608" i="20"/>
  <c r="J3607" i="20"/>
  <c r="J3606" i="20"/>
  <c r="J3605" i="20"/>
  <c r="J3604" i="20"/>
  <c r="J3603" i="20"/>
  <c r="J3602" i="20"/>
  <c r="J3601" i="20"/>
  <c r="J3600" i="20"/>
  <c r="J3599" i="20"/>
  <c r="J3598" i="20"/>
  <c r="J3597" i="20"/>
  <c r="J3596" i="20"/>
  <c r="J3595" i="20"/>
  <c r="J3594" i="20"/>
  <c r="J3593" i="20"/>
  <c r="J3592" i="20"/>
  <c r="J3591" i="20"/>
  <c r="J3590" i="20"/>
  <c r="J3589" i="20"/>
  <c r="J3588" i="20"/>
  <c r="J3587" i="20"/>
  <c r="J3586" i="20"/>
  <c r="J3585" i="20"/>
  <c r="J3584" i="20"/>
  <c r="J3583" i="20"/>
  <c r="J3582" i="20"/>
  <c r="J3581" i="20"/>
  <c r="J3580" i="20"/>
  <c r="J3579" i="20"/>
  <c r="J3578" i="20"/>
  <c r="J3577" i="20"/>
  <c r="J3576" i="20"/>
  <c r="J3575" i="20"/>
  <c r="J3574" i="20"/>
  <c r="J3573" i="20"/>
  <c r="J3572" i="20"/>
  <c r="J3571" i="20"/>
  <c r="J3570" i="20"/>
  <c r="J3569" i="20"/>
  <c r="J3568" i="20"/>
  <c r="J3567" i="20"/>
  <c r="J3566" i="20"/>
  <c r="J3565" i="20"/>
  <c r="J3564" i="20"/>
  <c r="J3563" i="20"/>
  <c r="J3562" i="20"/>
  <c r="J3561" i="20"/>
  <c r="J3560" i="20"/>
  <c r="J3559" i="20"/>
  <c r="J3558" i="20"/>
  <c r="J3557" i="20"/>
  <c r="J3556" i="20"/>
  <c r="J3555" i="20"/>
  <c r="J3554" i="20"/>
  <c r="J3553" i="20"/>
  <c r="J3552" i="20"/>
  <c r="J3551" i="20"/>
  <c r="J3550" i="20"/>
  <c r="J3549" i="20"/>
  <c r="J3548" i="20"/>
  <c r="J3547" i="20"/>
  <c r="J3546" i="20"/>
  <c r="J3545" i="20"/>
  <c r="J3544" i="20"/>
  <c r="J3543" i="20"/>
  <c r="J3542" i="20"/>
  <c r="J3541" i="20"/>
  <c r="J3540" i="20"/>
  <c r="J3539" i="20"/>
  <c r="J3538" i="20"/>
  <c r="J3537" i="20"/>
  <c r="J3536" i="20"/>
  <c r="J3535" i="20"/>
  <c r="J3534" i="20"/>
  <c r="J3533" i="20"/>
  <c r="J3532" i="20"/>
  <c r="J3531" i="20"/>
  <c r="J3530" i="20"/>
  <c r="J3529" i="20"/>
  <c r="J3528" i="20"/>
  <c r="J3527" i="20"/>
  <c r="J3526" i="20"/>
  <c r="J3525" i="20"/>
  <c r="J3524" i="20"/>
  <c r="J3523" i="20"/>
  <c r="J3522" i="20"/>
  <c r="J3521" i="20"/>
  <c r="J3520" i="20"/>
  <c r="J3519" i="20"/>
  <c r="J3518" i="20"/>
  <c r="J3517" i="20"/>
  <c r="J3516" i="20"/>
  <c r="J3515" i="20"/>
  <c r="J3514" i="20"/>
  <c r="J3513" i="20"/>
  <c r="J3512" i="20"/>
  <c r="J3511" i="20"/>
  <c r="J3510" i="20"/>
  <c r="J3509" i="20"/>
  <c r="J3508" i="20"/>
  <c r="J3507" i="20"/>
  <c r="J3506" i="20"/>
  <c r="J3505" i="20"/>
  <c r="J3504" i="20"/>
  <c r="J3503" i="20"/>
  <c r="J3502" i="20"/>
  <c r="J3501" i="20"/>
  <c r="J3500" i="20"/>
  <c r="J3499" i="20"/>
  <c r="J3498" i="20"/>
  <c r="J3497" i="20"/>
  <c r="J3496" i="20"/>
  <c r="J3495" i="20"/>
  <c r="J3494" i="20"/>
  <c r="J3493" i="20"/>
  <c r="J3492" i="20"/>
  <c r="J3491" i="20"/>
  <c r="J3490" i="20"/>
  <c r="J3489" i="20"/>
  <c r="J3488" i="20"/>
  <c r="J3487" i="20"/>
  <c r="J3486" i="20"/>
  <c r="J3485" i="20"/>
  <c r="J3484" i="20"/>
  <c r="J3483" i="20"/>
  <c r="J3482" i="20"/>
  <c r="J3481" i="20"/>
  <c r="J3480" i="20"/>
  <c r="J3479" i="20"/>
  <c r="J3478" i="20"/>
  <c r="J3477" i="20"/>
  <c r="J3476" i="20"/>
  <c r="J3475" i="20"/>
  <c r="J3474" i="20"/>
  <c r="J3473" i="20"/>
  <c r="J3472" i="20"/>
  <c r="J3471" i="20"/>
  <c r="J3470" i="20"/>
  <c r="J3469" i="20"/>
  <c r="J3468" i="20"/>
  <c r="J3467" i="20"/>
  <c r="J3466" i="20"/>
  <c r="J3465" i="20"/>
  <c r="J3464" i="20"/>
  <c r="J3463" i="20"/>
  <c r="J3462" i="20"/>
  <c r="J3461" i="20"/>
  <c r="J3460" i="20"/>
  <c r="J3459" i="20"/>
  <c r="J3458" i="20"/>
  <c r="J3457" i="20"/>
  <c r="J3456" i="20"/>
  <c r="J3455" i="20"/>
  <c r="J3454" i="20"/>
  <c r="J3453" i="20"/>
  <c r="J3452" i="20"/>
  <c r="J3451" i="20"/>
  <c r="J3450" i="20"/>
  <c r="J3449" i="20"/>
  <c r="J3448" i="20"/>
  <c r="J3447" i="20"/>
  <c r="J3446" i="20"/>
  <c r="J3445" i="20"/>
  <c r="J3444" i="20"/>
  <c r="J3443" i="20"/>
  <c r="J3442" i="20"/>
  <c r="J3441" i="20"/>
  <c r="J3440" i="20"/>
  <c r="J3439" i="20"/>
  <c r="J3438" i="20"/>
  <c r="J3437" i="20"/>
  <c r="J3436" i="20"/>
  <c r="J3435" i="20"/>
  <c r="J3434" i="20"/>
  <c r="J3433" i="20"/>
  <c r="J3432" i="20"/>
  <c r="J3431" i="20"/>
  <c r="J3430" i="20"/>
  <c r="J3429" i="20"/>
  <c r="J3428" i="20"/>
  <c r="J3427" i="20"/>
  <c r="J3426" i="20"/>
  <c r="J3425" i="20"/>
  <c r="J3424" i="20"/>
  <c r="J3423" i="20"/>
  <c r="J3422" i="20"/>
  <c r="J3421" i="20"/>
  <c r="J3420" i="20"/>
  <c r="J3419" i="20"/>
  <c r="J3418" i="20"/>
  <c r="J3417" i="20"/>
  <c r="J3416" i="20"/>
  <c r="J3415" i="20"/>
  <c r="J3414" i="20"/>
  <c r="J3413" i="20"/>
  <c r="J3412" i="20"/>
  <c r="J3411" i="20"/>
  <c r="J3410" i="20"/>
  <c r="J3409" i="20"/>
  <c r="J3408" i="20"/>
  <c r="J3407" i="20"/>
  <c r="J3406" i="20"/>
  <c r="J3405" i="20"/>
  <c r="J3404" i="20"/>
  <c r="J3403" i="20"/>
  <c r="J3402" i="20"/>
  <c r="J3401" i="20"/>
  <c r="J3400" i="20"/>
  <c r="J3399" i="20"/>
  <c r="J3398" i="20"/>
  <c r="J3397" i="20"/>
  <c r="J3396" i="20"/>
  <c r="J3395" i="20"/>
  <c r="J3394" i="20"/>
  <c r="J3393" i="20"/>
  <c r="J3392" i="20"/>
  <c r="J3391" i="20"/>
  <c r="J3390" i="20"/>
  <c r="J3389" i="20"/>
  <c r="J3388" i="20"/>
  <c r="J3387" i="20"/>
  <c r="J3386" i="20"/>
  <c r="J3385" i="20"/>
  <c r="J3384" i="20"/>
  <c r="J3383" i="20"/>
  <c r="J3382" i="20"/>
  <c r="J3381" i="20"/>
  <c r="J3380" i="20"/>
  <c r="J3379" i="20"/>
  <c r="J3378" i="20"/>
  <c r="J3377" i="20"/>
  <c r="J3376" i="20"/>
  <c r="J3375" i="20"/>
  <c r="J3374" i="20"/>
  <c r="J3373" i="20"/>
  <c r="J3372" i="20"/>
  <c r="J3371" i="20"/>
  <c r="J3370" i="20"/>
  <c r="J3369" i="20"/>
  <c r="J3368" i="20"/>
  <c r="J3367" i="20"/>
  <c r="J3366" i="20"/>
  <c r="J3365" i="20"/>
  <c r="J3364" i="20"/>
  <c r="J3363" i="20"/>
  <c r="J3362" i="20"/>
  <c r="J3361" i="20"/>
  <c r="J3360" i="20"/>
  <c r="J3359" i="20"/>
  <c r="J3358" i="20"/>
  <c r="J3357" i="20"/>
  <c r="J3356" i="20"/>
  <c r="J3355" i="20"/>
  <c r="J3354" i="20"/>
  <c r="J3353" i="20"/>
  <c r="J3352" i="20"/>
  <c r="J3351" i="20"/>
  <c r="J3350" i="20"/>
  <c r="J3349" i="20"/>
  <c r="J3348" i="20"/>
  <c r="J3347" i="20"/>
  <c r="J3346" i="20"/>
  <c r="J3345" i="20"/>
  <c r="J3344" i="20"/>
  <c r="J3343" i="20"/>
  <c r="J3342" i="20"/>
  <c r="J3341" i="20"/>
  <c r="J3340" i="20"/>
  <c r="J3339" i="20"/>
  <c r="J3338" i="20"/>
  <c r="J3337" i="20"/>
  <c r="J3336" i="20"/>
  <c r="J3335" i="20"/>
  <c r="J3334" i="20"/>
  <c r="J3333" i="20"/>
  <c r="J3332" i="20"/>
  <c r="J3331" i="20"/>
  <c r="J3330" i="20"/>
  <c r="J3329" i="20"/>
  <c r="J3328" i="20"/>
  <c r="J3327" i="20"/>
  <c r="J3326" i="20"/>
  <c r="J3325" i="20"/>
  <c r="J3324" i="20"/>
  <c r="J3323" i="20"/>
  <c r="J3322" i="20"/>
  <c r="J3321" i="20"/>
  <c r="J3320" i="20"/>
  <c r="J3319" i="20"/>
  <c r="J3318" i="20"/>
  <c r="J3317" i="20"/>
  <c r="J3316" i="20"/>
  <c r="J3315" i="20"/>
  <c r="J3314" i="20"/>
  <c r="J3313" i="20"/>
  <c r="J3312" i="20"/>
  <c r="J3311" i="20"/>
  <c r="J3310" i="20"/>
  <c r="J3309" i="20"/>
  <c r="J3308" i="20"/>
  <c r="J3307" i="20"/>
  <c r="J3306" i="20"/>
  <c r="J3305" i="20"/>
  <c r="J3304" i="20"/>
  <c r="J3303" i="20"/>
  <c r="J3302" i="20"/>
  <c r="J3301" i="20"/>
  <c r="J3300" i="20"/>
  <c r="J3299" i="20"/>
  <c r="J3298" i="20"/>
  <c r="J3297" i="20"/>
  <c r="J3296" i="20"/>
  <c r="J3295" i="20"/>
  <c r="J3294" i="20"/>
  <c r="J3293" i="20"/>
  <c r="J3292" i="20"/>
  <c r="J3291" i="20"/>
  <c r="J3290" i="20"/>
  <c r="J3289" i="20"/>
  <c r="J3288" i="20"/>
  <c r="J3287" i="20"/>
  <c r="J3286" i="20"/>
  <c r="J3285" i="20"/>
  <c r="J3284" i="20"/>
  <c r="J3283" i="20"/>
  <c r="J3282" i="20"/>
  <c r="J3281" i="20"/>
  <c r="J3280" i="20"/>
  <c r="J3279" i="20"/>
  <c r="J3278" i="20"/>
  <c r="J3277" i="20"/>
  <c r="J3276" i="20"/>
  <c r="J3275" i="20"/>
  <c r="J3274" i="20"/>
  <c r="J3273" i="20"/>
  <c r="J3272" i="20"/>
  <c r="J3271" i="20"/>
  <c r="J3270" i="20"/>
  <c r="J3269" i="20"/>
  <c r="J3268" i="20"/>
  <c r="J3267" i="20"/>
  <c r="J3266" i="20"/>
  <c r="J3265" i="20"/>
  <c r="J3264" i="20"/>
  <c r="J3263" i="20"/>
  <c r="J3262" i="20"/>
  <c r="J3261" i="20"/>
  <c r="J3260" i="20"/>
  <c r="J3259" i="20"/>
  <c r="J3258" i="20"/>
  <c r="J3257" i="20"/>
  <c r="J3256" i="20"/>
  <c r="J3255" i="20"/>
  <c r="J3254" i="20"/>
  <c r="J3253" i="20"/>
  <c r="J3252" i="20"/>
  <c r="J3251" i="20"/>
  <c r="J3250" i="20"/>
  <c r="J3249" i="20"/>
  <c r="J3248" i="20"/>
  <c r="J3247" i="20"/>
  <c r="J3246" i="20"/>
  <c r="J3245" i="20"/>
  <c r="J3244" i="20"/>
  <c r="J3243" i="20"/>
  <c r="J3242" i="20"/>
  <c r="J3241" i="20"/>
  <c r="J3240" i="20"/>
  <c r="J3239" i="20"/>
  <c r="J3238" i="20"/>
  <c r="J3237" i="20"/>
  <c r="J3236" i="20"/>
  <c r="J3235" i="20"/>
  <c r="J3234" i="20"/>
  <c r="J3233" i="20"/>
  <c r="J3232" i="20"/>
  <c r="J3231" i="20"/>
  <c r="J3230" i="20"/>
  <c r="J3229" i="20"/>
  <c r="J3228" i="20"/>
  <c r="J3227" i="20"/>
  <c r="J3226" i="20"/>
  <c r="J3225" i="20"/>
  <c r="J3224" i="20"/>
  <c r="J3223" i="20"/>
  <c r="J3222" i="20"/>
  <c r="J3221" i="20"/>
  <c r="J3220" i="20"/>
  <c r="J3219" i="20"/>
  <c r="J3218" i="20"/>
  <c r="J3217" i="20"/>
  <c r="J3216" i="20"/>
  <c r="J3215" i="20"/>
  <c r="J3214" i="20"/>
  <c r="J3213" i="20"/>
  <c r="J3212" i="20"/>
  <c r="J3211" i="20"/>
  <c r="J3210" i="20"/>
  <c r="J3209" i="20"/>
  <c r="J3208" i="20"/>
  <c r="J3207" i="20"/>
  <c r="J3206" i="20"/>
  <c r="J3205" i="20"/>
  <c r="J3204" i="20"/>
  <c r="J3203" i="20"/>
  <c r="J3202" i="20"/>
  <c r="J3201" i="20"/>
  <c r="J3200" i="20"/>
  <c r="J3199" i="20"/>
  <c r="J3198" i="20"/>
  <c r="J3197" i="20"/>
  <c r="J3196" i="20"/>
  <c r="J3195" i="20"/>
  <c r="J3194" i="20"/>
  <c r="J3193" i="20"/>
  <c r="J3192" i="20"/>
  <c r="J3191" i="20"/>
  <c r="J3190" i="20"/>
  <c r="J3189" i="20"/>
  <c r="J3188" i="20"/>
  <c r="J3187" i="20"/>
  <c r="J3186" i="20"/>
  <c r="J3185" i="20"/>
  <c r="J3184" i="20"/>
  <c r="J3183" i="20"/>
  <c r="J3182" i="20"/>
  <c r="J3181" i="20"/>
  <c r="J3180" i="20"/>
  <c r="J3179" i="20"/>
  <c r="J3178" i="20"/>
  <c r="J3177" i="20"/>
  <c r="J3176" i="20"/>
  <c r="J3175" i="20"/>
  <c r="J3174" i="20"/>
  <c r="J3173" i="20"/>
  <c r="J3172" i="20"/>
  <c r="J3171" i="20"/>
  <c r="J3170" i="20"/>
  <c r="J3169" i="20"/>
  <c r="J3168" i="20"/>
  <c r="J3167" i="20"/>
  <c r="J3166" i="20"/>
  <c r="J3165" i="20"/>
  <c r="J3164" i="20"/>
  <c r="J3163" i="20"/>
  <c r="J3162" i="20"/>
  <c r="J3161" i="20"/>
  <c r="J3160" i="20"/>
  <c r="J3159" i="20"/>
  <c r="J3158" i="20"/>
  <c r="J3157" i="20"/>
  <c r="J3156" i="20"/>
  <c r="J3155" i="20"/>
  <c r="J3154" i="20"/>
  <c r="J3153" i="20"/>
  <c r="J3152" i="20"/>
  <c r="J3151" i="20"/>
  <c r="J3150" i="20"/>
  <c r="J3149" i="20"/>
  <c r="J3148" i="20"/>
  <c r="J3147" i="20"/>
  <c r="J3146" i="20"/>
  <c r="J3145" i="20"/>
  <c r="J3144" i="20"/>
  <c r="J3143" i="20"/>
  <c r="J3142" i="20"/>
  <c r="J3141" i="20"/>
  <c r="J3140" i="20"/>
  <c r="J3139" i="20"/>
  <c r="J3138" i="20"/>
  <c r="J3137" i="20"/>
  <c r="J3136" i="20"/>
  <c r="J3135" i="20"/>
  <c r="J3134" i="20"/>
  <c r="J3133" i="20"/>
  <c r="J3132" i="20"/>
  <c r="J3131" i="20"/>
  <c r="J3130" i="20"/>
  <c r="J3129" i="20"/>
  <c r="J3128" i="20"/>
  <c r="J3127" i="20"/>
  <c r="J3126" i="20"/>
  <c r="J3125" i="20"/>
  <c r="J3124" i="20"/>
  <c r="J3123" i="20"/>
  <c r="J3122" i="20"/>
  <c r="J3121" i="20"/>
  <c r="J3120" i="20"/>
  <c r="J3119" i="20"/>
  <c r="J3118" i="20"/>
  <c r="J3117" i="20"/>
  <c r="J3116" i="20"/>
  <c r="J3115" i="20"/>
  <c r="J3114" i="20"/>
  <c r="J3113" i="20"/>
  <c r="J3112" i="20"/>
  <c r="J3111" i="20"/>
  <c r="J3110" i="20"/>
  <c r="J3109" i="20"/>
  <c r="J3108" i="20"/>
  <c r="J3107" i="20"/>
  <c r="J3106" i="20"/>
  <c r="J3105" i="20"/>
  <c r="J3104" i="20"/>
  <c r="J3103" i="20"/>
  <c r="J3102" i="20"/>
  <c r="J3101" i="20"/>
  <c r="J3100" i="20"/>
  <c r="J3099" i="20"/>
  <c r="J3098" i="20"/>
  <c r="J3097" i="20"/>
  <c r="J3096" i="20"/>
  <c r="J3095" i="20"/>
  <c r="J3094" i="20"/>
  <c r="J3093" i="20"/>
  <c r="J3092" i="20"/>
  <c r="J3091" i="20"/>
  <c r="J3090" i="20"/>
  <c r="J3089" i="20"/>
  <c r="J3088" i="20"/>
  <c r="J3087" i="20"/>
  <c r="J3086" i="20"/>
  <c r="J3085" i="20"/>
  <c r="J3084" i="20"/>
  <c r="J3083" i="20"/>
  <c r="J3082" i="20"/>
  <c r="J3081" i="20"/>
  <c r="J3080" i="20"/>
  <c r="J3079" i="20"/>
  <c r="J3078" i="20"/>
  <c r="J3077" i="20"/>
  <c r="J3076" i="20"/>
  <c r="J3075" i="20"/>
  <c r="J3074" i="20"/>
  <c r="J3073" i="20"/>
  <c r="J3072" i="20"/>
  <c r="J3071" i="20"/>
  <c r="J3070" i="20"/>
  <c r="J3069" i="20"/>
  <c r="J3068" i="20"/>
  <c r="J3067" i="20"/>
  <c r="J3066" i="20"/>
  <c r="J3065" i="20"/>
  <c r="J3064" i="20"/>
  <c r="J3063" i="20"/>
  <c r="J3062" i="20"/>
  <c r="J3061" i="20"/>
  <c r="J3060" i="20"/>
  <c r="J3059" i="20"/>
  <c r="J3058" i="20"/>
  <c r="J3057" i="20"/>
  <c r="J3056" i="20"/>
  <c r="J3055" i="20"/>
  <c r="J3054" i="20"/>
  <c r="J3053" i="20"/>
  <c r="J3052" i="20"/>
  <c r="J3051" i="20"/>
  <c r="J3050" i="20"/>
  <c r="J3049" i="20"/>
  <c r="J3048" i="20"/>
  <c r="J3047" i="20"/>
  <c r="J3046" i="20"/>
  <c r="J3045" i="20"/>
  <c r="J3044" i="20"/>
  <c r="J3043" i="20"/>
  <c r="J3042" i="20"/>
  <c r="J3041" i="20"/>
  <c r="J3040" i="20"/>
  <c r="J3039" i="20"/>
  <c r="J3038" i="20"/>
  <c r="J3037" i="20"/>
  <c r="J3036" i="20"/>
  <c r="J3035" i="20"/>
  <c r="J3034" i="20"/>
  <c r="J3033" i="20"/>
  <c r="J3032" i="20"/>
  <c r="J3031" i="20"/>
  <c r="J3030" i="20"/>
  <c r="J3029" i="20"/>
  <c r="J3028" i="20"/>
  <c r="J3027" i="20"/>
  <c r="J3026" i="20"/>
  <c r="J3025" i="20"/>
  <c r="J3024" i="20"/>
  <c r="J3023" i="20"/>
  <c r="J3022" i="20"/>
  <c r="J3021" i="20"/>
  <c r="J3020" i="20"/>
  <c r="J3019" i="20"/>
  <c r="J3018" i="20"/>
  <c r="J3017" i="20"/>
  <c r="J3016" i="20"/>
  <c r="J3015" i="20"/>
  <c r="J3014" i="20"/>
  <c r="J3013" i="20"/>
  <c r="J3012" i="20"/>
  <c r="J3011" i="20"/>
  <c r="J3010" i="20"/>
  <c r="J3009" i="20"/>
  <c r="J3008" i="20"/>
  <c r="J3007" i="20"/>
  <c r="J3006" i="20"/>
  <c r="J3005" i="20"/>
  <c r="J3004" i="20"/>
  <c r="J3003" i="20"/>
  <c r="J3002" i="20"/>
  <c r="J3001" i="20"/>
  <c r="J3000" i="20"/>
  <c r="J2999" i="20"/>
  <c r="J2998" i="20"/>
  <c r="J2997" i="20"/>
  <c r="J2996" i="20"/>
  <c r="J2995" i="20"/>
  <c r="J2994" i="20"/>
  <c r="J2993" i="20"/>
  <c r="J2992" i="20"/>
  <c r="J2991" i="20"/>
  <c r="J2990" i="20"/>
  <c r="J2989" i="20"/>
  <c r="J2988" i="20"/>
  <c r="J2987" i="20"/>
  <c r="J2986" i="20"/>
  <c r="J2985" i="20"/>
  <c r="J2984" i="20"/>
  <c r="J2983" i="20"/>
  <c r="J2982" i="20"/>
  <c r="J2981" i="20"/>
  <c r="J2980" i="20"/>
  <c r="J2979" i="20"/>
  <c r="J2978" i="20"/>
  <c r="J2977" i="20"/>
  <c r="J2976" i="20"/>
  <c r="J2975" i="20"/>
  <c r="J2974" i="20"/>
  <c r="J2973" i="20"/>
  <c r="J2972" i="20"/>
  <c r="J2971" i="20"/>
  <c r="J2970" i="20"/>
  <c r="J2969" i="20"/>
  <c r="J2968" i="20"/>
  <c r="J2967" i="20"/>
  <c r="J2966" i="20"/>
  <c r="J2965" i="20"/>
  <c r="J2964" i="20"/>
  <c r="J2963" i="20"/>
  <c r="J2962" i="20"/>
  <c r="J2961" i="20"/>
  <c r="J2960" i="20"/>
  <c r="J2959" i="20"/>
  <c r="J2958" i="20"/>
  <c r="J2957" i="20"/>
  <c r="J2956" i="20"/>
  <c r="J2955" i="20"/>
  <c r="J2954" i="20"/>
  <c r="J2953" i="20"/>
  <c r="J2952" i="20"/>
  <c r="J2951" i="20"/>
  <c r="J2950" i="20"/>
  <c r="J2949" i="20"/>
  <c r="J2948" i="20"/>
  <c r="J2947" i="20"/>
  <c r="J2946" i="20"/>
  <c r="J2945" i="20"/>
  <c r="J2944" i="20"/>
  <c r="J2943" i="20"/>
  <c r="J2942" i="20"/>
  <c r="J2941" i="20"/>
  <c r="J2940" i="20"/>
  <c r="J2939" i="20"/>
  <c r="J2938" i="20"/>
  <c r="J2937" i="20"/>
  <c r="J2936" i="20"/>
  <c r="J2935" i="20"/>
  <c r="J2934" i="20"/>
  <c r="J2933" i="20"/>
  <c r="J2932" i="20"/>
  <c r="J2931" i="20"/>
  <c r="J2930" i="20"/>
  <c r="J2929" i="20"/>
  <c r="J2928" i="20"/>
  <c r="J2927" i="20"/>
  <c r="J2926" i="20"/>
  <c r="J2925" i="20"/>
  <c r="J2924" i="20"/>
  <c r="J2923" i="20"/>
  <c r="J2922" i="20"/>
  <c r="J2921" i="20"/>
  <c r="J2920" i="20"/>
  <c r="J2919" i="20"/>
  <c r="J2918" i="20"/>
  <c r="J2917" i="20"/>
  <c r="J2916" i="20"/>
  <c r="J2915" i="20"/>
  <c r="J2914" i="20"/>
  <c r="J2913" i="20"/>
  <c r="J2912" i="20"/>
  <c r="J2911" i="20"/>
  <c r="J2910" i="20"/>
  <c r="J2909" i="20"/>
  <c r="J2908" i="20"/>
  <c r="J2907" i="20"/>
  <c r="J2906" i="20"/>
  <c r="J2905" i="20"/>
  <c r="J2904" i="20"/>
  <c r="J2903" i="20"/>
  <c r="J2902" i="20"/>
  <c r="J2901" i="20"/>
  <c r="J2900" i="20"/>
  <c r="J2899" i="20"/>
  <c r="J2898" i="20"/>
  <c r="J2897" i="20"/>
  <c r="J2896" i="20"/>
  <c r="J2895" i="20"/>
  <c r="J2894" i="20"/>
  <c r="J2893" i="20"/>
  <c r="J2892" i="20"/>
  <c r="J2891" i="20"/>
  <c r="J2890" i="20"/>
  <c r="J2889" i="20"/>
  <c r="J2888" i="20"/>
  <c r="J2887" i="20"/>
  <c r="J2886" i="20"/>
  <c r="J2885" i="20"/>
  <c r="J2884" i="20"/>
  <c r="J2883" i="20"/>
  <c r="J2882" i="20"/>
  <c r="J2881" i="20"/>
  <c r="J2880" i="20"/>
  <c r="J2879" i="20"/>
  <c r="J2878" i="20"/>
  <c r="J2877" i="20"/>
  <c r="J2876" i="20"/>
  <c r="J2875" i="20"/>
  <c r="J2874" i="20"/>
  <c r="J2873" i="20"/>
  <c r="J2872" i="20"/>
  <c r="J2871" i="20"/>
  <c r="J2870" i="20"/>
  <c r="J2869" i="20"/>
  <c r="J2868" i="20"/>
  <c r="J2867" i="20"/>
  <c r="J2866" i="20"/>
  <c r="J2865" i="20"/>
  <c r="J2864" i="20"/>
  <c r="J2863" i="20"/>
  <c r="J2862" i="20"/>
  <c r="J2861" i="20"/>
  <c r="J2860" i="20"/>
  <c r="J2859" i="20"/>
  <c r="J2858" i="20"/>
  <c r="J2857" i="20"/>
  <c r="J2856" i="20"/>
  <c r="J2855" i="20"/>
  <c r="J2854" i="20"/>
  <c r="J2853" i="20"/>
  <c r="J2852" i="20"/>
  <c r="J2851" i="20"/>
  <c r="J2850" i="20"/>
  <c r="J2849" i="20"/>
  <c r="J2848" i="20"/>
  <c r="J2847" i="20"/>
  <c r="J2846" i="20"/>
  <c r="J2845" i="20"/>
  <c r="J2844" i="20"/>
  <c r="J2843" i="20"/>
  <c r="J2842" i="20"/>
  <c r="J2841" i="20"/>
  <c r="J2840" i="20"/>
  <c r="J2839" i="20"/>
  <c r="J2838" i="20"/>
  <c r="J2837" i="20"/>
  <c r="J2836" i="20"/>
  <c r="J2835" i="20"/>
  <c r="J2834" i="20"/>
  <c r="J2833" i="20"/>
  <c r="J2832" i="20"/>
  <c r="J2831" i="20"/>
  <c r="J2830" i="20"/>
  <c r="J2829" i="20"/>
  <c r="J2828" i="20"/>
  <c r="J2827" i="20"/>
  <c r="J2826" i="20"/>
  <c r="J2825" i="20"/>
  <c r="J2824" i="20"/>
  <c r="J2823" i="20"/>
  <c r="J2822" i="20"/>
  <c r="J2821" i="20"/>
  <c r="J2820" i="20"/>
  <c r="J2819" i="20"/>
  <c r="J2818" i="20"/>
  <c r="J2817" i="20"/>
  <c r="J2816" i="20"/>
  <c r="J2815" i="20"/>
  <c r="J2814" i="20"/>
  <c r="J2813" i="20"/>
  <c r="J2812" i="20"/>
  <c r="J2811" i="20"/>
  <c r="J2810" i="20"/>
  <c r="J2809" i="20"/>
  <c r="J2808" i="20"/>
  <c r="J2807" i="20"/>
  <c r="J2806" i="20"/>
  <c r="J2805" i="20"/>
  <c r="J2804" i="20"/>
  <c r="J2803" i="20"/>
  <c r="J2802" i="20"/>
  <c r="J2801" i="20"/>
  <c r="J2800" i="20"/>
  <c r="J2799" i="20"/>
  <c r="J2798" i="20"/>
  <c r="J2797" i="20"/>
  <c r="J2796" i="20"/>
  <c r="J2795" i="20"/>
  <c r="J2794" i="20"/>
  <c r="J2793" i="20"/>
  <c r="J2792" i="20"/>
  <c r="J2791" i="20"/>
  <c r="J2790" i="20"/>
  <c r="J2789" i="20"/>
  <c r="J2788" i="20"/>
  <c r="J2787" i="20"/>
  <c r="J2786" i="20"/>
  <c r="J2785" i="20"/>
  <c r="J2784" i="20"/>
  <c r="J2783" i="20"/>
  <c r="J2782" i="20"/>
  <c r="J2781" i="20"/>
  <c r="J2780" i="20"/>
  <c r="J2779" i="20"/>
  <c r="J2778" i="20"/>
  <c r="J2777" i="20"/>
  <c r="J2776" i="20"/>
  <c r="J2775" i="20"/>
  <c r="J2774" i="20"/>
  <c r="J2773" i="20"/>
  <c r="J2772" i="20"/>
  <c r="J2771" i="20"/>
  <c r="J2770" i="20"/>
  <c r="J2769" i="20"/>
  <c r="J2768" i="20"/>
  <c r="J2767" i="20"/>
  <c r="J2766" i="20"/>
  <c r="J2765" i="20"/>
  <c r="J2764" i="20"/>
  <c r="J2763" i="20"/>
  <c r="J2762" i="20"/>
  <c r="J2761" i="20"/>
  <c r="J2760" i="20"/>
  <c r="J2759" i="20"/>
  <c r="J2758" i="20"/>
  <c r="J2757" i="20"/>
  <c r="J2756" i="20"/>
  <c r="J2755" i="20"/>
  <c r="J2754" i="20"/>
  <c r="J2753" i="20"/>
  <c r="J2752" i="20"/>
  <c r="J2751" i="20"/>
  <c r="J2750" i="20"/>
  <c r="J2749" i="20"/>
  <c r="J2748" i="20"/>
  <c r="J2747" i="20"/>
  <c r="J2746" i="20"/>
  <c r="J2745" i="20"/>
  <c r="J2744" i="20"/>
  <c r="J2743" i="20"/>
  <c r="J2742" i="20"/>
  <c r="J2741" i="20"/>
  <c r="J2740" i="20"/>
  <c r="J2739" i="20"/>
  <c r="J2738" i="20"/>
  <c r="J2737" i="20"/>
  <c r="J2736" i="20"/>
  <c r="J2735" i="20"/>
  <c r="J2734" i="20"/>
  <c r="J2733" i="20"/>
  <c r="J2732" i="20"/>
  <c r="J2731" i="20"/>
  <c r="J2730" i="20"/>
  <c r="J2729" i="20"/>
  <c r="J2728" i="20"/>
  <c r="J2727" i="20"/>
  <c r="J2726" i="20"/>
  <c r="J2725" i="20"/>
  <c r="J2724" i="20"/>
  <c r="J2723" i="20"/>
  <c r="J2722" i="20"/>
  <c r="J2721" i="20"/>
  <c r="J2720" i="20"/>
  <c r="J2719" i="20"/>
  <c r="J2718" i="20"/>
  <c r="J2717" i="20"/>
  <c r="J2716" i="20"/>
  <c r="J2715" i="20"/>
  <c r="J2714" i="20"/>
  <c r="J2713" i="20"/>
  <c r="J2712" i="20"/>
  <c r="J2711" i="20"/>
  <c r="J2710" i="20"/>
  <c r="J2709" i="20"/>
  <c r="J2708" i="20"/>
  <c r="J2707" i="20"/>
  <c r="J2706" i="20"/>
  <c r="J2705" i="20"/>
  <c r="J2704" i="20"/>
  <c r="J2703" i="20"/>
  <c r="J2702" i="20"/>
  <c r="J2701" i="20"/>
  <c r="J2700" i="20"/>
  <c r="J2699" i="20"/>
  <c r="J2698" i="20"/>
  <c r="J2697" i="20"/>
  <c r="J2696" i="20"/>
  <c r="J2695" i="20"/>
  <c r="J2694" i="20"/>
  <c r="J2693" i="20"/>
  <c r="J2692" i="20"/>
  <c r="J2691" i="20"/>
  <c r="J2690" i="20"/>
  <c r="J2689" i="20"/>
  <c r="J2688" i="20"/>
  <c r="J2687" i="20"/>
  <c r="J2686" i="20"/>
  <c r="J2685" i="20"/>
  <c r="J2684" i="20"/>
  <c r="J2683" i="20"/>
  <c r="J2682" i="20"/>
  <c r="J2681" i="20"/>
  <c r="J2680" i="20"/>
  <c r="J2679" i="20"/>
  <c r="J2678" i="20"/>
  <c r="J2677" i="20"/>
  <c r="J2676" i="20"/>
  <c r="J2675" i="20"/>
  <c r="J2674" i="20"/>
  <c r="J2673" i="20"/>
  <c r="J2672" i="20"/>
  <c r="J2671" i="20"/>
  <c r="J2670" i="20"/>
  <c r="J2669" i="20"/>
  <c r="J2668" i="20"/>
  <c r="J2667" i="20"/>
  <c r="J2666" i="20"/>
  <c r="J2665" i="20"/>
  <c r="J2664" i="20"/>
  <c r="J2663" i="20"/>
  <c r="J2662" i="20"/>
  <c r="J2661" i="20"/>
  <c r="J2660" i="20"/>
  <c r="J2659" i="20"/>
  <c r="J2658" i="20"/>
  <c r="J2657" i="20"/>
  <c r="J2656" i="20"/>
  <c r="J2655" i="20"/>
  <c r="J2654" i="20"/>
  <c r="J2653" i="20"/>
  <c r="J2652" i="20"/>
  <c r="J2651" i="20"/>
  <c r="J2650" i="20"/>
  <c r="J2649" i="20"/>
  <c r="J2648" i="20"/>
  <c r="J2647" i="20"/>
  <c r="J2646" i="20"/>
  <c r="J2645" i="20"/>
  <c r="J2644" i="20"/>
  <c r="J2643" i="20"/>
  <c r="J2642" i="20"/>
  <c r="J2641" i="20"/>
  <c r="J2640" i="20"/>
  <c r="J2639" i="20"/>
  <c r="J2638" i="20"/>
  <c r="J2637" i="20"/>
  <c r="J2636" i="20"/>
  <c r="J2635" i="20"/>
  <c r="J2634" i="20"/>
  <c r="J2633" i="20"/>
  <c r="J2632" i="20"/>
  <c r="J2631" i="20"/>
  <c r="J2630" i="20"/>
  <c r="J2629" i="20"/>
  <c r="J2628" i="20"/>
  <c r="J2627" i="20"/>
  <c r="J2626" i="20"/>
  <c r="J2625" i="20"/>
  <c r="J2624" i="20"/>
  <c r="J2623" i="20"/>
  <c r="J2622" i="20"/>
  <c r="J2621" i="20"/>
  <c r="J2620" i="20"/>
  <c r="J2619" i="20"/>
  <c r="J2618" i="20"/>
  <c r="J2617" i="20"/>
  <c r="J2616" i="20"/>
  <c r="J2615" i="20"/>
  <c r="J2614" i="20"/>
  <c r="J2613" i="20"/>
  <c r="J2612" i="20"/>
  <c r="J2611" i="20"/>
  <c r="J2610" i="20"/>
  <c r="J2609" i="20"/>
  <c r="J2608" i="20"/>
  <c r="J2607" i="20"/>
  <c r="J2606" i="20"/>
  <c r="J2605" i="20"/>
  <c r="J2604" i="20"/>
  <c r="J2603" i="20"/>
  <c r="J2602" i="20"/>
  <c r="J2601" i="20"/>
  <c r="J2600" i="20"/>
  <c r="J2599" i="20"/>
  <c r="J2598" i="20"/>
  <c r="J2597" i="20"/>
  <c r="J2596" i="20"/>
  <c r="J2595" i="20"/>
  <c r="J2594" i="20"/>
  <c r="J2593" i="20"/>
  <c r="J2592" i="20"/>
  <c r="J2591" i="20"/>
  <c r="J2590" i="20"/>
  <c r="J2589" i="20"/>
  <c r="J2588" i="20"/>
  <c r="J2587" i="20"/>
  <c r="J2586" i="20"/>
  <c r="J2585" i="20"/>
  <c r="J2584" i="20"/>
  <c r="J2583" i="20"/>
  <c r="J2582" i="20"/>
  <c r="J2581" i="20"/>
  <c r="J2580" i="20"/>
  <c r="J2579" i="20"/>
  <c r="J2578" i="20"/>
  <c r="J2577" i="20"/>
  <c r="J2576" i="20"/>
  <c r="J2575" i="20"/>
  <c r="J2574" i="20"/>
  <c r="J2573" i="20"/>
  <c r="J2572" i="20"/>
  <c r="J2571" i="20"/>
  <c r="J2570" i="20"/>
  <c r="J2569" i="20"/>
  <c r="J2568" i="20"/>
  <c r="J2567" i="20"/>
  <c r="J2566" i="20"/>
  <c r="J2565" i="20"/>
  <c r="J2564" i="20"/>
  <c r="J2563" i="20"/>
  <c r="J2562" i="20"/>
  <c r="J2561" i="20"/>
  <c r="J2560" i="20"/>
  <c r="J2559" i="20"/>
  <c r="J2558" i="20"/>
  <c r="J2557" i="20"/>
  <c r="J2556" i="20"/>
  <c r="J2555" i="20"/>
  <c r="J2554" i="20"/>
  <c r="J2553" i="20"/>
  <c r="J2552" i="20"/>
  <c r="J2551" i="20"/>
  <c r="J2550" i="20"/>
  <c r="J2549" i="20"/>
  <c r="J2548" i="20"/>
  <c r="J2547" i="20"/>
  <c r="J2546" i="20"/>
  <c r="J2545" i="20"/>
  <c r="J2544" i="20"/>
  <c r="J2543" i="20"/>
  <c r="J2542" i="20"/>
  <c r="J2541" i="20"/>
  <c r="J2540" i="20"/>
  <c r="J2539" i="20"/>
  <c r="J2538" i="20"/>
  <c r="J2537" i="20"/>
  <c r="J2536" i="20"/>
  <c r="J2535" i="20"/>
  <c r="J2534" i="20"/>
  <c r="J2533" i="20"/>
  <c r="J2532" i="20"/>
  <c r="J2531" i="20"/>
  <c r="J2530" i="20"/>
  <c r="J2529" i="20"/>
  <c r="J2528" i="20"/>
  <c r="J2527" i="20"/>
  <c r="J2526" i="20"/>
  <c r="J2525" i="20"/>
  <c r="J2524" i="20"/>
  <c r="J2523" i="20"/>
  <c r="J2522" i="20"/>
  <c r="J2521" i="20"/>
  <c r="J2520" i="20"/>
  <c r="J2519" i="20"/>
  <c r="J2518" i="20"/>
  <c r="J2517" i="20"/>
  <c r="J2516" i="20"/>
  <c r="J2515" i="20"/>
  <c r="J2514" i="20"/>
  <c r="J2513" i="20"/>
  <c r="J2512" i="20"/>
  <c r="J2511" i="20"/>
  <c r="J2510" i="20"/>
  <c r="J2509" i="20"/>
  <c r="J2508" i="20"/>
  <c r="J2507" i="20"/>
  <c r="J2506" i="20"/>
  <c r="J2505" i="20"/>
  <c r="J2504" i="20"/>
  <c r="J2503" i="20"/>
  <c r="J2502" i="20"/>
  <c r="J2501" i="20"/>
  <c r="J2500" i="20"/>
  <c r="J2499" i="20"/>
  <c r="J2498" i="20"/>
  <c r="J2497" i="20"/>
  <c r="J2496" i="20"/>
  <c r="J2495" i="20"/>
  <c r="J2494" i="20"/>
  <c r="J2493" i="20"/>
  <c r="J2492" i="20"/>
  <c r="J2491" i="20"/>
  <c r="J2490" i="20"/>
  <c r="J2489" i="20"/>
  <c r="J2488" i="20"/>
  <c r="J2487" i="20"/>
  <c r="J2486" i="20"/>
  <c r="J2485" i="20"/>
  <c r="J2484" i="20"/>
  <c r="J2483" i="20"/>
  <c r="J2482" i="20"/>
  <c r="J2481" i="20"/>
  <c r="J2480" i="20"/>
  <c r="J2479" i="20"/>
  <c r="J2478" i="20"/>
  <c r="J2477" i="20"/>
  <c r="J2476" i="20"/>
  <c r="J2475" i="20"/>
  <c r="J2474" i="20"/>
  <c r="J2473" i="20"/>
  <c r="J2472" i="20"/>
  <c r="J2471" i="20"/>
  <c r="J2470" i="20"/>
  <c r="J2469" i="20"/>
  <c r="J2468" i="20"/>
  <c r="J2467" i="20"/>
  <c r="J2466" i="20"/>
  <c r="J2465" i="20"/>
  <c r="J2464" i="20"/>
  <c r="J2463" i="20"/>
  <c r="J2462" i="20"/>
  <c r="J2461" i="20"/>
  <c r="J2460" i="20"/>
  <c r="J2459" i="20"/>
  <c r="J2458" i="20"/>
  <c r="J2457" i="20"/>
  <c r="J2456" i="20"/>
  <c r="J2455" i="20"/>
  <c r="J2454" i="20"/>
  <c r="J2453" i="20"/>
  <c r="J2452" i="20"/>
  <c r="J2451" i="20"/>
  <c r="J2450" i="20"/>
  <c r="J2449" i="20"/>
  <c r="J2448" i="20"/>
  <c r="J2447" i="20"/>
  <c r="J2446" i="20"/>
  <c r="J2445" i="20"/>
  <c r="J2444" i="20"/>
  <c r="J2443" i="20"/>
  <c r="J2442" i="20"/>
  <c r="J2441" i="20"/>
  <c r="J2440" i="20"/>
  <c r="J2439" i="20"/>
  <c r="J2438" i="20"/>
  <c r="J2437" i="20"/>
  <c r="J2436" i="20"/>
  <c r="J2435" i="20"/>
  <c r="J2434" i="20"/>
  <c r="J2433" i="20"/>
  <c r="J2432" i="20"/>
  <c r="J2431" i="20"/>
  <c r="J2430" i="20"/>
  <c r="J2429" i="20"/>
  <c r="J2428" i="20"/>
  <c r="J2427" i="20"/>
  <c r="J2426" i="20"/>
  <c r="J2425" i="20"/>
  <c r="J2424" i="20"/>
  <c r="J2423" i="20"/>
  <c r="J2422" i="20"/>
  <c r="J2421" i="20"/>
  <c r="J2420" i="20"/>
  <c r="J2419" i="20"/>
  <c r="J2418" i="20"/>
  <c r="J2417" i="20"/>
  <c r="J2416" i="20"/>
  <c r="J2415" i="20"/>
  <c r="J2414" i="20"/>
  <c r="J2413" i="20"/>
  <c r="J2412" i="20"/>
  <c r="J2411" i="20"/>
  <c r="J2410" i="20"/>
  <c r="J2409" i="20"/>
  <c r="J2408" i="20"/>
  <c r="J2407" i="20"/>
  <c r="J2406" i="20"/>
  <c r="J2405" i="20"/>
  <c r="J2404" i="20"/>
  <c r="J2403" i="20"/>
  <c r="J2402" i="20"/>
  <c r="J2401" i="20"/>
  <c r="J2400" i="20"/>
  <c r="J2399" i="20"/>
  <c r="J2398" i="20"/>
  <c r="J2397" i="20"/>
  <c r="J2396" i="20"/>
  <c r="J2395" i="20"/>
  <c r="J2394" i="20"/>
  <c r="J2393" i="20"/>
  <c r="J2392" i="20"/>
  <c r="J2391" i="20"/>
  <c r="J2390" i="20"/>
  <c r="J2389" i="20"/>
  <c r="J2388" i="20"/>
  <c r="J2387" i="20"/>
  <c r="J2386" i="20"/>
  <c r="J2385" i="20"/>
  <c r="J2384" i="20"/>
  <c r="J2383" i="20"/>
  <c r="J2382" i="20"/>
  <c r="J2381" i="20"/>
  <c r="J2380" i="20"/>
  <c r="J2379" i="20"/>
  <c r="J2378" i="20"/>
  <c r="J2377" i="20"/>
  <c r="J2376" i="20"/>
  <c r="J2375" i="20"/>
  <c r="J2374" i="20"/>
  <c r="J2373" i="20"/>
  <c r="J2372" i="20"/>
  <c r="J2371" i="20"/>
  <c r="J2370" i="20"/>
  <c r="J2369" i="20"/>
  <c r="J2368" i="20"/>
  <c r="J2367" i="20"/>
  <c r="J2366" i="20"/>
  <c r="J2365" i="20"/>
  <c r="J2364" i="20"/>
  <c r="J2363" i="20"/>
  <c r="J2362" i="20"/>
  <c r="J2361" i="20"/>
  <c r="J2360" i="20"/>
  <c r="J2359" i="20"/>
  <c r="J2358" i="20"/>
  <c r="J2357" i="20"/>
  <c r="J2356" i="20"/>
  <c r="J2355" i="20"/>
  <c r="J2354" i="20"/>
  <c r="J2353" i="20"/>
  <c r="J2352" i="20"/>
  <c r="J2351" i="20"/>
  <c r="J2350" i="20"/>
  <c r="J2349" i="20"/>
  <c r="J2348" i="20"/>
  <c r="J2347" i="20"/>
  <c r="J2346" i="20"/>
  <c r="J2345" i="20"/>
  <c r="J2344" i="20"/>
  <c r="J2343" i="20"/>
  <c r="J2342" i="20"/>
  <c r="J2341" i="20"/>
  <c r="J2340" i="20"/>
  <c r="J2339" i="20"/>
  <c r="J2338" i="20"/>
  <c r="J2337" i="20"/>
  <c r="J2336" i="20"/>
  <c r="J2335" i="20"/>
  <c r="J2334" i="20"/>
  <c r="J2333" i="20"/>
  <c r="J2332" i="20"/>
  <c r="J2331" i="20"/>
  <c r="J2330" i="20"/>
  <c r="J2329" i="20"/>
  <c r="J2328" i="20"/>
  <c r="J2327" i="20"/>
  <c r="J2326" i="20"/>
  <c r="J2325" i="20"/>
  <c r="J2324" i="20"/>
  <c r="J2323" i="20"/>
  <c r="J2322" i="20"/>
  <c r="J2321" i="20"/>
  <c r="J2320" i="20"/>
  <c r="J2319" i="20"/>
  <c r="J2318" i="20"/>
  <c r="J2317" i="20"/>
  <c r="J2316" i="20"/>
  <c r="J2315" i="20"/>
  <c r="J2314" i="20"/>
  <c r="J2313" i="20"/>
  <c r="J2312" i="20"/>
  <c r="J2311" i="20"/>
  <c r="J2310" i="20"/>
  <c r="J2309" i="20"/>
  <c r="J2308" i="20"/>
  <c r="J2307" i="20"/>
  <c r="J2306" i="20"/>
  <c r="J2305" i="20"/>
  <c r="J2304" i="20"/>
  <c r="J2303" i="20"/>
  <c r="J2302" i="20"/>
  <c r="J2301" i="20"/>
  <c r="J2300" i="20"/>
  <c r="J2299" i="20"/>
  <c r="J2298" i="20"/>
  <c r="J2297" i="20"/>
  <c r="J2296" i="20"/>
  <c r="J2295" i="20"/>
  <c r="J2294" i="20"/>
  <c r="J2293" i="20"/>
  <c r="J2292" i="20"/>
  <c r="J2291" i="20"/>
  <c r="J2290" i="20"/>
  <c r="J2289" i="20"/>
  <c r="J2288" i="20"/>
  <c r="J2287" i="20"/>
  <c r="J2286" i="20"/>
  <c r="J2285" i="20"/>
  <c r="J2284" i="20"/>
  <c r="J2283" i="20"/>
  <c r="J2282" i="20"/>
  <c r="J2281" i="20"/>
  <c r="J2280" i="20"/>
  <c r="J2279" i="20"/>
  <c r="J2278" i="20"/>
  <c r="J2277" i="20"/>
  <c r="J2276" i="20"/>
  <c r="J2275" i="20"/>
  <c r="J2274" i="20"/>
  <c r="J2273" i="20"/>
  <c r="J2272" i="20"/>
  <c r="J2271" i="20"/>
  <c r="J2270" i="20"/>
  <c r="J2269" i="20"/>
  <c r="J2268" i="20"/>
  <c r="J2267" i="20"/>
  <c r="J2266" i="20"/>
  <c r="J2265" i="20"/>
  <c r="J2264" i="20"/>
  <c r="J2263" i="20"/>
  <c r="J2262" i="20"/>
  <c r="J2261" i="20"/>
  <c r="J2260" i="20"/>
  <c r="J2259" i="20"/>
  <c r="J2258" i="20"/>
  <c r="J2257" i="20"/>
  <c r="J2256" i="20"/>
  <c r="J2255" i="20"/>
  <c r="J2254" i="20"/>
  <c r="J2253" i="20"/>
  <c r="J2252" i="20"/>
  <c r="J2251" i="20"/>
  <c r="J2250" i="20"/>
  <c r="J2249" i="20"/>
  <c r="J2248" i="20"/>
  <c r="J2247" i="20"/>
  <c r="J2246" i="20"/>
  <c r="J2245" i="20"/>
  <c r="J2244" i="20"/>
  <c r="J2243" i="20"/>
  <c r="J2242" i="20"/>
  <c r="J2241" i="20"/>
  <c r="J2240" i="20"/>
  <c r="J2239" i="20"/>
  <c r="J2238" i="20"/>
  <c r="J2237" i="20"/>
  <c r="J2236" i="20"/>
  <c r="J2235" i="20"/>
  <c r="J2234" i="20"/>
  <c r="J2233" i="20"/>
  <c r="J2232" i="20"/>
  <c r="J2231" i="20"/>
  <c r="J2230" i="20"/>
  <c r="J2229" i="20"/>
  <c r="J2228" i="20"/>
  <c r="J2227" i="20"/>
  <c r="J2226" i="20"/>
  <c r="J2225" i="20"/>
  <c r="J2224" i="20"/>
  <c r="J2223" i="20"/>
  <c r="J2222" i="20"/>
  <c r="J2221" i="20"/>
  <c r="J2220" i="20"/>
  <c r="J2219" i="20"/>
  <c r="J2218" i="20"/>
  <c r="J2217" i="20"/>
  <c r="J2216" i="20"/>
  <c r="J2215" i="20"/>
  <c r="J2214" i="20"/>
  <c r="J2213" i="20"/>
  <c r="J2212" i="20"/>
  <c r="J2211" i="20"/>
  <c r="J2210" i="20"/>
  <c r="J2209" i="20"/>
  <c r="J2208" i="20"/>
  <c r="J2207" i="20"/>
  <c r="J2206" i="20"/>
  <c r="J2205" i="20"/>
  <c r="J2204" i="20"/>
  <c r="J2203" i="20"/>
  <c r="J2202" i="20"/>
  <c r="J2201" i="20"/>
  <c r="J2200" i="20"/>
  <c r="J2199" i="20"/>
  <c r="J2198" i="20"/>
  <c r="J2197" i="20"/>
  <c r="J2196" i="20"/>
  <c r="J2195" i="20"/>
  <c r="J2194" i="20"/>
  <c r="J2193" i="20"/>
  <c r="J2192" i="20"/>
  <c r="J2191" i="20"/>
  <c r="J2190" i="20"/>
  <c r="J2189" i="20"/>
  <c r="J2188" i="20"/>
  <c r="J2187" i="20"/>
  <c r="J2186" i="20"/>
  <c r="J2185" i="20"/>
  <c r="J2184" i="20"/>
  <c r="J2183" i="20"/>
  <c r="J2182" i="20"/>
  <c r="J2181" i="20"/>
  <c r="J2180" i="20"/>
  <c r="J2179" i="20"/>
  <c r="J2178" i="20"/>
  <c r="J2177" i="20"/>
  <c r="J2176" i="20"/>
  <c r="J2175" i="20"/>
  <c r="J2174" i="20"/>
  <c r="J2173" i="20"/>
  <c r="J2172" i="20"/>
  <c r="J2171" i="20"/>
  <c r="J2170" i="20"/>
  <c r="J2169" i="20"/>
  <c r="J2168" i="20"/>
  <c r="J2167" i="20"/>
  <c r="J2166" i="20"/>
  <c r="J2165" i="20"/>
  <c r="J2164" i="20"/>
  <c r="J2163" i="20"/>
  <c r="J2162" i="20"/>
  <c r="J2161" i="20"/>
  <c r="J2160" i="20"/>
  <c r="J2159" i="20"/>
  <c r="J2158" i="20"/>
  <c r="J2157" i="20"/>
  <c r="J2156" i="20"/>
  <c r="J2155" i="20"/>
  <c r="J2154" i="20"/>
  <c r="J2153" i="20"/>
  <c r="J2152" i="20"/>
  <c r="J2151" i="20"/>
  <c r="J2150" i="20"/>
  <c r="J2149" i="20"/>
  <c r="J2148" i="20"/>
  <c r="J2147" i="20"/>
  <c r="J2146" i="20"/>
  <c r="J2145" i="20"/>
  <c r="J2144" i="20"/>
  <c r="J2143" i="20"/>
  <c r="J2142" i="20"/>
  <c r="J2141" i="20"/>
  <c r="J2140" i="20"/>
  <c r="J2139" i="20"/>
  <c r="J2138" i="20"/>
  <c r="J2137" i="20"/>
  <c r="J2136" i="20"/>
  <c r="J2135" i="20"/>
  <c r="J2134" i="20"/>
  <c r="J2133" i="20"/>
  <c r="J2132" i="20"/>
  <c r="J2131" i="20"/>
  <c r="J2130" i="20"/>
  <c r="J2129" i="20"/>
  <c r="J2128" i="20"/>
  <c r="J2127" i="20"/>
  <c r="J2126" i="20"/>
  <c r="J2125" i="20"/>
  <c r="J2124" i="20"/>
  <c r="J2123" i="20"/>
  <c r="J2122" i="20"/>
  <c r="J2121" i="20"/>
  <c r="J2120" i="20"/>
  <c r="J2119" i="20"/>
  <c r="J2118" i="20"/>
  <c r="J2117" i="20"/>
  <c r="J2116" i="20"/>
  <c r="J2115" i="20"/>
  <c r="J2114" i="20"/>
  <c r="J2113" i="20"/>
  <c r="J2112" i="20"/>
  <c r="J2111" i="20"/>
  <c r="J2110" i="20"/>
  <c r="J2109" i="20"/>
  <c r="J2108" i="20"/>
  <c r="J2107" i="20"/>
  <c r="J2106" i="20"/>
  <c r="J2105" i="20"/>
  <c r="J2104" i="20"/>
  <c r="J2103" i="20"/>
  <c r="J2102" i="20"/>
  <c r="J2101" i="20"/>
  <c r="J2100" i="20"/>
  <c r="J2099" i="20"/>
  <c r="J2098" i="20"/>
  <c r="J2097" i="20"/>
  <c r="J2096" i="20"/>
  <c r="J2095" i="20"/>
  <c r="J2094" i="20"/>
  <c r="J2093" i="20"/>
  <c r="J2092" i="20"/>
  <c r="J2091" i="20"/>
  <c r="J2090" i="20"/>
  <c r="J2089" i="20"/>
  <c r="J2088" i="20"/>
  <c r="J2087" i="20"/>
  <c r="J2086" i="20"/>
  <c r="J2085" i="20"/>
  <c r="J2084" i="20"/>
  <c r="J2083" i="20"/>
  <c r="J2082" i="20"/>
  <c r="J2081" i="20"/>
  <c r="J2080" i="20"/>
  <c r="J2079" i="20"/>
  <c r="J2078" i="20"/>
  <c r="J2077" i="20"/>
  <c r="J2076" i="20"/>
  <c r="J2075" i="20"/>
  <c r="J2074" i="20"/>
  <c r="J2073" i="20"/>
  <c r="J2072" i="20"/>
  <c r="J2071" i="20"/>
  <c r="J2070" i="20"/>
  <c r="J2069" i="20"/>
  <c r="J2068" i="20"/>
  <c r="J2067" i="20"/>
  <c r="J2066" i="20"/>
  <c r="J2065" i="20"/>
  <c r="J2064" i="20"/>
  <c r="J2063" i="20"/>
  <c r="J2062" i="20"/>
  <c r="J2061" i="20"/>
  <c r="J2060" i="20"/>
  <c r="J2059" i="20"/>
  <c r="J2058" i="20"/>
  <c r="J2057" i="20"/>
  <c r="J2056" i="20"/>
  <c r="J2055" i="20"/>
  <c r="J2054" i="20"/>
  <c r="J2053" i="20"/>
  <c r="J2052" i="20"/>
  <c r="J2051" i="20"/>
  <c r="J2050" i="20"/>
  <c r="J2049" i="20"/>
  <c r="J2048" i="20"/>
  <c r="J2047" i="20"/>
  <c r="J2046" i="20"/>
  <c r="J2045" i="20"/>
  <c r="J2044" i="20"/>
  <c r="J2043" i="20"/>
  <c r="J2042" i="20"/>
  <c r="J2041" i="20"/>
  <c r="J2040" i="20"/>
  <c r="J2039" i="20"/>
  <c r="J2038" i="20"/>
  <c r="J2037" i="20"/>
  <c r="J2036" i="20"/>
  <c r="J2035" i="20"/>
  <c r="J2034" i="20"/>
  <c r="J2033" i="20"/>
  <c r="J2032" i="20"/>
  <c r="J2031" i="20"/>
  <c r="J2030" i="20"/>
  <c r="J2029" i="20"/>
  <c r="J2028" i="20"/>
  <c r="J2027" i="20"/>
  <c r="J2026" i="20"/>
  <c r="J2025" i="20"/>
  <c r="J2024" i="20"/>
  <c r="J2023" i="20"/>
  <c r="J2022" i="20"/>
  <c r="J2021" i="20"/>
  <c r="J2020" i="20"/>
  <c r="J2019" i="20"/>
  <c r="J2018" i="20"/>
  <c r="J2017" i="20"/>
  <c r="J2016" i="20"/>
  <c r="J2015" i="20"/>
  <c r="J2014" i="20"/>
  <c r="J2013" i="20"/>
  <c r="J2012" i="20"/>
  <c r="J2011" i="20"/>
  <c r="J2010" i="20"/>
  <c r="J2009" i="20"/>
  <c r="J2008" i="20"/>
  <c r="J2007" i="20"/>
  <c r="J2006" i="20"/>
  <c r="J2005" i="20"/>
  <c r="J2004" i="20"/>
  <c r="J2003" i="20"/>
  <c r="J2002" i="20"/>
  <c r="J2001" i="20"/>
  <c r="J2000" i="20"/>
  <c r="J1999" i="20"/>
  <c r="J1998" i="20"/>
  <c r="J1997" i="20"/>
  <c r="J1996" i="20"/>
  <c r="J1995" i="20"/>
  <c r="J1994" i="20"/>
  <c r="J1993" i="20"/>
  <c r="J1992" i="20"/>
  <c r="J1991" i="20"/>
  <c r="J1990" i="20"/>
  <c r="J1989" i="20"/>
  <c r="J1988" i="20"/>
  <c r="J1987" i="20"/>
  <c r="J1986" i="20"/>
  <c r="J1985" i="20"/>
  <c r="J1984" i="20"/>
  <c r="J1983" i="20"/>
  <c r="J1982" i="20"/>
  <c r="J1981" i="20"/>
  <c r="J1980" i="20"/>
  <c r="J1979" i="20"/>
  <c r="J1978" i="20"/>
  <c r="J1977" i="20"/>
  <c r="J1976" i="20"/>
  <c r="J1975" i="20"/>
  <c r="J1974" i="20"/>
  <c r="J1973" i="20"/>
  <c r="J1972" i="20"/>
  <c r="J1971" i="20"/>
  <c r="J1970" i="20"/>
  <c r="J1969" i="20"/>
  <c r="J1968" i="20"/>
  <c r="J1967" i="20"/>
  <c r="J1966" i="20"/>
  <c r="J1965" i="20"/>
  <c r="J1964" i="20"/>
  <c r="J1963" i="20"/>
  <c r="J1962" i="20"/>
  <c r="J1961" i="20"/>
  <c r="J1960" i="20"/>
  <c r="J1959" i="20"/>
  <c r="J1958" i="20"/>
  <c r="J1957" i="20"/>
  <c r="J1956" i="20"/>
  <c r="J1955" i="20"/>
  <c r="J1954" i="20"/>
  <c r="J1953" i="20"/>
  <c r="J1952" i="20"/>
  <c r="J1951" i="20"/>
  <c r="J1950" i="20"/>
  <c r="J1949" i="20"/>
  <c r="J1948" i="20"/>
  <c r="J1947" i="20"/>
  <c r="J1946" i="20"/>
  <c r="J1945" i="20"/>
  <c r="J1944" i="20"/>
  <c r="J1943" i="20"/>
  <c r="J1942" i="20"/>
  <c r="J1941" i="20"/>
  <c r="J1940" i="20"/>
  <c r="J1939" i="20"/>
  <c r="J1938" i="20"/>
  <c r="J1937" i="20"/>
  <c r="J1936" i="20"/>
  <c r="J1935" i="20"/>
  <c r="J1934" i="20"/>
  <c r="J1933" i="20"/>
  <c r="J1932" i="20"/>
  <c r="J1931" i="20"/>
  <c r="J1930" i="20"/>
  <c r="J1929" i="20"/>
  <c r="J1928" i="20"/>
  <c r="J1927" i="20"/>
  <c r="J1926" i="20"/>
  <c r="J1925" i="20"/>
  <c r="J1924" i="20"/>
  <c r="J1923" i="20"/>
  <c r="J1922" i="20"/>
  <c r="J1921" i="20"/>
  <c r="J1920" i="20"/>
  <c r="J1919" i="20"/>
  <c r="J1918" i="20"/>
  <c r="J1917" i="20"/>
  <c r="J1916" i="20"/>
  <c r="J1915" i="20"/>
  <c r="J1914" i="20"/>
  <c r="J1913" i="20"/>
  <c r="J1912" i="20"/>
  <c r="J1911" i="20"/>
  <c r="J1910" i="20"/>
  <c r="J1909" i="20"/>
  <c r="J1908" i="20"/>
  <c r="J1907" i="20"/>
  <c r="J1906" i="20"/>
  <c r="J1905" i="20"/>
  <c r="J1904" i="20"/>
  <c r="J1903" i="20"/>
  <c r="J1902" i="20"/>
  <c r="J1901" i="20"/>
  <c r="J1900" i="20"/>
  <c r="J1899" i="20"/>
  <c r="J1898" i="20"/>
  <c r="J1897" i="20"/>
  <c r="J1896" i="20"/>
  <c r="J1895" i="20"/>
  <c r="J1894" i="20"/>
  <c r="J1893" i="20"/>
  <c r="J1892" i="20"/>
  <c r="J1891" i="20"/>
  <c r="J1890" i="20"/>
  <c r="J1889" i="20"/>
  <c r="J1888" i="20"/>
  <c r="J1887" i="20"/>
  <c r="J1886" i="20"/>
  <c r="J1885" i="20"/>
  <c r="J1884" i="20"/>
  <c r="J1883" i="20"/>
  <c r="J1882" i="20"/>
  <c r="J1881" i="20"/>
  <c r="J1880" i="20"/>
  <c r="J1879" i="20"/>
  <c r="J1878" i="20"/>
  <c r="J1877" i="20"/>
  <c r="J1876" i="20"/>
  <c r="J1875" i="20"/>
  <c r="J1874" i="20"/>
  <c r="J1873" i="20"/>
  <c r="J1872" i="20"/>
  <c r="J1871" i="20"/>
  <c r="J1870" i="20"/>
  <c r="J1869" i="20"/>
  <c r="J1868" i="20"/>
  <c r="J1867" i="20"/>
  <c r="J1866" i="20"/>
  <c r="J1865" i="20"/>
  <c r="J1864" i="20"/>
  <c r="J1863" i="20"/>
  <c r="J1862" i="20"/>
  <c r="J1861" i="20"/>
  <c r="J1860" i="20"/>
  <c r="J1859" i="20"/>
  <c r="J1858" i="20"/>
  <c r="J1857" i="20"/>
  <c r="J1856" i="20"/>
  <c r="J1855" i="20"/>
  <c r="J1854" i="20"/>
  <c r="J1853" i="20"/>
  <c r="J1852" i="20"/>
  <c r="J1851" i="20"/>
  <c r="J1850" i="20"/>
  <c r="J1849" i="20"/>
  <c r="J1848" i="20"/>
  <c r="J1847" i="20"/>
  <c r="J1846" i="20"/>
  <c r="J1845" i="20"/>
  <c r="J1844" i="20"/>
  <c r="J1843" i="20"/>
  <c r="J1842" i="20"/>
  <c r="J1841" i="20"/>
  <c r="J1840" i="20"/>
  <c r="J1839" i="20"/>
  <c r="J1838" i="20"/>
  <c r="J1837" i="20"/>
  <c r="J1836" i="20"/>
  <c r="J1835" i="20"/>
  <c r="J1834" i="20"/>
  <c r="J1833" i="20"/>
  <c r="J1832" i="20"/>
  <c r="J1831" i="20"/>
  <c r="J1830" i="20"/>
  <c r="J1829" i="20"/>
  <c r="J1828" i="20"/>
  <c r="J1827" i="20"/>
  <c r="J1826" i="20"/>
  <c r="J1825" i="20"/>
  <c r="J1824" i="20"/>
  <c r="J1823" i="20"/>
  <c r="J1822" i="20"/>
  <c r="J1821" i="20"/>
  <c r="J1820" i="20"/>
  <c r="J1819" i="20"/>
  <c r="J1818" i="20"/>
  <c r="J1817" i="20"/>
  <c r="J1816" i="20"/>
  <c r="J1815" i="20"/>
  <c r="J1814" i="20"/>
  <c r="J1813" i="20"/>
  <c r="J1812" i="20"/>
  <c r="J1811" i="20"/>
  <c r="J1810" i="20"/>
  <c r="J1809" i="20"/>
  <c r="J1808" i="20"/>
  <c r="J1807" i="20"/>
  <c r="J1806" i="20"/>
  <c r="J1805" i="20"/>
  <c r="J1804" i="20"/>
  <c r="J1803" i="20"/>
  <c r="J1802" i="20"/>
  <c r="J1801" i="20"/>
  <c r="J1800" i="20"/>
  <c r="J1799" i="20"/>
  <c r="J1798" i="20"/>
  <c r="J1797" i="20"/>
  <c r="J1796" i="20"/>
  <c r="J1795" i="20"/>
  <c r="J1794" i="20"/>
  <c r="J1793" i="20"/>
  <c r="J1792" i="20"/>
  <c r="J1791" i="20"/>
  <c r="J1790" i="20"/>
  <c r="J1789" i="20"/>
  <c r="J1788" i="20"/>
  <c r="J1787" i="20"/>
  <c r="J1786" i="20"/>
  <c r="J1785" i="20"/>
  <c r="J1784" i="20"/>
  <c r="J1783" i="20"/>
  <c r="J1782" i="20"/>
  <c r="J1781" i="20"/>
  <c r="J1780" i="20"/>
  <c r="J1779" i="20"/>
  <c r="J1778" i="20"/>
  <c r="J1777" i="20"/>
  <c r="J1776" i="20"/>
  <c r="J1775" i="20"/>
  <c r="J1774" i="20"/>
  <c r="J1773" i="20"/>
  <c r="J1772" i="20"/>
  <c r="J1771" i="20"/>
  <c r="J1770" i="20"/>
  <c r="J1769" i="20"/>
  <c r="J1768" i="20"/>
  <c r="J1767" i="20"/>
  <c r="J1766" i="20"/>
  <c r="J1765" i="20"/>
  <c r="J1764" i="20"/>
  <c r="J1763" i="20"/>
  <c r="J1762" i="20"/>
  <c r="J1761" i="20"/>
  <c r="J1760" i="20"/>
  <c r="J1759" i="20"/>
  <c r="J1758" i="20"/>
  <c r="J1757" i="20"/>
  <c r="J1756" i="20"/>
  <c r="J1755" i="20"/>
  <c r="J1754" i="20"/>
  <c r="J1753" i="20"/>
  <c r="J1752" i="20"/>
  <c r="J1751" i="20"/>
  <c r="J1750" i="20"/>
  <c r="J1749" i="20"/>
  <c r="J1748" i="20"/>
  <c r="J1747" i="20"/>
  <c r="J1746" i="20"/>
  <c r="J1745" i="20"/>
  <c r="J1744" i="20"/>
  <c r="J1743" i="20"/>
  <c r="J1742" i="20"/>
  <c r="J1741" i="20"/>
  <c r="J1740" i="20"/>
  <c r="J1739" i="20"/>
  <c r="J1738" i="20"/>
  <c r="J1737" i="20"/>
  <c r="J1736" i="20"/>
  <c r="J1735" i="20"/>
  <c r="J1734" i="20"/>
  <c r="J1733" i="20"/>
  <c r="J1732" i="20"/>
  <c r="J1731" i="20"/>
  <c r="J1730" i="20"/>
  <c r="J1729" i="20"/>
  <c r="J1728" i="20"/>
  <c r="J1727" i="20"/>
  <c r="J1726" i="20"/>
  <c r="J1725" i="20"/>
  <c r="J1724" i="20"/>
  <c r="J1723" i="20"/>
  <c r="J1722" i="20"/>
  <c r="J1721" i="20"/>
  <c r="J1720" i="20"/>
  <c r="J1719" i="20"/>
  <c r="J1718" i="20"/>
  <c r="J1717" i="20"/>
  <c r="J1716" i="20"/>
  <c r="J1715" i="20"/>
  <c r="J1714" i="20"/>
  <c r="J1713" i="20"/>
  <c r="J1712" i="20"/>
  <c r="J1711" i="20"/>
  <c r="J1710" i="20"/>
  <c r="J1709" i="20"/>
  <c r="J1708" i="20"/>
  <c r="J1707" i="20"/>
  <c r="J1706" i="20"/>
  <c r="J1705" i="20"/>
  <c r="J1704" i="20"/>
  <c r="J1703" i="20"/>
  <c r="J1702" i="20"/>
  <c r="J1701" i="20"/>
  <c r="J1700" i="20"/>
  <c r="J1699" i="20"/>
  <c r="J1698" i="20"/>
  <c r="J1697" i="20"/>
  <c r="J1696" i="20"/>
  <c r="J1695" i="20"/>
  <c r="J1694" i="20"/>
  <c r="J1693" i="20"/>
  <c r="J1692" i="20"/>
  <c r="J1691" i="20"/>
  <c r="J1690" i="20"/>
  <c r="J1689" i="20"/>
  <c r="J1688" i="20"/>
  <c r="J1687" i="20"/>
  <c r="J1686" i="20"/>
  <c r="J1685" i="20"/>
  <c r="J1684" i="20"/>
  <c r="J1683" i="20"/>
  <c r="J1682" i="20"/>
  <c r="J1681" i="20"/>
  <c r="J1680" i="20"/>
  <c r="J1679" i="20"/>
  <c r="J1678" i="20"/>
  <c r="J1677" i="20"/>
  <c r="J1676" i="20"/>
  <c r="J1675" i="20"/>
  <c r="J1674" i="20"/>
  <c r="J1673" i="20"/>
  <c r="J1672" i="20"/>
  <c r="J1671" i="20"/>
  <c r="J1670" i="20"/>
  <c r="J1669" i="20"/>
  <c r="J1668" i="20"/>
  <c r="J1667" i="20"/>
  <c r="J1666" i="20"/>
  <c r="J1665" i="20"/>
  <c r="J1664" i="20"/>
  <c r="J1663" i="20"/>
  <c r="J1662" i="20"/>
  <c r="J1661" i="20"/>
  <c r="J1660" i="20"/>
  <c r="J1659" i="20"/>
  <c r="J1658" i="20"/>
  <c r="J1657" i="20"/>
  <c r="J1656" i="20"/>
  <c r="J1655" i="20"/>
  <c r="J1654" i="20"/>
  <c r="J1653" i="20"/>
  <c r="J1652" i="20"/>
  <c r="J1651" i="20"/>
  <c r="J1650" i="20"/>
  <c r="J1649" i="20"/>
  <c r="J1648" i="20"/>
  <c r="J1647" i="20"/>
  <c r="J1646" i="20"/>
  <c r="J1645" i="20"/>
  <c r="J1644" i="20"/>
  <c r="J1643" i="20"/>
  <c r="J1642" i="20"/>
  <c r="J1641" i="20"/>
  <c r="J1640" i="20"/>
  <c r="J1639" i="20"/>
  <c r="J1638" i="20"/>
  <c r="J1637" i="20"/>
  <c r="J1636" i="20"/>
  <c r="J1635" i="20"/>
  <c r="J1634" i="20"/>
  <c r="J1633" i="20"/>
  <c r="J1632" i="20"/>
  <c r="J1631" i="20"/>
  <c r="J1630" i="20"/>
  <c r="J1629" i="20"/>
  <c r="J1628" i="20"/>
  <c r="J1627" i="20"/>
  <c r="J1626" i="20"/>
  <c r="J1625" i="20"/>
  <c r="J1624" i="20"/>
  <c r="J1623" i="20"/>
  <c r="J1622" i="20"/>
  <c r="J1621" i="20"/>
  <c r="J1620" i="20"/>
  <c r="J1619" i="20"/>
  <c r="J1618" i="20"/>
  <c r="J1617" i="20"/>
  <c r="J1616" i="20"/>
  <c r="J1615" i="20"/>
  <c r="J1614" i="20"/>
  <c r="J1613" i="20"/>
  <c r="J1612" i="20"/>
  <c r="J1611" i="20"/>
  <c r="J1610" i="20"/>
  <c r="J1609" i="20"/>
  <c r="J1608" i="20"/>
  <c r="J1607" i="20"/>
  <c r="J1606" i="20"/>
  <c r="J1605" i="20"/>
  <c r="J1604" i="20"/>
  <c r="J1603" i="20"/>
  <c r="J1602" i="20"/>
  <c r="J1601" i="20"/>
  <c r="J1600" i="20"/>
  <c r="J1599" i="20"/>
  <c r="J1598" i="20"/>
  <c r="J1597" i="20"/>
  <c r="J1596" i="20"/>
  <c r="J1595" i="20"/>
  <c r="J1594" i="20"/>
  <c r="J1593" i="20"/>
  <c r="J1592" i="20"/>
  <c r="J1591" i="20"/>
  <c r="J1590" i="20"/>
  <c r="J1589" i="20"/>
  <c r="J1588" i="20"/>
  <c r="J1587" i="20"/>
  <c r="J1586" i="20"/>
  <c r="J1585" i="20"/>
  <c r="J1584" i="20"/>
  <c r="J1583" i="20"/>
  <c r="J1582" i="20"/>
  <c r="J1581" i="20"/>
  <c r="J1580" i="20"/>
  <c r="J1579" i="20"/>
  <c r="J1578" i="20"/>
  <c r="J1577" i="20"/>
  <c r="J1576" i="20"/>
  <c r="J1575" i="20"/>
  <c r="J1574" i="20"/>
  <c r="J1573" i="20"/>
  <c r="J1572" i="20"/>
  <c r="J1571" i="20"/>
  <c r="J1570" i="20"/>
  <c r="J1569" i="20"/>
  <c r="J1568" i="20"/>
  <c r="J1567" i="20"/>
  <c r="J1566" i="20"/>
  <c r="J1565" i="20"/>
  <c r="J1564" i="20"/>
  <c r="J1563" i="20"/>
  <c r="J1562" i="20"/>
  <c r="J1561" i="20"/>
  <c r="J1560" i="20"/>
  <c r="J1559" i="20"/>
  <c r="J1558" i="20"/>
  <c r="J1557" i="20"/>
  <c r="J1556" i="20"/>
  <c r="J1555" i="20"/>
  <c r="J1554" i="20"/>
  <c r="J1553" i="20"/>
  <c r="J1552" i="20"/>
  <c r="J1551" i="20"/>
  <c r="J1550" i="20"/>
  <c r="J1549" i="20"/>
  <c r="J1548" i="20"/>
  <c r="J1547" i="20"/>
  <c r="J1546" i="20"/>
  <c r="J1545" i="20"/>
  <c r="J1544" i="20"/>
  <c r="J1543" i="20"/>
  <c r="J1542" i="20"/>
  <c r="J1541" i="20"/>
  <c r="J1540" i="20"/>
  <c r="J1539" i="20"/>
  <c r="J1538" i="20"/>
  <c r="J1537" i="20"/>
  <c r="J1536" i="20"/>
  <c r="J1535" i="20"/>
  <c r="J1534" i="20"/>
  <c r="J1533" i="20"/>
  <c r="J1532" i="20"/>
  <c r="J1531" i="20"/>
  <c r="J1530" i="20"/>
  <c r="J1529" i="20"/>
  <c r="J1528" i="20"/>
  <c r="J1527" i="20"/>
  <c r="J1526" i="20"/>
  <c r="J1525" i="20"/>
  <c r="J1524" i="20"/>
  <c r="J1523" i="20"/>
  <c r="J1522" i="20"/>
  <c r="J1521" i="20"/>
  <c r="J1520" i="20"/>
  <c r="J1519" i="20"/>
  <c r="J1518" i="20"/>
  <c r="J1517" i="20"/>
  <c r="J1516" i="20"/>
  <c r="J1515" i="20"/>
  <c r="J1514" i="20"/>
  <c r="J1513" i="20"/>
  <c r="J1512" i="20"/>
  <c r="J1511" i="20"/>
  <c r="J1510" i="20"/>
  <c r="J1509" i="20"/>
  <c r="J1508" i="20"/>
  <c r="J1507" i="20"/>
  <c r="J1506" i="20"/>
  <c r="J1505" i="20"/>
  <c r="J1504" i="20"/>
  <c r="J1503" i="20"/>
  <c r="J1502" i="20"/>
  <c r="J1501" i="20"/>
  <c r="J1500" i="20"/>
  <c r="J1499" i="20"/>
  <c r="J1498" i="20"/>
  <c r="J1497" i="20"/>
  <c r="J1496" i="20"/>
  <c r="J1495" i="20"/>
  <c r="J1494" i="20"/>
  <c r="J1493" i="20"/>
  <c r="J1492" i="20"/>
  <c r="J1491" i="20"/>
  <c r="J1490" i="20"/>
  <c r="J1489" i="20"/>
  <c r="J1488" i="20"/>
  <c r="J1487" i="20"/>
  <c r="J1486" i="20"/>
  <c r="J1485" i="20"/>
  <c r="J1484" i="20"/>
  <c r="J1483" i="20"/>
  <c r="J1482" i="20"/>
  <c r="J1481" i="20"/>
  <c r="J1480" i="20"/>
  <c r="J1479" i="20"/>
  <c r="J1478" i="20"/>
  <c r="J1477" i="20"/>
  <c r="J1476" i="20"/>
  <c r="J1475" i="20"/>
  <c r="J1474" i="20"/>
  <c r="J1473" i="20"/>
  <c r="J1472" i="20"/>
  <c r="J1471" i="20"/>
  <c r="J1470" i="20"/>
  <c r="J1469" i="20"/>
  <c r="J1468" i="20"/>
  <c r="J1467" i="20"/>
  <c r="J1466" i="20"/>
  <c r="J1465" i="20"/>
  <c r="J1464" i="20"/>
  <c r="J1463" i="20"/>
  <c r="J1462" i="20"/>
  <c r="J1461" i="20"/>
  <c r="J1460" i="20"/>
  <c r="J1459" i="20"/>
  <c r="J1458" i="20"/>
  <c r="J1457" i="20"/>
  <c r="J1456" i="20"/>
  <c r="J1455" i="20"/>
  <c r="J1454" i="20"/>
  <c r="J1453" i="20"/>
  <c r="J1452" i="20"/>
  <c r="J1451" i="20"/>
  <c r="J1450" i="20"/>
  <c r="J1449" i="20"/>
  <c r="J1448" i="20"/>
  <c r="J1447" i="20"/>
  <c r="J1446" i="20"/>
  <c r="J1445" i="20"/>
  <c r="J1444" i="20"/>
  <c r="J1443" i="20"/>
  <c r="J1442" i="20"/>
  <c r="J1441" i="20"/>
  <c r="J1440" i="20"/>
  <c r="J1439" i="20"/>
  <c r="J1438" i="20"/>
  <c r="J1437" i="20"/>
  <c r="J1436" i="20"/>
  <c r="J1435" i="20"/>
  <c r="J1434" i="20"/>
  <c r="J1433" i="20"/>
  <c r="J1432" i="20"/>
  <c r="J1431" i="20"/>
  <c r="J1430" i="20"/>
  <c r="J1429" i="20"/>
  <c r="J1428" i="20"/>
  <c r="J1427" i="20"/>
  <c r="J1426" i="20"/>
  <c r="J1425" i="20"/>
  <c r="J1424" i="20"/>
  <c r="J1423" i="20"/>
  <c r="J1422" i="20"/>
  <c r="J1421" i="20"/>
  <c r="J1420" i="20"/>
  <c r="J1419" i="20"/>
  <c r="J1418" i="20"/>
  <c r="J1417" i="20"/>
  <c r="J1416" i="20"/>
  <c r="J1415" i="20"/>
  <c r="J1414" i="20"/>
  <c r="J1413" i="20"/>
  <c r="J1412" i="20"/>
  <c r="J1411" i="20"/>
  <c r="J1410" i="20"/>
  <c r="J1409" i="20"/>
  <c r="J1408" i="20"/>
  <c r="J1407" i="20"/>
  <c r="J1406" i="20"/>
  <c r="J1405" i="20"/>
  <c r="J1404" i="20"/>
  <c r="J1403" i="20"/>
  <c r="J1402" i="20"/>
  <c r="J1401" i="20"/>
  <c r="J1400" i="20"/>
  <c r="J1399" i="20"/>
  <c r="J1398" i="20"/>
  <c r="J1397" i="20"/>
  <c r="J1396" i="20"/>
  <c r="J1395" i="20"/>
  <c r="J1394" i="20"/>
  <c r="J1393" i="20"/>
  <c r="J1392" i="20"/>
  <c r="J1391" i="20"/>
  <c r="J1390" i="20"/>
  <c r="J1389" i="20"/>
  <c r="J1388" i="20"/>
  <c r="J1387" i="20"/>
  <c r="J1386" i="20"/>
  <c r="J1385" i="20"/>
  <c r="J1384" i="20"/>
  <c r="J1383" i="20"/>
  <c r="J1382" i="20"/>
  <c r="J1381" i="20"/>
  <c r="J1380" i="20"/>
  <c r="J1379" i="20"/>
  <c r="J1378" i="20"/>
  <c r="J1377" i="20"/>
  <c r="J1376" i="20"/>
  <c r="J1375" i="20"/>
  <c r="J1374" i="20"/>
  <c r="J1373" i="20"/>
  <c r="J1372" i="20"/>
  <c r="J1371" i="20"/>
  <c r="J1370" i="20"/>
  <c r="J1369" i="20"/>
  <c r="J1368" i="20"/>
  <c r="J1367" i="20"/>
  <c r="J1366" i="20"/>
  <c r="J1365" i="20"/>
  <c r="J1364" i="20"/>
  <c r="J1363" i="20"/>
  <c r="J1362" i="20"/>
  <c r="J1361" i="20"/>
  <c r="J1360" i="20"/>
  <c r="J1359" i="20"/>
  <c r="J1358" i="20"/>
  <c r="J1357" i="20"/>
  <c r="J1356" i="20"/>
  <c r="J1355" i="20"/>
  <c r="J1354" i="20"/>
  <c r="J1353" i="20"/>
  <c r="J1352" i="20"/>
  <c r="J1351" i="20"/>
  <c r="J1350" i="20"/>
  <c r="J1349" i="20"/>
  <c r="J1348" i="20"/>
  <c r="J1347" i="20"/>
  <c r="J1346" i="20"/>
  <c r="J1345" i="20"/>
  <c r="J1344" i="20"/>
  <c r="J1343" i="20"/>
  <c r="J1342" i="20"/>
  <c r="J1341" i="20"/>
  <c r="J1340" i="20"/>
  <c r="J1339" i="20"/>
  <c r="J1338" i="20"/>
  <c r="J1337" i="20"/>
  <c r="J1336" i="20"/>
  <c r="J1335" i="20"/>
  <c r="J1334" i="20"/>
  <c r="J1333" i="20"/>
  <c r="J1332" i="20"/>
  <c r="J1331" i="20"/>
  <c r="J1330" i="20"/>
  <c r="J1329" i="20"/>
  <c r="J1328" i="20"/>
  <c r="J1327" i="20"/>
  <c r="J1326" i="20"/>
  <c r="J1325" i="20"/>
  <c r="J1324" i="20"/>
  <c r="J1323" i="20"/>
  <c r="J1322" i="20"/>
  <c r="J1321" i="20"/>
  <c r="J1320" i="20"/>
  <c r="J1319" i="20"/>
  <c r="J1318" i="20"/>
  <c r="J1317" i="20"/>
  <c r="J1316" i="20"/>
  <c r="J1315" i="20"/>
  <c r="J1314" i="20"/>
  <c r="J1313" i="20"/>
  <c r="J1312" i="20"/>
  <c r="J1311" i="20"/>
  <c r="J1310" i="20"/>
  <c r="J1309" i="20"/>
  <c r="J1308" i="20"/>
  <c r="J1307" i="20"/>
  <c r="J1306" i="20"/>
  <c r="J1305" i="20"/>
  <c r="J1304" i="20"/>
  <c r="J1303" i="20"/>
  <c r="J1302" i="20"/>
  <c r="J1301" i="20"/>
  <c r="J1300" i="20"/>
  <c r="J1299" i="20"/>
  <c r="J1298" i="20"/>
  <c r="J1297" i="20"/>
  <c r="J1296" i="20"/>
  <c r="J1295" i="20"/>
  <c r="J1294" i="20"/>
  <c r="J1293" i="20"/>
  <c r="J1292" i="20"/>
  <c r="J1291" i="20"/>
  <c r="J1290" i="20"/>
  <c r="J1289" i="20"/>
  <c r="J1288" i="20"/>
  <c r="J1287" i="20"/>
  <c r="J1286" i="20"/>
  <c r="J1285" i="20"/>
  <c r="J1284" i="20"/>
  <c r="J1283" i="20"/>
  <c r="J1282" i="20"/>
  <c r="J1281" i="20"/>
  <c r="J1280" i="20"/>
  <c r="J1279" i="20"/>
  <c r="J1278" i="20"/>
  <c r="J1277" i="20"/>
  <c r="J1276" i="20"/>
  <c r="J1275" i="20"/>
  <c r="J1274" i="20"/>
  <c r="J1273" i="20"/>
  <c r="J1272" i="20"/>
  <c r="J1271" i="20"/>
  <c r="J1270" i="20"/>
  <c r="J1269" i="20"/>
  <c r="J1268" i="20"/>
  <c r="J1267" i="20"/>
  <c r="J1266" i="20"/>
  <c r="J1265" i="20"/>
  <c r="J1264" i="20"/>
  <c r="J1263" i="20"/>
  <c r="J1262" i="20"/>
  <c r="J1261" i="20"/>
  <c r="J1260" i="20"/>
  <c r="J1259" i="20"/>
  <c r="J1258" i="20"/>
  <c r="J1257" i="20"/>
  <c r="J1256" i="20"/>
  <c r="J1255" i="20"/>
  <c r="J1254" i="20"/>
  <c r="J1253" i="20"/>
  <c r="J1252" i="20"/>
  <c r="J1251" i="20"/>
  <c r="J1250" i="20"/>
  <c r="J1249" i="20"/>
  <c r="J1248" i="20"/>
  <c r="J1247" i="20"/>
  <c r="J1246" i="20"/>
  <c r="J1245" i="20"/>
  <c r="J1244" i="20"/>
  <c r="J1243" i="20"/>
  <c r="J1242" i="20"/>
  <c r="J1241" i="20"/>
  <c r="J1240" i="20"/>
  <c r="J1239" i="20"/>
  <c r="J1238" i="20"/>
  <c r="J1237" i="20"/>
  <c r="J1236" i="20"/>
  <c r="J1235" i="20"/>
  <c r="J1234" i="20"/>
  <c r="J1233" i="20"/>
  <c r="J1232" i="20"/>
  <c r="J1231" i="20"/>
  <c r="J1230" i="20"/>
  <c r="J1229" i="20"/>
  <c r="J1228" i="20"/>
  <c r="J1227" i="20"/>
  <c r="J1226" i="20"/>
  <c r="J1225" i="20"/>
  <c r="J1224" i="20"/>
  <c r="J1223" i="20"/>
  <c r="J1222" i="20"/>
  <c r="J1221" i="20"/>
  <c r="J1220" i="20"/>
  <c r="J1219" i="20"/>
  <c r="J1218" i="20"/>
  <c r="J1217" i="20"/>
  <c r="J1216" i="20"/>
  <c r="J1215" i="20"/>
  <c r="J1214" i="20"/>
  <c r="J1213" i="20"/>
  <c r="J1212" i="20"/>
  <c r="J1211" i="20"/>
  <c r="J1210" i="20"/>
  <c r="J1209" i="20"/>
  <c r="J1208" i="20"/>
  <c r="J1207" i="20"/>
  <c r="J1206" i="20"/>
  <c r="J1205" i="20"/>
  <c r="J1204" i="20"/>
  <c r="J1203" i="20"/>
  <c r="J1202" i="20"/>
  <c r="J1201" i="20"/>
  <c r="J1200" i="20"/>
  <c r="J1199" i="20"/>
  <c r="J1198" i="20"/>
  <c r="J1197" i="20"/>
  <c r="J1196" i="20"/>
  <c r="J1195" i="20"/>
  <c r="J1194" i="20"/>
  <c r="J1193" i="20"/>
  <c r="J1192" i="20"/>
  <c r="J1191" i="20"/>
  <c r="J1190" i="20"/>
  <c r="J1189" i="20"/>
  <c r="J1188" i="20"/>
  <c r="J1187" i="20"/>
  <c r="J1186" i="20"/>
  <c r="J1185" i="20"/>
  <c r="J1184" i="20"/>
  <c r="J1183" i="20"/>
  <c r="J1182" i="20"/>
  <c r="J1181" i="20"/>
  <c r="J1180" i="20"/>
  <c r="J1179" i="20"/>
  <c r="J1178" i="20"/>
  <c r="J1177" i="20"/>
  <c r="J1176" i="20"/>
  <c r="J1175" i="20"/>
  <c r="J1174" i="20"/>
  <c r="J1173" i="20"/>
  <c r="J1172" i="20"/>
  <c r="J1171" i="20"/>
  <c r="J1170" i="20"/>
  <c r="J1169" i="20"/>
  <c r="J1168" i="20"/>
  <c r="J1167" i="20"/>
  <c r="J1166" i="20"/>
  <c r="J1165" i="20"/>
  <c r="J1164" i="20"/>
  <c r="J1163" i="20"/>
  <c r="J1162" i="20"/>
  <c r="J1161" i="20"/>
  <c r="J1160" i="20"/>
  <c r="J1159" i="20"/>
  <c r="J1158" i="20"/>
  <c r="J1157" i="20"/>
  <c r="J1156" i="20"/>
  <c r="J1155" i="20"/>
  <c r="J1154" i="20"/>
  <c r="J1153" i="20"/>
  <c r="J1152" i="20"/>
  <c r="J1151" i="20"/>
  <c r="J1150" i="20"/>
  <c r="J1149" i="20"/>
  <c r="J1148" i="20"/>
  <c r="J1147" i="20"/>
  <c r="J1146" i="20"/>
  <c r="J1145" i="20"/>
  <c r="J1144" i="20"/>
  <c r="J1143" i="20"/>
  <c r="J1142" i="20"/>
  <c r="J1141" i="20"/>
  <c r="J1140" i="20"/>
  <c r="J1139" i="20"/>
  <c r="J1138" i="20"/>
  <c r="J1137" i="20"/>
  <c r="J1136" i="20"/>
  <c r="J1135" i="20"/>
  <c r="J1134" i="20"/>
  <c r="J1133" i="20"/>
  <c r="J1132" i="20"/>
  <c r="J1131" i="20"/>
  <c r="J1130" i="20"/>
  <c r="J1129" i="20"/>
  <c r="J1128" i="20"/>
  <c r="J1127" i="20"/>
  <c r="J1126" i="20"/>
  <c r="J1125" i="20"/>
  <c r="J1124" i="20"/>
  <c r="J1123" i="20"/>
  <c r="J1122" i="20"/>
  <c r="J1121" i="20"/>
  <c r="J1120" i="20"/>
  <c r="J1119" i="20"/>
  <c r="J1118" i="20"/>
  <c r="J1117" i="20"/>
  <c r="J1116" i="20"/>
  <c r="J1115" i="20"/>
  <c r="J1114" i="20"/>
  <c r="J1113" i="20"/>
  <c r="J1112" i="20"/>
  <c r="J1111" i="20"/>
  <c r="J1110" i="20"/>
  <c r="J1109" i="20"/>
  <c r="J1108" i="20"/>
  <c r="J1107" i="20"/>
  <c r="J1106" i="20"/>
  <c r="J1105" i="20"/>
  <c r="J1104" i="20"/>
  <c r="J1103" i="20"/>
  <c r="J1102" i="20"/>
  <c r="J1101" i="20"/>
  <c r="J1100" i="20"/>
  <c r="J1099" i="20"/>
  <c r="J1098" i="20"/>
  <c r="J1097" i="20"/>
  <c r="J1096" i="20"/>
  <c r="J1095" i="20"/>
  <c r="J1094" i="20"/>
  <c r="J1093" i="20"/>
  <c r="J1092" i="20"/>
  <c r="J1091" i="20"/>
  <c r="J1090" i="20"/>
  <c r="J1089" i="20"/>
  <c r="J1088" i="20"/>
  <c r="J1087" i="20"/>
  <c r="J1086" i="20"/>
  <c r="J1085" i="20"/>
  <c r="J1084" i="20"/>
  <c r="J1083" i="20"/>
  <c r="J1082" i="20"/>
  <c r="J1081" i="20"/>
  <c r="J1080" i="20"/>
  <c r="J1079" i="20"/>
  <c r="J1078" i="20"/>
  <c r="J1077" i="20"/>
  <c r="J1076" i="20"/>
  <c r="J1075" i="20"/>
  <c r="J1074" i="20"/>
  <c r="J1073" i="20"/>
  <c r="J1072" i="20"/>
  <c r="J1071" i="20"/>
  <c r="J1070" i="20"/>
  <c r="J1069" i="20"/>
  <c r="J1068" i="20"/>
  <c r="J1067" i="20"/>
  <c r="J1066" i="20"/>
  <c r="J1065" i="20"/>
  <c r="J1064" i="20"/>
  <c r="J1063" i="20"/>
  <c r="J1062" i="20"/>
  <c r="J1061" i="20"/>
  <c r="J1060" i="20"/>
  <c r="J1059" i="20"/>
  <c r="J1058" i="20"/>
  <c r="J1057" i="20"/>
  <c r="J1056" i="20"/>
  <c r="J1055" i="20"/>
  <c r="J1054" i="20"/>
  <c r="J1053" i="20"/>
  <c r="J1052" i="20"/>
  <c r="J1051" i="20"/>
  <c r="J1050" i="20"/>
  <c r="J1049" i="20"/>
  <c r="J1048" i="20"/>
  <c r="J1047" i="20"/>
  <c r="J1046" i="20"/>
  <c r="J1045" i="20"/>
  <c r="J1044" i="20"/>
  <c r="J1043" i="20"/>
  <c r="J1042" i="20"/>
  <c r="J1041" i="20"/>
  <c r="J1040" i="20"/>
  <c r="J1039" i="20"/>
  <c r="J1038" i="20"/>
  <c r="J1037" i="20"/>
  <c r="J1036" i="20"/>
  <c r="J1035" i="20"/>
  <c r="J1034" i="20"/>
  <c r="J1033" i="20"/>
  <c r="J1032" i="20"/>
  <c r="J1031" i="20"/>
  <c r="J1030" i="20"/>
  <c r="J1029" i="20"/>
  <c r="J1028" i="20"/>
  <c r="J1027" i="20"/>
  <c r="J1026" i="20"/>
  <c r="J1025" i="20"/>
  <c r="J1024" i="20"/>
  <c r="J1023" i="20"/>
  <c r="J1022" i="20"/>
  <c r="J1021" i="20"/>
  <c r="J1020" i="20"/>
  <c r="J1019" i="20"/>
  <c r="J1018" i="20"/>
  <c r="J1017" i="20"/>
  <c r="J1016" i="20"/>
  <c r="J1015" i="20"/>
  <c r="J1014" i="20"/>
  <c r="J1013" i="20"/>
  <c r="J1012" i="20"/>
  <c r="J1011" i="20"/>
  <c r="J1010" i="20"/>
  <c r="J1009" i="20"/>
  <c r="J1008" i="20"/>
  <c r="J1007" i="20"/>
  <c r="J1006" i="20"/>
  <c r="J1005" i="20"/>
  <c r="J1004" i="20"/>
  <c r="J1003" i="20"/>
  <c r="J1002" i="20"/>
  <c r="J1001" i="20"/>
  <c r="J1000" i="20"/>
  <c r="J999" i="20"/>
  <c r="J998" i="20"/>
  <c r="J997" i="20"/>
  <c r="J996" i="20"/>
  <c r="J995" i="20"/>
  <c r="J994" i="20"/>
  <c r="J993" i="20"/>
  <c r="J992" i="20"/>
  <c r="J991" i="20"/>
  <c r="J990" i="20"/>
  <c r="J989" i="20"/>
  <c r="J988" i="20"/>
  <c r="J987" i="20"/>
  <c r="J986" i="20"/>
  <c r="J985" i="20"/>
  <c r="J984" i="20"/>
  <c r="J983" i="20"/>
  <c r="J982" i="20"/>
  <c r="J981" i="20"/>
  <c r="J980" i="20"/>
  <c r="J979" i="20"/>
  <c r="J978" i="20"/>
  <c r="J977" i="20"/>
  <c r="J976" i="20"/>
  <c r="J975" i="20"/>
  <c r="J974" i="20"/>
  <c r="J973" i="20"/>
  <c r="J972" i="20"/>
  <c r="J971" i="20"/>
  <c r="J970" i="20"/>
  <c r="J969" i="20"/>
  <c r="J968" i="20"/>
  <c r="J967" i="20"/>
  <c r="J966" i="20"/>
  <c r="J965" i="20"/>
  <c r="J964" i="20"/>
  <c r="J963" i="20"/>
  <c r="J962" i="20"/>
  <c r="J961" i="20"/>
  <c r="J960" i="20"/>
  <c r="J959" i="20"/>
  <c r="J958" i="20"/>
  <c r="J957" i="20"/>
  <c r="J956" i="20"/>
  <c r="J955" i="20"/>
  <c r="J954" i="20"/>
  <c r="J953" i="20"/>
  <c r="J952" i="20"/>
  <c r="J951" i="20"/>
  <c r="J950" i="20"/>
  <c r="J949" i="20"/>
  <c r="J948" i="20"/>
  <c r="J947" i="20"/>
  <c r="J946" i="20"/>
  <c r="J945" i="20"/>
  <c r="J944" i="20"/>
  <c r="J943" i="20"/>
  <c r="J942" i="20"/>
  <c r="J941" i="20"/>
  <c r="J940" i="20"/>
  <c r="J939" i="20"/>
  <c r="J938" i="20"/>
  <c r="J937" i="20"/>
  <c r="J936" i="20"/>
  <c r="J935" i="20"/>
  <c r="J934" i="20"/>
  <c r="J933" i="20"/>
  <c r="J932" i="20"/>
  <c r="J931" i="20"/>
  <c r="J930" i="20"/>
  <c r="J929" i="20"/>
  <c r="J928" i="20"/>
  <c r="J927" i="20"/>
  <c r="J926" i="20"/>
  <c r="J925" i="20"/>
  <c r="J924" i="20"/>
  <c r="J923" i="20"/>
  <c r="J922" i="20"/>
  <c r="J921" i="20"/>
  <c r="J920" i="20"/>
  <c r="J919" i="20"/>
  <c r="J918" i="20"/>
  <c r="J917" i="20"/>
  <c r="J916" i="20"/>
  <c r="J915" i="20"/>
  <c r="J914" i="20"/>
  <c r="J913" i="20"/>
  <c r="J912" i="20"/>
  <c r="J911" i="20"/>
  <c r="J910" i="20"/>
  <c r="J909" i="20"/>
  <c r="J908" i="20"/>
  <c r="J907" i="20"/>
  <c r="J906" i="20"/>
  <c r="J905" i="20"/>
  <c r="J904" i="20"/>
  <c r="J903" i="20"/>
  <c r="J902" i="20"/>
  <c r="J901" i="20"/>
  <c r="J900" i="20"/>
  <c r="J899" i="20"/>
  <c r="J898" i="20"/>
  <c r="J897" i="20"/>
  <c r="J896" i="20"/>
  <c r="J895" i="20"/>
  <c r="J894" i="20"/>
  <c r="J893" i="20"/>
  <c r="J892" i="20"/>
  <c r="J891" i="20"/>
  <c r="J890" i="20"/>
  <c r="J889" i="20"/>
  <c r="J888" i="20"/>
  <c r="J887" i="20"/>
  <c r="J886" i="20"/>
  <c r="J885" i="20"/>
  <c r="J884" i="20"/>
  <c r="J883" i="20"/>
  <c r="J882" i="20"/>
  <c r="J881" i="20"/>
  <c r="J880" i="20"/>
  <c r="J879" i="20"/>
  <c r="J878" i="20"/>
  <c r="J877" i="20"/>
  <c r="J876" i="20"/>
  <c r="J875" i="20"/>
  <c r="J874" i="20"/>
  <c r="J873" i="20"/>
  <c r="J872" i="20"/>
  <c r="J871" i="20"/>
  <c r="J870" i="20"/>
  <c r="J869" i="20"/>
  <c r="J868" i="20"/>
  <c r="J867" i="20"/>
  <c r="J866" i="20"/>
  <c r="J865" i="20"/>
  <c r="J864" i="20"/>
  <c r="J863" i="20"/>
  <c r="J862" i="20"/>
  <c r="J861" i="20"/>
  <c r="J860" i="20"/>
  <c r="J859" i="20"/>
  <c r="J858" i="20"/>
  <c r="J857" i="20"/>
  <c r="J856" i="20"/>
  <c r="J855" i="20"/>
  <c r="J854" i="20"/>
  <c r="J853" i="20"/>
  <c r="J852" i="20"/>
  <c r="J851" i="20"/>
  <c r="J850" i="20"/>
  <c r="J849" i="20"/>
  <c r="J848" i="20"/>
  <c r="J847" i="20"/>
  <c r="J846" i="20"/>
  <c r="J845" i="20"/>
  <c r="J844" i="20"/>
  <c r="J843" i="20"/>
  <c r="J842" i="20"/>
  <c r="J841" i="20"/>
  <c r="J840" i="20"/>
  <c r="J839" i="20"/>
  <c r="J838" i="20"/>
  <c r="J837" i="20"/>
  <c r="J836" i="20"/>
  <c r="J835" i="20"/>
  <c r="J834" i="20"/>
  <c r="J833" i="20"/>
  <c r="J832" i="20"/>
  <c r="J831" i="20"/>
  <c r="J830" i="20"/>
  <c r="J829" i="20"/>
  <c r="J828" i="20"/>
  <c r="J827" i="20"/>
  <c r="J826" i="20"/>
  <c r="J825" i="20"/>
  <c r="J824" i="20"/>
  <c r="J823" i="20"/>
  <c r="J822" i="20"/>
  <c r="J821" i="20"/>
  <c r="J820" i="20"/>
  <c r="J819" i="20"/>
  <c r="J818" i="20"/>
  <c r="J817" i="20"/>
  <c r="J816" i="20"/>
  <c r="J815" i="20"/>
  <c r="J814" i="20"/>
  <c r="J813" i="20"/>
  <c r="J812" i="20"/>
  <c r="J811" i="20"/>
  <c r="J810" i="20"/>
  <c r="J809" i="20"/>
  <c r="J808" i="20"/>
  <c r="J807" i="20"/>
  <c r="J806" i="20"/>
  <c r="J805" i="20"/>
  <c r="J804" i="20"/>
  <c r="J803" i="20"/>
  <c r="J802" i="20"/>
  <c r="J801" i="20"/>
  <c r="J800" i="20"/>
  <c r="J799" i="20"/>
  <c r="J798" i="20"/>
  <c r="J797" i="20"/>
  <c r="J796" i="20"/>
  <c r="J795" i="20"/>
  <c r="J794" i="20"/>
  <c r="J793" i="20"/>
  <c r="J792" i="20"/>
  <c r="J791" i="20"/>
  <c r="J790" i="20"/>
  <c r="J789" i="20"/>
  <c r="J788" i="20"/>
  <c r="J787" i="20"/>
  <c r="J786" i="20"/>
  <c r="J785" i="20"/>
  <c r="J784" i="20"/>
  <c r="J783" i="20"/>
  <c r="J782" i="20"/>
  <c r="J781" i="20"/>
  <c r="J780" i="20"/>
  <c r="J779" i="20"/>
  <c r="J778" i="20"/>
  <c r="J777" i="20"/>
  <c r="J776" i="20"/>
  <c r="J775" i="20"/>
  <c r="J774" i="20"/>
  <c r="J773" i="20"/>
  <c r="J772" i="20"/>
  <c r="J771" i="20"/>
  <c r="J770" i="20"/>
  <c r="J769" i="20"/>
  <c r="J768" i="20"/>
  <c r="J767" i="20"/>
  <c r="J766" i="20"/>
  <c r="J765" i="20"/>
  <c r="J764" i="20"/>
  <c r="J763" i="20"/>
  <c r="J762" i="20"/>
  <c r="J761" i="20"/>
  <c r="J760" i="20"/>
  <c r="J759" i="20"/>
  <c r="J758" i="20"/>
  <c r="J757" i="20"/>
  <c r="J756" i="20"/>
  <c r="J755" i="20"/>
  <c r="J754" i="20"/>
  <c r="J753" i="20"/>
  <c r="J752" i="20"/>
  <c r="J751" i="20"/>
  <c r="J750" i="20"/>
  <c r="J749" i="20"/>
  <c r="J748" i="20"/>
  <c r="J747" i="20"/>
  <c r="J746" i="20"/>
  <c r="J745" i="20"/>
  <c r="J744" i="20"/>
  <c r="J743" i="20"/>
  <c r="J742" i="20"/>
  <c r="J741" i="20"/>
  <c r="J740" i="20"/>
  <c r="J739" i="20"/>
  <c r="J738" i="20"/>
  <c r="J737" i="20"/>
  <c r="J736" i="20"/>
  <c r="J735" i="20"/>
  <c r="J734" i="20"/>
  <c r="J733" i="20"/>
  <c r="J732" i="20"/>
  <c r="J731" i="20"/>
  <c r="J730" i="20"/>
  <c r="J729" i="20"/>
  <c r="J728" i="20"/>
  <c r="J727" i="20"/>
  <c r="J726" i="20"/>
  <c r="J725" i="20"/>
  <c r="J724" i="20"/>
  <c r="J723" i="20"/>
  <c r="J722" i="20"/>
  <c r="J721" i="20"/>
  <c r="J720" i="20"/>
  <c r="J719" i="20"/>
  <c r="J718" i="20"/>
  <c r="J717" i="20"/>
  <c r="J716" i="20"/>
  <c r="J715" i="20"/>
  <c r="J714" i="20"/>
  <c r="J713" i="20"/>
  <c r="J712" i="20"/>
  <c r="J711" i="20"/>
  <c r="J710" i="20"/>
  <c r="J709" i="20"/>
  <c r="J708" i="20"/>
  <c r="J707" i="20"/>
  <c r="J706" i="20"/>
  <c r="J705" i="20"/>
  <c r="J704" i="20"/>
  <c r="J703" i="20"/>
  <c r="J702" i="20"/>
  <c r="J701" i="20"/>
  <c r="J700" i="20"/>
  <c r="J699" i="20"/>
  <c r="J698" i="20"/>
  <c r="J697" i="20"/>
  <c r="J696" i="20"/>
  <c r="J695" i="20"/>
  <c r="J694" i="20"/>
  <c r="J693" i="20"/>
  <c r="J692" i="20"/>
  <c r="J691" i="20"/>
  <c r="J690" i="20"/>
  <c r="J689" i="20"/>
  <c r="J688" i="20"/>
  <c r="J687" i="20"/>
  <c r="J686" i="20"/>
  <c r="J685" i="20"/>
  <c r="J684" i="20"/>
  <c r="J683" i="20"/>
  <c r="J682" i="20"/>
  <c r="J681" i="20"/>
  <c r="J680" i="20"/>
  <c r="J679" i="20"/>
  <c r="J678" i="20"/>
  <c r="J677" i="20"/>
  <c r="J676" i="20"/>
  <c r="J675" i="20"/>
  <c r="J674" i="20"/>
  <c r="J673" i="20"/>
  <c r="J672" i="20"/>
  <c r="J671" i="20"/>
  <c r="J670" i="20"/>
  <c r="J669" i="20"/>
  <c r="J668" i="20"/>
  <c r="J667" i="20"/>
  <c r="J666" i="20"/>
  <c r="J665" i="20"/>
  <c r="J664" i="20"/>
  <c r="J663" i="20"/>
  <c r="J662" i="20"/>
  <c r="J661" i="20"/>
  <c r="J660" i="20"/>
  <c r="J659" i="20"/>
  <c r="J658" i="20"/>
  <c r="J657" i="20"/>
  <c r="J656" i="20"/>
  <c r="J655" i="20"/>
  <c r="J654" i="20"/>
  <c r="J653" i="20"/>
  <c r="J652" i="20"/>
  <c r="J651" i="20"/>
  <c r="J650" i="20"/>
  <c r="J649" i="20"/>
  <c r="J648" i="20"/>
  <c r="J647" i="20"/>
  <c r="J646" i="20"/>
  <c r="J645" i="20"/>
  <c r="J644" i="20"/>
  <c r="J643" i="20"/>
  <c r="J642" i="20"/>
  <c r="J641" i="20"/>
  <c r="J640" i="20"/>
  <c r="J639" i="20"/>
  <c r="J638" i="20"/>
  <c r="J637" i="20"/>
  <c r="J636" i="20"/>
  <c r="J635" i="20"/>
  <c r="J634" i="20"/>
  <c r="J633" i="20"/>
  <c r="J632" i="20"/>
  <c r="J631" i="20"/>
  <c r="J630" i="20"/>
  <c r="J629" i="20"/>
  <c r="J628" i="20"/>
  <c r="J627" i="20"/>
  <c r="J626" i="20"/>
  <c r="J625" i="20"/>
  <c r="J624" i="20"/>
  <c r="J623" i="20"/>
  <c r="J622" i="20"/>
  <c r="J621" i="20"/>
  <c r="J620" i="20"/>
  <c r="J619" i="20"/>
  <c r="J618" i="20"/>
  <c r="J617" i="20"/>
  <c r="J616" i="20"/>
  <c r="J615" i="20"/>
  <c r="J614" i="20"/>
  <c r="J613" i="20"/>
  <c r="J612" i="20"/>
  <c r="J611" i="20"/>
  <c r="J610" i="20"/>
  <c r="J609" i="20"/>
  <c r="J608" i="20"/>
  <c r="J607" i="20"/>
  <c r="J606" i="20"/>
  <c r="J605" i="20"/>
  <c r="J604" i="20"/>
  <c r="J603" i="20"/>
  <c r="J602" i="20"/>
  <c r="J601" i="20"/>
  <c r="J600" i="20"/>
  <c r="J599" i="20"/>
  <c r="J598" i="20"/>
  <c r="J597" i="20"/>
  <c r="J596" i="20"/>
  <c r="J595" i="20"/>
  <c r="J594" i="20"/>
  <c r="J593" i="20"/>
  <c r="J592" i="20"/>
  <c r="J591" i="20"/>
  <c r="J590" i="20"/>
  <c r="J589" i="20"/>
  <c r="J588" i="20"/>
  <c r="J587" i="20"/>
  <c r="J586" i="20"/>
  <c r="J585" i="20"/>
  <c r="J584" i="20"/>
  <c r="J583" i="20"/>
  <c r="J582" i="20"/>
  <c r="J581" i="20"/>
  <c r="J580" i="20"/>
  <c r="J579" i="20"/>
  <c r="J578" i="20"/>
  <c r="J577" i="20"/>
  <c r="J576" i="20"/>
  <c r="J575" i="20"/>
  <c r="J574" i="20"/>
  <c r="J573" i="20"/>
  <c r="J572" i="20"/>
  <c r="J571" i="20"/>
  <c r="J570" i="20"/>
  <c r="J569" i="20"/>
  <c r="J568" i="20"/>
  <c r="J567" i="20"/>
  <c r="J566" i="20"/>
  <c r="J565" i="20"/>
  <c r="J564" i="20"/>
  <c r="J563" i="20"/>
  <c r="J562" i="20"/>
  <c r="J561" i="20"/>
  <c r="J560" i="20"/>
  <c r="J559" i="20"/>
  <c r="J558" i="20"/>
  <c r="J557" i="20"/>
  <c r="J556" i="20"/>
  <c r="J555" i="20"/>
  <c r="J554" i="20"/>
  <c r="J553" i="20"/>
  <c r="J552" i="20"/>
  <c r="J551" i="20"/>
  <c r="J550" i="20"/>
  <c r="J549" i="20"/>
  <c r="J548" i="20"/>
  <c r="J547" i="20"/>
  <c r="J546" i="20"/>
  <c r="J545" i="20"/>
  <c r="J544" i="20"/>
  <c r="J543" i="20"/>
  <c r="J542" i="20"/>
  <c r="J541" i="20"/>
  <c r="J540" i="20"/>
  <c r="J539" i="20"/>
  <c r="J538" i="20"/>
  <c r="J537" i="20"/>
  <c r="J536" i="20"/>
  <c r="J535" i="20"/>
  <c r="J534" i="20"/>
  <c r="J533" i="20"/>
  <c r="J532" i="20"/>
  <c r="J531" i="20"/>
  <c r="J530" i="20"/>
  <c r="J529" i="20"/>
  <c r="J528" i="20"/>
  <c r="J527" i="20"/>
  <c r="J526" i="20"/>
  <c r="J525" i="20"/>
  <c r="J524" i="20"/>
  <c r="J523" i="20"/>
  <c r="J522" i="20"/>
  <c r="J521" i="20"/>
  <c r="J520" i="20"/>
  <c r="J519" i="20"/>
  <c r="J518" i="20"/>
  <c r="J517" i="20"/>
  <c r="J516" i="20"/>
  <c r="J515" i="20"/>
  <c r="J514" i="20"/>
  <c r="J513" i="20"/>
  <c r="J512" i="20"/>
  <c r="J511" i="20"/>
  <c r="J510" i="20"/>
  <c r="J509" i="20"/>
  <c r="J508" i="20"/>
  <c r="J507" i="20"/>
  <c r="J506" i="20"/>
  <c r="J505" i="20"/>
  <c r="J504" i="20"/>
  <c r="J503" i="20"/>
  <c r="J502" i="20"/>
  <c r="J501" i="20"/>
  <c r="J500" i="20"/>
  <c r="J499" i="20"/>
  <c r="J498" i="20"/>
  <c r="J497" i="20"/>
  <c r="J496" i="20"/>
  <c r="J495" i="20"/>
  <c r="J494" i="20"/>
  <c r="J493" i="20"/>
  <c r="J492" i="20"/>
  <c r="J491" i="20"/>
  <c r="J490" i="20"/>
  <c r="J489" i="20"/>
  <c r="J488" i="20"/>
  <c r="J487" i="20"/>
  <c r="J486" i="20"/>
  <c r="J485" i="20"/>
  <c r="J484" i="20"/>
  <c r="J483" i="20"/>
  <c r="J482" i="20"/>
  <c r="J481" i="20"/>
  <c r="J480" i="20"/>
  <c r="J479" i="20"/>
  <c r="J478" i="20"/>
  <c r="J477" i="20"/>
  <c r="J476" i="20"/>
  <c r="J475" i="20"/>
  <c r="J474" i="20"/>
  <c r="J473" i="20"/>
  <c r="J472" i="20"/>
  <c r="J471" i="20"/>
  <c r="J470" i="20"/>
  <c r="J469" i="20"/>
  <c r="J468" i="20"/>
  <c r="J467" i="20"/>
  <c r="J466" i="20"/>
  <c r="J465" i="20"/>
  <c r="J464" i="20"/>
  <c r="J463" i="20"/>
  <c r="J462" i="20"/>
  <c r="J461" i="20"/>
  <c r="J460" i="20"/>
  <c r="J459" i="20"/>
  <c r="J458" i="20"/>
  <c r="J457" i="20"/>
  <c r="J456" i="20"/>
  <c r="J455" i="20"/>
  <c r="J454" i="20"/>
  <c r="J453" i="20"/>
  <c r="J452" i="20"/>
  <c r="J451" i="20"/>
  <c r="J450" i="20"/>
  <c r="J449" i="20"/>
  <c r="J448" i="20"/>
  <c r="J447" i="20"/>
  <c r="J446" i="20"/>
  <c r="J445" i="20"/>
  <c r="J444" i="20"/>
  <c r="J443" i="20"/>
  <c r="J442" i="20"/>
  <c r="J441" i="20"/>
  <c r="J440" i="20"/>
  <c r="J439" i="20"/>
  <c r="J438" i="20"/>
  <c r="J437" i="20"/>
  <c r="J436" i="20"/>
  <c r="J435" i="20"/>
  <c r="J434" i="20"/>
  <c r="J433" i="20"/>
  <c r="J432" i="20"/>
  <c r="J431" i="20"/>
  <c r="J430" i="20"/>
  <c r="J429" i="20"/>
  <c r="J428" i="20"/>
  <c r="J427" i="20"/>
  <c r="J426" i="20"/>
  <c r="J425" i="20"/>
  <c r="J424" i="20"/>
  <c r="J423" i="20"/>
  <c r="J422" i="20"/>
  <c r="J421" i="20"/>
  <c r="J420" i="20"/>
  <c r="J419" i="20"/>
  <c r="J418" i="20"/>
  <c r="J417" i="20"/>
  <c r="J416" i="20"/>
  <c r="J415" i="20"/>
  <c r="J414" i="20"/>
  <c r="J413" i="20"/>
  <c r="J412" i="20"/>
  <c r="J411" i="20"/>
  <c r="J410" i="20"/>
  <c r="J409" i="20"/>
  <c r="J408" i="20"/>
  <c r="J407" i="20"/>
  <c r="J406" i="20"/>
  <c r="J405" i="20"/>
  <c r="J404" i="20"/>
  <c r="J403" i="20"/>
  <c r="J402" i="20"/>
  <c r="J401" i="20"/>
  <c r="J400" i="20"/>
  <c r="J399" i="20"/>
  <c r="J398" i="20"/>
  <c r="J397" i="20"/>
  <c r="J396" i="20"/>
  <c r="J395" i="20"/>
  <c r="J394" i="20"/>
  <c r="J393" i="20"/>
  <c r="J392" i="20"/>
  <c r="J391" i="20"/>
  <c r="J390" i="20"/>
  <c r="J389" i="20"/>
  <c r="J388" i="20"/>
  <c r="J387" i="20"/>
  <c r="J386" i="20"/>
  <c r="J385" i="20"/>
  <c r="J384" i="20"/>
  <c r="J383" i="20"/>
  <c r="J382" i="20"/>
  <c r="J381" i="20"/>
  <c r="J380" i="20"/>
  <c r="J379" i="20"/>
  <c r="J378" i="20"/>
  <c r="J377" i="20"/>
  <c r="J376" i="20"/>
  <c r="J375" i="20"/>
  <c r="J374" i="20"/>
  <c r="J373" i="20"/>
  <c r="J372" i="20"/>
  <c r="J371" i="20"/>
  <c r="J370" i="20"/>
  <c r="J369" i="20"/>
  <c r="J368" i="20"/>
  <c r="J367" i="20"/>
  <c r="J366" i="20"/>
  <c r="J365" i="20"/>
  <c r="J364" i="20"/>
  <c r="J363" i="20"/>
  <c r="J362" i="20"/>
  <c r="J361" i="20"/>
  <c r="J360" i="20"/>
  <c r="J359" i="20"/>
  <c r="J358" i="20"/>
  <c r="J357" i="20"/>
  <c r="J356" i="20"/>
  <c r="J355" i="20"/>
  <c r="J354" i="20"/>
  <c r="J353" i="20"/>
  <c r="J352" i="20"/>
  <c r="J351" i="20"/>
  <c r="J350" i="20"/>
  <c r="J349" i="20"/>
  <c r="J348" i="20"/>
  <c r="J347" i="20"/>
  <c r="J346" i="20"/>
  <c r="J345" i="20"/>
  <c r="J344" i="20"/>
  <c r="J343" i="20"/>
  <c r="J342" i="20"/>
  <c r="J341" i="20"/>
  <c r="J340" i="20"/>
  <c r="J339" i="20"/>
  <c r="J338" i="20"/>
  <c r="J337" i="20"/>
  <c r="J336" i="20"/>
  <c r="J335" i="20"/>
  <c r="J334" i="20"/>
  <c r="J333" i="20"/>
  <c r="J332" i="20"/>
  <c r="J331" i="20"/>
  <c r="J330" i="20"/>
  <c r="J329" i="20"/>
  <c r="J328" i="20"/>
  <c r="J327" i="20"/>
  <c r="J326" i="20"/>
  <c r="J325" i="20"/>
  <c r="J324" i="20"/>
  <c r="J323" i="20"/>
  <c r="J322" i="20"/>
  <c r="J321" i="20"/>
  <c r="J320" i="20"/>
  <c r="J319" i="20"/>
  <c r="J318" i="20"/>
  <c r="J317" i="20"/>
  <c r="J316" i="20"/>
  <c r="J315" i="20"/>
  <c r="J314" i="20"/>
  <c r="J313" i="20"/>
  <c r="J312" i="20"/>
  <c r="J311" i="20"/>
  <c r="J310" i="20"/>
  <c r="J309" i="20"/>
  <c r="J308" i="20"/>
  <c r="J307" i="20"/>
  <c r="J306" i="20"/>
  <c r="J305" i="20"/>
  <c r="J304" i="20"/>
  <c r="J303" i="20"/>
  <c r="J302" i="20"/>
  <c r="J301" i="20"/>
  <c r="J300" i="20"/>
  <c r="J299" i="20"/>
  <c r="J298" i="20"/>
  <c r="J297" i="20"/>
  <c r="J296" i="20"/>
  <c r="J295" i="20"/>
  <c r="J294" i="20"/>
  <c r="J293" i="20"/>
  <c r="J292" i="20"/>
  <c r="J291" i="20"/>
  <c r="J290" i="20"/>
  <c r="J289" i="20"/>
  <c r="J288" i="20"/>
  <c r="J287" i="20"/>
  <c r="J286" i="20"/>
  <c r="J285" i="20"/>
  <c r="J284" i="20"/>
  <c r="J283" i="20"/>
  <c r="J282" i="20"/>
  <c r="J281" i="20"/>
  <c r="J280" i="20"/>
  <c r="J279" i="20"/>
  <c r="J278" i="20"/>
  <c r="J277" i="20"/>
  <c r="J276" i="20"/>
  <c r="J275" i="20"/>
  <c r="J274" i="20"/>
  <c r="J273" i="20"/>
  <c r="J272" i="20"/>
  <c r="J271" i="20"/>
  <c r="J270" i="20"/>
  <c r="J269" i="20"/>
  <c r="J268" i="20"/>
  <c r="J267" i="20"/>
  <c r="J266" i="20"/>
  <c r="J265" i="20"/>
  <c r="J264" i="20"/>
  <c r="J263" i="20"/>
  <c r="J262" i="20"/>
  <c r="J261" i="20"/>
  <c r="J260" i="20"/>
  <c r="J259" i="20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G36" i="20"/>
  <c r="G41" i="20" s="1"/>
  <c r="G45" i="20" s="1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E14" i="20"/>
  <c r="J13" i="20"/>
  <c r="J12" i="20"/>
  <c r="E12" i="20"/>
  <c r="G9" i="20"/>
  <c r="D6" i="20"/>
  <c r="D5" i="20"/>
  <c r="D4" i="20"/>
  <c r="D3" i="20"/>
  <c r="B1" i="20"/>
  <c r="K9" i="19"/>
  <c r="E17" i="19"/>
  <c r="E25" i="19"/>
  <c r="E15" i="19"/>
  <c r="E23" i="19" s="1"/>
  <c r="E13" i="19"/>
  <c r="E11" i="19"/>
  <c r="C2" i="19"/>
  <c r="F9" i="18"/>
  <c r="C2" i="18"/>
  <c r="H1" i="5"/>
  <c r="G1" i="5" s="1"/>
  <c r="F15" i="18" l="1"/>
  <c r="E18" i="18" s="1"/>
  <c r="E27" i="19"/>
  <c r="K11" i="19"/>
  <c r="K13" i="19" s="1"/>
  <c r="E19" i="19"/>
  <c r="C17" i="18"/>
  <c r="J12" i="3"/>
  <c r="D5" i="3" l="1"/>
  <c r="D4" i="3"/>
  <c r="G10" i="3" l="1"/>
  <c r="G10" i="20"/>
  <c r="H2" i="5"/>
  <c r="I1" i="1"/>
  <c r="K1" i="1" s="1"/>
  <c r="J6928" i="3"/>
  <c r="J6927" i="3"/>
  <c r="J6926" i="3"/>
  <c r="J6925" i="3"/>
  <c r="J6924" i="3"/>
  <c r="J6923" i="3"/>
  <c r="J6922" i="3"/>
  <c r="J6921" i="3"/>
  <c r="J6920" i="3"/>
  <c r="J6919" i="3"/>
  <c r="J6918" i="3"/>
  <c r="J6917" i="3"/>
  <c r="J6916" i="3"/>
  <c r="J6915" i="3"/>
  <c r="J6914" i="3"/>
  <c r="J6913" i="3"/>
  <c r="J6912" i="3"/>
  <c r="J6911" i="3"/>
  <c r="J6910" i="3"/>
  <c r="J6909" i="3"/>
  <c r="J6908" i="3"/>
  <c r="J6907" i="3"/>
  <c r="J6906" i="3"/>
  <c r="J6905" i="3"/>
  <c r="J6904" i="3"/>
  <c r="J6903" i="3"/>
  <c r="J6902" i="3"/>
  <c r="J6901" i="3"/>
  <c r="J6900" i="3"/>
  <c r="J6899" i="3"/>
  <c r="J6898" i="3"/>
  <c r="J6897" i="3"/>
  <c r="J6896" i="3"/>
  <c r="J6895" i="3"/>
  <c r="J6894" i="3"/>
  <c r="J6893" i="3"/>
  <c r="J6892" i="3"/>
  <c r="J6891" i="3"/>
  <c r="J6890" i="3"/>
  <c r="J6889" i="3"/>
  <c r="J6888" i="3"/>
  <c r="J6887" i="3"/>
  <c r="J6886" i="3"/>
  <c r="J6885" i="3"/>
  <c r="J6884" i="3"/>
  <c r="J6883" i="3"/>
  <c r="J6882" i="3"/>
  <c r="J6881" i="3"/>
  <c r="J6880" i="3"/>
  <c r="J6879" i="3"/>
  <c r="J6878" i="3"/>
  <c r="J6877" i="3"/>
  <c r="J6876" i="3"/>
  <c r="J6875" i="3"/>
  <c r="J6874" i="3"/>
  <c r="J6873" i="3"/>
  <c r="J6872" i="3"/>
  <c r="J6871" i="3"/>
  <c r="J6870" i="3"/>
  <c r="J6869" i="3"/>
  <c r="J6868" i="3"/>
  <c r="J6867" i="3"/>
  <c r="J6866" i="3"/>
  <c r="J6865" i="3"/>
  <c r="J6864" i="3"/>
  <c r="J6863" i="3"/>
  <c r="J6862" i="3"/>
  <c r="J6861" i="3"/>
  <c r="J6860" i="3"/>
  <c r="J6859" i="3"/>
  <c r="J6858" i="3"/>
  <c r="J6857" i="3"/>
  <c r="J6856" i="3"/>
  <c r="J6855" i="3"/>
  <c r="J6854" i="3"/>
  <c r="J6853" i="3"/>
  <c r="J6852" i="3"/>
  <c r="J6851" i="3"/>
  <c r="J6850" i="3"/>
  <c r="J6849" i="3"/>
  <c r="J6848" i="3"/>
  <c r="J6847" i="3"/>
  <c r="J6846" i="3"/>
  <c r="J6845" i="3"/>
  <c r="J6844" i="3"/>
  <c r="J6843" i="3"/>
  <c r="J6842" i="3"/>
  <c r="J6841" i="3"/>
  <c r="J6840" i="3"/>
  <c r="J6839" i="3"/>
  <c r="J6838" i="3"/>
  <c r="J6837" i="3"/>
  <c r="J6836" i="3"/>
  <c r="J6835" i="3"/>
  <c r="J6834" i="3"/>
  <c r="J6833" i="3"/>
  <c r="J6832" i="3"/>
  <c r="J6831" i="3"/>
  <c r="J6830" i="3"/>
  <c r="J6829" i="3"/>
  <c r="J6828" i="3"/>
  <c r="J6827" i="3"/>
  <c r="J6826" i="3"/>
  <c r="J6825" i="3"/>
  <c r="J6824" i="3"/>
  <c r="J6823" i="3"/>
  <c r="J6822" i="3"/>
  <c r="J6821" i="3"/>
  <c r="J6820" i="3"/>
  <c r="J6819" i="3"/>
  <c r="J6818" i="3"/>
  <c r="J6817" i="3"/>
  <c r="J6816" i="3"/>
  <c r="J6815" i="3"/>
  <c r="J6814" i="3"/>
  <c r="J6813" i="3"/>
  <c r="J6812" i="3"/>
  <c r="J6811" i="3"/>
  <c r="J6810" i="3"/>
  <c r="J6809" i="3"/>
  <c r="J6808" i="3"/>
  <c r="J6807" i="3"/>
  <c r="J6806" i="3"/>
  <c r="J6805" i="3"/>
  <c r="J6804" i="3"/>
  <c r="J6803" i="3"/>
  <c r="J6802" i="3"/>
  <c r="J6801" i="3"/>
  <c r="J6800" i="3"/>
  <c r="J6799" i="3"/>
  <c r="J6798" i="3"/>
  <c r="J6797" i="3"/>
  <c r="J6796" i="3"/>
  <c r="J6795" i="3"/>
  <c r="J6794" i="3"/>
  <c r="J6793" i="3"/>
  <c r="J6792" i="3"/>
  <c r="J6791" i="3"/>
  <c r="J6790" i="3"/>
  <c r="J6789" i="3"/>
  <c r="J6788" i="3"/>
  <c r="J6787" i="3"/>
  <c r="J6786" i="3"/>
  <c r="J6785" i="3"/>
  <c r="J6784" i="3"/>
  <c r="J6783" i="3"/>
  <c r="J6782" i="3"/>
  <c r="J6781" i="3"/>
  <c r="J6780" i="3"/>
  <c r="J6779" i="3"/>
  <c r="J6778" i="3"/>
  <c r="J6777" i="3"/>
  <c r="J6776" i="3"/>
  <c r="J6775" i="3"/>
  <c r="J6774" i="3"/>
  <c r="J6773" i="3"/>
  <c r="J6772" i="3"/>
  <c r="J6771" i="3"/>
  <c r="J6770" i="3"/>
  <c r="J6769" i="3"/>
  <c r="J6768" i="3"/>
  <c r="J6767" i="3"/>
  <c r="J6766" i="3"/>
  <c r="J6765" i="3"/>
  <c r="J6764" i="3"/>
  <c r="J6763" i="3"/>
  <c r="J6762" i="3"/>
  <c r="J6761" i="3"/>
  <c r="J6760" i="3"/>
  <c r="J6759" i="3"/>
  <c r="J6758" i="3"/>
  <c r="J6757" i="3"/>
  <c r="J6756" i="3"/>
  <c r="J6755" i="3"/>
  <c r="J6754" i="3"/>
  <c r="J6753" i="3"/>
  <c r="J6752" i="3"/>
  <c r="J6751" i="3"/>
  <c r="J6750" i="3"/>
  <c r="J6749" i="3"/>
  <c r="J6748" i="3"/>
  <c r="J6747" i="3"/>
  <c r="J6746" i="3"/>
  <c r="J6745" i="3"/>
  <c r="J6744" i="3"/>
  <c r="J6743" i="3"/>
  <c r="J6742" i="3"/>
  <c r="J6741" i="3"/>
  <c r="J6740" i="3"/>
  <c r="J6739" i="3"/>
  <c r="J6738" i="3"/>
  <c r="J6737" i="3"/>
  <c r="J6736" i="3"/>
  <c r="J6735" i="3"/>
  <c r="J6734" i="3"/>
  <c r="J6733" i="3"/>
  <c r="J6732" i="3"/>
  <c r="J6731" i="3"/>
  <c r="J6730" i="3"/>
  <c r="J6729" i="3"/>
  <c r="J6728" i="3"/>
  <c r="J6727" i="3"/>
  <c r="J6726" i="3"/>
  <c r="J6725" i="3"/>
  <c r="J6724" i="3"/>
  <c r="J6723" i="3"/>
  <c r="J6722" i="3"/>
  <c r="J6721" i="3"/>
  <c r="J6720" i="3"/>
  <c r="J6719" i="3"/>
  <c r="J6718" i="3"/>
  <c r="J6717" i="3"/>
  <c r="J6716" i="3"/>
  <c r="J6715" i="3"/>
  <c r="J6714" i="3"/>
  <c r="J6713" i="3"/>
  <c r="J6712" i="3"/>
  <c r="J6711" i="3"/>
  <c r="J6710" i="3"/>
  <c r="J6709" i="3"/>
  <c r="J6708" i="3"/>
  <c r="J6707" i="3"/>
  <c r="J6706" i="3"/>
  <c r="J6705" i="3"/>
  <c r="J6704" i="3"/>
  <c r="J6703" i="3"/>
  <c r="J6702" i="3"/>
  <c r="J6701" i="3"/>
  <c r="J6700" i="3"/>
  <c r="J6699" i="3"/>
  <c r="J6698" i="3"/>
  <c r="J6697" i="3"/>
  <c r="J6696" i="3"/>
  <c r="J6695" i="3"/>
  <c r="J6694" i="3"/>
  <c r="J6693" i="3"/>
  <c r="J6692" i="3"/>
  <c r="J6691" i="3"/>
  <c r="J6690" i="3"/>
  <c r="J6689" i="3"/>
  <c r="J6688" i="3"/>
  <c r="J6687" i="3"/>
  <c r="J6686" i="3"/>
  <c r="J6685" i="3"/>
  <c r="J6684" i="3"/>
  <c r="J6683" i="3"/>
  <c r="J6682" i="3"/>
  <c r="J6681" i="3"/>
  <c r="J6680" i="3"/>
  <c r="J6679" i="3"/>
  <c r="J6678" i="3"/>
  <c r="J6677" i="3"/>
  <c r="J6676" i="3"/>
  <c r="J6675" i="3"/>
  <c r="J6674" i="3"/>
  <c r="J6673" i="3"/>
  <c r="J6672" i="3"/>
  <c r="J6671" i="3"/>
  <c r="J6670" i="3"/>
  <c r="J6669" i="3"/>
  <c r="J6668" i="3"/>
  <c r="J6667" i="3"/>
  <c r="J6666" i="3"/>
  <c r="J6665" i="3"/>
  <c r="J6664" i="3"/>
  <c r="J6663" i="3"/>
  <c r="J6662" i="3"/>
  <c r="J6661" i="3"/>
  <c r="J6660" i="3"/>
  <c r="J6659" i="3"/>
  <c r="J6658" i="3"/>
  <c r="J6657" i="3"/>
  <c r="J6656" i="3"/>
  <c r="J6655" i="3"/>
  <c r="J6654" i="3"/>
  <c r="J6653" i="3"/>
  <c r="J6652" i="3"/>
  <c r="J6651" i="3"/>
  <c r="J6650" i="3"/>
  <c r="J6649" i="3"/>
  <c r="J6648" i="3"/>
  <c r="J6647" i="3"/>
  <c r="J6646" i="3"/>
  <c r="J6645" i="3"/>
  <c r="J6644" i="3"/>
  <c r="J6643" i="3"/>
  <c r="J6642" i="3"/>
  <c r="J6641" i="3"/>
  <c r="J6640" i="3"/>
  <c r="J6639" i="3"/>
  <c r="J6638" i="3"/>
  <c r="J6637" i="3"/>
  <c r="J6636" i="3"/>
  <c r="J6635" i="3"/>
  <c r="J6634" i="3"/>
  <c r="J6633" i="3"/>
  <c r="J6632" i="3"/>
  <c r="J6631" i="3"/>
  <c r="J6630" i="3"/>
  <c r="J6629" i="3"/>
  <c r="J6628" i="3"/>
  <c r="J6627" i="3"/>
  <c r="J6626" i="3"/>
  <c r="J6625" i="3"/>
  <c r="J6624" i="3"/>
  <c r="J6623" i="3"/>
  <c r="J6622" i="3"/>
  <c r="J6621" i="3"/>
  <c r="J6620" i="3"/>
  <c r="J6619" i="3"/>
  <c r="J6618" i="3"/>
  <c r="J6617" i="3"/>
  <c r="J6616" i="3"/>
  <c r="J6615" i="3"/>
  <c r="J6614" i="3"/>
  <c r="J6613" i="3"/>
  <c r="J6612" i="3"/>
  <c r="J6611" i="3"/>
  <c r="J6610" i="3"/>
  <c r="J6609" i="3"/>
  <c r="J6608" i="3"/>
  <c r="J6607" i="3"/>
  <c r="J6606" i="3"/>
  <c r="J6605" i="3"/>
  <c r="J6604" i="3"/>
  <c r="J6603" i="3"/>
  <c r="J6602" i="3"/>
  <c r="J6601" i="3"/>
  <c r="J6600" i="3"/>
  <c r="J6599" i="3"/>
  <c r="J6598" i="3"/>
  <c r="J6597" i="3"/>
  <c r="J6596" i="3"/>
  <c r="J6595" i="3"/>
  <c r="J6594" i="3"/>
  <c r="J6593" i="3"/>
  <c r="J6592" i="3"/>
  <c r="J6591" i="3"/>
  <c r="J6590" i="3"/>
  <c r="J6589" i="3"/>
  <c r="J6588" i="3"/>
  <c r="J6587" i="3"/>
  <c r="J6586" i="3"/>
  <c r="J6585" i="3"/>
  <c r="J6584" i="3"/>
  <c r="J6583" i="3"/>
  <c r="J6582" i="3"/>
  <c r="J6581" i="3"/>
  <c r="J6580" i="3"/>
  <c r="J6579" i="3"/>
  <c r="J6578" i="3"/>
  <c r="J6577" i="3"/>
  <c r="J6576" i="3"/>
  <c r="J6575" i="3"/>
  <c r="J6574" i="3"/>
  <c r="J6573" i="3"/>
  <c r="J6572" i="3"/>
  <c r="J6571" i="3"/>
  <c r="J6570" i="3"/>
  <c r="J6569" i="3"/>
  <c r="J6568" i="3"/>
  <c r="J6567" i="3"/>
  <c r="J6566" i="3"/>
  <c r="J6565" i="3"/>
  <c r="J6564" i="3"/>
  <c r="J6563" i="3"/>
  <c r="J6562" i="3"/>
  <c r="J6561" i="3"/>
  <c r="J6560" i="3"/>
  <c r="J6559" i="3"/>
  <c r="J6558" i="3"/>
  <c r="J6557" i="3"/>
  <c r="J6556" i="3"/>
  <c r="J6555" i="3"/>
  <c r="J6554" i="3"/>
  <c r="J6553" i="3"/>
  <c r="J6552" i="3"/>
  <c r="J6551" i="3"/>
  <c r="J6550" i="3"/>
  <c r="J6549" i="3"/>
  <c r="J6548" i="3"/>
  <c r="J6547" i="3"/>
  <c r="J6546" i="3"/>
  <c r="J6545" i="3"/>
  <c r="J6544" i="3"/>
  <c r="J6543" i="3"/>
  <c r="J6542" i="3"/>
  <c r="J6541" i="3"/>
  <c r="J6540" i="3"/>
  <c r="J6539" i="3"/>
  <c r="J6538" i="3"/>
  <c r="J6537" i="3"/>
  <c r="J6536" i="3"/>
  <c r="J6535" i="3"/>
  <c r="J6534" i="3"/>
  <c r="J6533" i="3"/>
  <c r="J6532" i="3"/>
  <c r="J6531" i="3"/>
  <c r="J6530" i="3"/>
  <c r="J6529" i="3"/>
  <c r="J6528" i="3"/>
  <c r="J6527" i="3"/>
  <c r="J6526" i="3"/>
  <c r="J6525" i="3"/>
  <c r="J6524" i="3"/>
  <c r="J6523" i="3"/>
  <c r="J6522" i="3"/>
  <c r="J6521" i="3"/>
  <c r="J6520" i="3"/>
  <c r="J6519" i="3"/>
  <c r="J6518" i="3"/>
  <c r="J6517" i="3"/>
  <c r="J6516" i="3"/>
  <c r="J6515" i="3"/>
  <c r="J6514" i="3"/>
  <c r="J6513" i="3"/>
  <c r="J6512" i="3"/>
  <c r="J6511" i="3"/>
  <c r="J6510" i="3"/>
  <c r="J6509" i="3"/>
  <c r="J6508" i="3"/>
  <c r="J6507" i="3"/>
  <c r="J6506" i="3"/>
  <c r="J6505" i="3"/>
  <c r="J6504" i="3"/>
  <c r="J6503" i="3"/>
  <c r="J6502" i="3"/>
  <c r="J6501" i="3"/>
  <c r="J6500" i="3"/>
  <c r="J6499" i="3"/>
  <c r="J6498" i="3"/>
  <c r="J6497" i="3"/>
  <c r="J6496" i="3"/>
  <c r="J6495" i="3"/>
  <c r="J6494" i="3"/>
  <c r="J6493" i="3"/>
  <c r="J6492" i="3"/>
  <c r="J6491" i="3"/>
  <c r="J6490" i="3"/>
  <c r="J6489" i="3"/>
  <c r="J6488" i="3"/>
  <c r="J6487" i="3"/>
  <c r="J6486" i="3"/>
  <c r="J6485" i="3"/>
  <c r="J6484" i="3"/>
  <c r="J6483" i="3"/>
  <c r="J6482" i="3"/>
  <c r="J6481" i="3"/>
  <c r="J6480" i="3"/>
  <c r="J6479" i="3"/>
  <c r="J6478" i="3"/>
  <c r="J6477" i="3"/>
  <c r="J6476" i="3"/>
  <c r="J6475" i="3"/>
  <c r="J6474" i="3"/>
  <c r="J6473" i="3"/>
  <c r="J6472" i="3"/>
  <c r="J6471" i="3"/>
  <c r="J6470" i="3"/>
  <c r="J6469" i="3"/>
  <c r="J6468" i="3"/>
  <c r="J6467" i="3"/>
  <c r="J6466" i="3"/>
  <c r="J6465" i="3"/>
  <c r="J6464" i="3"/>
  <c r="J6463" i="3"/>
  <c r="J6462" i="3"/>
  <c r="J6461" i="3"/>
  <c r="J6460" i="3"/>
  <c r="J6459" i="3"/>
  <c r="J6458" i="3"/>
  <c r="J6457" i="3"/>
  <c r="J6456" i="3"/>
  <c r="J6455" i="3"/>
  <c r="J6454" i="3"/>
  <c r="J6453" i="3"/>
  <c r="J6452" i="3"/>
  <c r="J6451" i="3"/>
  <c r="J6450" i="3"/>
  <c r="J6449" i="3"/>
  <c r="J6448" i="3"/>
  <c r="J6447" i="3"/>
  <c r="J6446" i="3"/>
  <c r="J6445" i="3"/>
  <c r="J6444" i="3"/>
  <c r="J6443" i="3"/>
  <c r="J6442" i="3"/>
  <c r="J6441" i="3"/>
  <c r="J6440" i="3"/>
  <c r="J6439" i="3"/>
  <c r="J6438" i="3"/>
  <c r="J6437" i="3"/>
  <c r="J6436" i="3"/>
  <c r="J6435" i="3"/>
  <c r="J6434" i="3"/>
  <c r="J6433" i="3"/>
  <c r="J6432" i="3"/>
  <c r="J6431" i="3"/>
  <c r="J6430" i="3"/>
  <c r="J6429" i="3"/>
  <c r="J6428" i="3"/>
  <c r="J6427" i="3"/>
  <c r="J6426" i="3"/>
  <c r="J6425" i="3"/>
  <c r="J6424" i="3"/>
  <c r="J6423" i="3"/>
  <c r="J6422" i="3"/>
  <c r="J6421" i="3"/>
  <c r="J6420" i="3"/>
  <c r="J6419" i="3"/>
  <c r="J6418" i="3"/>
  <c r="J6417" i="3"/>
  <c r="J6416" i="3"/>
  <c r="J6415" i="3"/>
  <c r="J6414" i="3"/>
  <c r="J6413" i="3"/>
  <c r="J6412" i="3"/>
  <c r="J6411" i="3"/>
  <c r="J6410" i="3"/>
  <c r="J6409" i="3"/>
  <c r="J6408" i="3"/>
  <c r="J6407" i="3"/>
  <c r="J6406" i="3"/>
  <c r="J6405" i="3"/>
  <c r="J6404" i="3"/>
  <c r="J6403" i="3"/>
  <c r="J6402" i="3"/>
  <c r="J6401" i="3"/>
  <c r="J6400" i="3"/>
  <c r="J6399" i="3"/>
  <c r="J6398" i="3"/>
  <c r="J6397" i="3"/>
  <c r="J6396" i="3"/>
  <c r="J6395" i="3"/>
  <c r="J6394" i="3"/>
  <c r="J6393" i="3"/>
  <c r="J6392" i="3"/>
  <c r="J6391" i="3"/>
  <c r="J6390" i="3"/>
  <c r="J6389" i="3"/>
  <c r="J6388" i="3"/>
  <c r="J6387" i="3"/>
  <c r="J6386" i="3"/>
  <c r="J6385" i="3"/>
  <c r="J6384" i="3"/>
  <c r="J6383" i="3"/>
  <c r="J6382" i="3"/>
  <c r="J6381" i="3"/>
  <c r="J6380" i="3"/>
  <c r="J6379" i="3"/>
  <c r="J6378" i="3"/>
  <c r="J6377" i="3"/>
  <c r="J6376" i="3"/>
  <c r="J6375" i="3"/>
  <c r="J6374" i="3"/>
  <c r="J6373" i="3"/>
  <c r="J6372" i="3"/>
  <c r="J6371" i="3"/>
  <c r="J6370" i="3"/>
  <c r="J6369" i="3"/>
  <c r="J6368" i="3"/>
  <c r="J6367" i="3"/>
  <c r="J6366" i="3"/>
  <c r="J6365" i="3"/>
  <c r="J6364" i="3"/>
  <c r="J6363" i="3"/>
  <c r="J6362" i="3"/>
  <c r="J6361" i="3"/>
  <c r="J6360" i="3"/>
  <c r="J6359" i="3"/>
  <c r="J6358" i="3"/>
  <c r="J6357" i="3"/>
  <c r="J6356" i="3"/>
  <c r="J6355" i="3"/>
  <c r="J6354" i="3"/>
  <c r="J6353" i="3"/>
  <c r="J6352" i="3"/>
  <c r="J6351" i="3"/>
  <c r="J6350" i="3"/>
  <c r="J6349" i="3"/>
  <c r="J6348" i="3"/>
  <c r="J6347" i="3"/>
  <c r="J6346" i="3"/>
  <c r="J6345" i="3"/>
  <c r="J6344" i="3"/>
  <c r="J6343" i="3"/>
  <c r="J6342" i="3"/>
  <c r="J6341" i="3"/>
  <c r="J6340" i="3"/>
  <c r="J6339" i="3"/>
  <c r="J6338" i="3"/>
  <c r="J6337" i="3"/>
  <c r="J6336" i="3"/>
  <c r="J6335" i="3"/>
  <c r="J6334" i="3"/>
  <c r="J6333" i="3"/>
  <c r="J6332" i="3"/>
  <c r="J6331" i="3"/>
  <c r="J6330" i="3"/>
  <c r="J6329" i="3"/>
  <c r="J6328" i="3"/>
  <c r="J6327" i="3"/>
  <c r="J6326" i="3"/>
  <c r="J6325" i="3"/>
  <c r="J6324" i="3"/>
  <c r="J6323" i="3"/>
  <c r="J6322" i="3"/>
  <c r="J6321" i="3"/>
  <c r="J6320" i="3"/>
  <c r="J6319" i="3"/>
  <c r="J6318" i="3"/>
  <c r="J6317" i="3"/>
  <c r="J6316" i="3"/>
  <c r="J6315" i="3"/>
  <c r="J6314" i="3"/>
  <c r="J6313" i="3"/>
  <c r="J6312" i="3"/>
  <c r="J6311" i="3"/>
  <c r="J6310" i="3"/>
  <c r="J6309" i="3"/>
  <c r="J6308" i="3"/>
  <c r="J6307" i="3"/>
  <c r="J6306" i="3"/>
  <c r="J6305" i="3"/>
  <c r="J6304" i="3"/>
  <c r="J6303" i="3"/>
  <c r="J6302" i="3"/>
  <c r="J6301" i="3"/>
  <c r="J6300" i="3"/>
  <c r="J6299" i="3"/>
  <c r="J6298" i="3"/>
  <c r="J6297" i="3"/>
  <c r="J6296" i="3"/>
  <c r="J6295" i="3"/>
  <c r="J6294" i="3"/>
  <c r="J6293" i="3"/>
  <c r="J6292" i="3"/>
  <c r="J6291" i="3"/>
  <c r="J6290" i="3"/>
  <c r="J6289" i="3"/>
  <c r="J6288" i="3"/>
  <c r="J6287" i="3"/>
  <c r="J6286" i="3"/>
  <c r="J6285" i="3"/>
  <c r="J6284" i="3"/>
  <c r="J6283" i="3"/>
  <c r="J6282" i="3"/>
  <c r="J6281" i="3"/>
  <c r="J6280" i="3"/>
  <c r="J6279" i="3"/>
  <c r="J6278" i="3"/>
  <c r="J6277" i="3"/>
  <c r="J6276" i="3"/>
  <c r="J6275" i="3"/>
  <c r="J6274" i="3"/>
  <c r="J6273" i="3"/>
  <c r="J6272" i="3"/>
  <c r="J6271" i="3"/>
  <c r="J6270" i="3"/>
  <c r="J6269" i="3"/>
  <c r="J6268" i="3"/>
  <c r="J6267" i="3"/>
  <c r="J6266" i="3"/>
  <c r="J6265" i="3"/>
  <c r="J6264" i="3"/>
  <c r="J6263" i="3"/>
  <c r="J6262" i="3"/>
  <c r="J6261" i="3"/>
  <c r="J6260" i="3"/>
  <c r="J6259" i="3"/>
  <c r="J6258" i="3"/>
  <c r="J6257" i="3"/>
  <c r="J6256" i="3"/>
  <c r="J6255" i="3"/>
  <c r="J6254" i="3"/>
  <c r="J6253" i="3"/>
  <c r="J6252" i="3"/>
  <c r="J6251" i="3"/>
  <c r="J6250" i="3"/>
  <c r="J6249" i="3"/>
  <c r="J6248" i="3"/>
  <c r="J6247" i="3"/>
  <c r="J6246" i="3"/>
  <c r="J6245" i="3"/>
  <c r="J6244" i="3"/>
  <c r="J6243" i="3"/>
  <c r="J6242" i="3"/>
  <c r="J6241" i="3"/>
  <c r="J6240" i="3"/>
  <c r="J6239" i="3"/>
  <c r="J6238" i="3"/>
  <c r="J6237" i="3"/>
  <c r="J6236" i="3"/>
  <c r="J6235" i="3"/>
  <c r="J6234" i="3"/>
  <c r="J6233" i="3"/>
  <c r="J6232" i="3"/>
  <c r="J6231" i="3"/>
  <c r="J6230" i="3"/>
  <c r="J6229" i="3"/>
  <c r="J6228" i="3"/>
  <c r="J6227" i="3"/>
  <c r="J6226" i="3"/>
  <c r="J6225" i="3"/>
  <c r="J6224" i="3"/>
  <c r="J6223" i="3"/>
  <c r="J6222" i="3"/>
  <c r="J6221" i="3"/>
  <c r="J6220" i="3"/>
  <c r="J6219" i="3"/>
  <c r="J6218" i="3"/>
  <c r="J6217" i="3"/>
  <c r="J6216" i="3"/>
  <c r="J6215" i="3"/>
  <c r="J6214" i="3"/>
  <c r="J6213" i="3"/>
  <c r="J6212" i="3"/>
  <c r="J6211" i="3"/>
  <c r="J6210" i="3"/>
  <c r="J6209" i="3"/>
  <c r="J6208" i="3"/>
  <c r="J6207" i="3"/>
  <c r="J6206" i="3"/>
  <c r="J6205" i="3"/>
  <c r="J6204" i="3"/>
  <c r="J6203" i="3"/>
  <c r="J6202" i="3"/>
  <c r="J6201" i="3"/>
  <c r="J6200" i="3"/>
  <c r="J6199" i="3"/>
  <c r="J6198" i="3"/>
  <c r="J6197" i="3"/>
  <c r="J6196" i="3"/>
  <c r="J6195" i="3"/>
  <c r="J6194" i="3"/>
  <c r="J6193" i="3"/>
  <c r="J6192" i="3"/>
  <c r="J6191" i="3"/>
  <c r="J6190" i="3"/>
  <c r="J6189" i="3"/>
  <c r="J6188" i="3"/>
  <c r="J6187" i="3"/>
  <c r="J6186" i="3"/>
  <c r="J6185" i="3"/>
  <c r="J6184" i="3"/>
  <c r="J6183" i="3"/>
  <c r="J6182" i="3"/>
  <c r="J6181" i="3"/>
  <c r="J6180" i="3"/>
  <c r="J6179" i="3"/>
  <c r="J6178" i="3"/>
  <c r="J6177" i="3"/>
  <c r="J6176" i="3"/>
  <c r="J6175" i="3"/>
  <c r="J6174" i="3"/>
  <c r="J6173" i="3"/>
  <c r="J6172" i="3"/>
  <c r="J6171" i="3"/>
  <c r="J6170" i="3"/>
  <c r="J6169" i="3"/>
  <c r="J6168" i="3"/>
  <c r="J6167" i="3"/>
  <c r="J6166" i="3"/>
  <c r="J6165" i="3"/>
  <c r="J6164" i="3"/>
  <c r="J6163" i="3"/>
  <c r="J6162" i="3"/>
  <c r="J6161" i="3"/>
  <c r="J6160" i="3"/>
  <c r="J6159" i="3"/>
  <c r="J6158" i="3"/>
  <c r="J6157" i="3"/>
  <c r="J6156" i="3"/>
  <c r="J6155" i="3"/>
  <c r="J6154" i="3"/>
  <c r="J6153" i="3"/>
  <c r="J6152" i="3"/>
  <c r="J6151" i="3"/>
  <c r="J6150" i="3"/>
  <c r="J6149" i="3"/>
  <c r="J6148" i="3"/>
  <c r="J6147" i="3"/>
  <c r="J6146" i="3"/>
  <c r="J6145" i="3"/>
  <c r="J6144" i="3"/>
  <c r="J6143" i="3"/>
  <c r="J6142" i="3"/>
  <c r="J6141" i="3"/>
  <c r="J6140" i="3"/>
  <c r="J6139" i="3"/>
  <c r="J6138" i="3"/>
  <c r="J6137" i="3"/>
  <c r="J6136" i="3"/>
  <c r="J6135" i="3"/>
  <c r="J6134" i="3"/>
  <c r="J6133" i="3"/>
  <c r="J6132" i="3"/>
  <c r="J6131" i="3"/>
  <c r="J6130" i="3"/>
  <c r="J6129" i="3"/>
  <c r="J6128" i="3"/>
  <c r="J6127" i="3"/>
  <c r="J6126" i="3"/>
  <c r="J6125" i="3"/>
  <c r="J6124" i="3"/>
  <c r="J6123" i="3"/>
  <c r="J6122" i="3"/>
  <c r="J6121" i="3"/>
  <c r="J6120" i="3"/>
  <c r="J6119" i="3"/>
  <c r="J6118" i="3"/>
  <c r="J6117" i="3"/>
  <c r="J6116" i="3"/>
  <c r="J6115" i="3"/>
  <c r="J6114" i="3"/>
  <c r="J6113" i="3"/>
  <c r="J6112" i="3"/>
  <c r="J6111" i="3"/>
  <c r="J6110" i="3"/>
  <c r="J6109" i="3"/>
  <c r="J6108" i="3"/>
  <c r="J6107" i="3"/>
  <c r="J6106" i="3"/>
  <c r="J6105" i="3"/>
  <c r="J6104" i="3"/>
  <c r="J6103" i="3"/>
  <c r="J6102" i="3"/>
  <c r="J6101" i="3"/>
  <c r="J6100" i="3"/>
  <c r="J6099" i="3"/>
  <c r="J6098" i="3"/>
  <c r="J6097" i="3"/>
  <c r="J6096" i="3"/>
  <c r="J6095" i="3"/>
  <c r="J6094" i="3"/>
  <c r="J6093" i="3"/>
  <c r="J6092" i="3"/>
  <c r="J6091" i="3"/>
  <c r="J6090" i="3"/>
  <c r="J6089" i="3"/>
  <c r="J6088" i="3"/>
  <c r="J6087" i="3"/>
  <c r="J6086" i="3"/>
  <c r="J6085" i="3"/>
  <c r="J6084" i="3"/>
  <c r="J6083" i="3"/>
  <c r="J6082" i="3"/>
  <c r="J6081" i="3"/>
  <c r="J6080" i="3"/>
  <c r="J6079" i="3"/>
  <c r="J6078" i="3"/>
  <c r="J6077" i="3"/>
  <c r="J6076" i="3"/>
  <c r="J6075" i="3"/>
  <c r="J6074" i="3"/>
  <c r="J6073" i="3"/>
  <c r="J6072" i="3"/>
  <c r="J6071" i="3"/>
  <c r="J6070" i="3"/>
  <c r="J6069" i="3"/>
  <c r="J6068" i="3"/>
  <c r="J6067" i="3"/>
  <c r="J6066" i="3"/>
  <c r="J6065" i="3"/>
  <c r="J6064" i="3"/>
  <c r="J6063" i="3"/>
  <c r="J6062" i="3"/>
  <c r="J6061" i="3"/>
  <c r="J6060" i="3"/>
  <c r="J6059" i="3"/>
  <c r="J6058" i="3"/>
  <c r="J6057" i="3"/>
  <c r="J6056" i="3"/>
  <c r="J6055" i="3"/>
  <c r="J6054" i="3"/>
  <c r="J6053" i="3"/>
  <c r="J6052" i="3"/>
  <c r="J6051" i="3"/>
  <c r="J6050" i="3"/>
  <c r="J6049" i="3"/>
  <c r="J6048" i="3"/>
  <c r="J6047" i="3"/>
  <c r="J6046" i="3"/>
  <c r="J6045" i="3"/>
  <c r="J6044" i="3"/>
  <c r="J6043" i="3"/>
  <c r="J6042" i="3"/>
  <c r="J6041" i="3"/>
  <c r="J6040" i="3"/>
  <c r="J6039" i="3"/>
  <c r="J6038" i="3"/>
  <c r="J6037" i="3"/>
  <c r="J6036" i="3"/>
  <c r="J6035" i="3"/>
  <c r="J6034" i="3"/>
  <c r="J6033" i="3"/>
  <c r="J6032" i="3"/>
  <c r="J6031" i="3"/>
  <c r="J6030" i="3"/>
  <c r="J6029" i="3"/>
  <c r="J6028" i="3"/>
  <c r="J6027" i="3"/>
  <c r="J6026" i="3"/>
  <c r="J6025" i="3"/>
  <c r="J6024" i="3"/>
  <c r="J6023" i="3"/>
  <c r="J6022" i="3"/>
  <c r="J6021" i="3"/>
  <c r="J6020" i="3"/>
  <c r="J6019" i="3"/>
  <c r="J6018" i="3"/>
  <c r="J6017" i="3"/>
  <c r="J6016" i="3"/>
  <c r="J6015" i="3"/>
  <c r="J6014" i="3"/>
  <c r="J6013" i="3"/>
  <c r="J6012" i="3"/>
  <c r="J6011" i="3"/>
  <c r="J6010" i="3"/>
  <c r="J6009" i="3"/>
  <c r="J6008" i="3"/>
  <c r="J6007" i="3"/>
  <c r="J6006" i="3"/>
  <c r="J6005" i="3"/>
  <c r="J6004" i="3"/>
  <c r="J6003" i="3"/>
  <c r="J6002" i="3"/>
  <c r="J6001" i="3"/>
  <c r="J6000" i="3"/>
  <c r="J5999" i="3"/>
  <c r="J5998" i="3"/>
  <c r="J5997" i="3"/>
  <c r="J5996" i="3"/>
  <c r="J5995" i="3"/>
  <c r="J5994" i="3"/>
  <c r="J5993" i="3"/>
  <c r="J5992" i="3"/>
  <c r="J5991" i="3"/>
  <c r="J5990" i="3"/>
  <c r="J5989" i="3"/>
  <c r="J5988" i="3"/>
  <c r="J5987" i="3"/>
  <c r="J5986" i="3"/>
  <c r="J5985" i="3"/>
  <c r="J5984" i="3"/>
  <c r="J5983" i="3"/>
  <c r="J5982" i="3"/>
  <c r="J5981" i="3"/>
  <c r="J5980" i="3"/>
  <c r="J5979" i="3"/>
  <c r="J5978" i="3"/>
  <c r="J5977" i="3"/>
  <c r="J5976" i="3"/>
  <c r="J5975" i="3"/>
  <c r="J5974" i="3"/>
  <c r="J5973" i="3"/>
  <c r="J5972" i="3"/>
  <c r="J5971" i="3"/>
  <c r="J5970" i="3"/>
  <c r="J5969" i="3"/>
  <c r="J5968" i="3"/>
  <c r="J5967" i="3"/>
  <c r="J5966" i="3"/>
  <c r="J5965" i="3"/>
  <c r="J5964" i="3"/>
  <c r="J5963" i="3"/>
  <c r="J5962" i="3"/>
  <c r="J5961" i="3"/>
  <c r="J5960" i="3"/>
  <c r="J5959" i="3"/>
  <c r="J5958" i="3"/>
  <c r="J5957" i="3"/>
  <c r="J5956" i="3"/>
  <c r="J5955" i="3"/>
  <c r="J5954" i="3"/>
  <c r="J5953" i="3"/>
  <c r="J5952" i="3"/>
  <c r="J5951" i="3"/>
  <c r="J5950" i="3"/>
  <c r="J5949" i="3"/>
  <c r="J5948" i="3"/>
  <c r="J5947" i="3"/>
  <c r="J5946" i="3"/>
  <c r="J5945" i="3"/>
  <c r="J5944" i="3"/>
  <c r="J5943" i="3"/>
  <c r="J5942" i="3"/>
  <c r="J5941" i="3"/>
  <c r="J5940" i="3"/>
  <c r="J5939" i="3"/>
  <c r="J5938" i="3"/>
  <c r="J5937" i="3"/>
  <c r="J5936" i="3"/>
  <c r="J5935" i="3"/>
  <c r="J5934" i="3"/>
  <c r="J5933" i="3"/>
  <c r="J5932" i="3"/>
  <c r="J5931" i="3"/>
  <c r="J5930" i="3"/>
  <c r="J5929" i="3"/>
  <c r="J5928" i="3"/>
  <c r="J5927" i="3"/>
  <c r="J5926" i="3"/>
  <c r="J5925" i="3"/>
  <c r="J5924" i="3"/>
  <c r="J5923" i="3"/>
  <c r="J5922" i="3"/>
  <c r="J5921" i="3"/>
  <c r="J5920" i="3"/>
  <c r="J5919" i="3"/>
  <c r="J5918" i="3"/>
  <c r="J5917" i="3"/>
  <c r="J5916" i="3"/>
  <c r="J5915" i="3"/>
  <c r="J5914" i="3"/>
  <c r="J5913" i="3"/>
  <c r="J5912" i="3"/>
  <c r="J5911" i="3"/>
  <c r="J5910" i="3"/>
  <c r="J5909" i="3"/>
  <c r="J5908" i="3"/>
  <c r="J5907" i="3"/>
  <c r="J5906" i="3"/>
  <c r="J5905" i="3"/>
  <c r="J5904" i="3"/>
  <c r="J5903" i="3"/>
  <c r="J5902" i="3"/>
  <c r="J5901" i="3"/>
  <c r="J5900" i="3"/>
  <c r="J5899" i="3"/>
  <c r="J5898" i="3"/>
  <c r="J5897" i="3"/>
  <c r="J5896" i="3"/>
  <c r="J5895" i="3"/>
  <c r="J5894" i="3"/>
  <c r="J5893" i="3"/>
  <c r="J5892" i="3"/>
  <c r="J5891" i="3"/>
  <c r="J5890" i="3"/>
  <c r="J5889" i="3"/>
  <c r="J5888" i="3"/>
  <c r="J5887" i="3"/>
  <c r="J5886" i="3"/>
  <c r="J5885" i="3"/>
  <c r="J5884" i="3"/>
  <c r="J5883" i="3"/>
  <c r="J5882" i="3"/>
  <c r="J5881" i="3"/>
  <c r="J5880" i="3"/>
  <c r="J5879" i="3"/>
  <c r="J5878" i="3"/>
  <c r="J5877" i="3"/>
  <c r="J5876" i="3"/>
  <c r="J5875" i="3"/>
  <c r="J5874" i="3"/>
  <c r="J5873" i="3"/>
  <c r="J5872" i="3"/>
  <c r="J5871" i="3"/>
  <c r="J5870" i="3"/>
  <c r="J5869" i="3"/>
  <c r="J5868" i="3"/>
  <c r="J5867" i="3"/>
  <c r="J5866" i="3"/>
  <c r="J5865" i="3"/>
  <c r="J5864" i="3"/>
  <c r="J5863" i="3"/>
  <c r="J5862" i="3"/>
  <c r="J5861" i="3"/>
  <c r="J5860" i="3"/>
  <c r="J5859" i="3"/>
  <c r="J5858" i="3"/>
  <c r="J5857" i="3"/>
  <c r="J5856" i="3"/>
  <c r="J5855" i="3"/>
  <c r="J5854" i="3"/>
  <c r="J5853" i="3"/>
  <c r="J5852" i="3"/>
  <c r="J5851" i="3"/>
  <c r="J5850" i="3"/>
  <c r="J5849" i="3"/>
  <c r="J5848" i="3"/>
  <c r="J5847" i="3"/>
  <c r="J5846" i="3"/>
  <c r="J5845" i="3"/>
  <c r="J5844" i="3"/>
  <c r="J5843" i="3"/>
  <c r="J5842" i="3"/>
  <c r="J5841" i="3"/>
  <c r="J5840" i="3"/>
  <c r="J5839" i="3"/>
  <c r="J5838" i="3"/>
  <c r="J5837" i="3"/>
  <c r="J5836" i="3"/>
  <c r="J5835" i="3"/>
  <c r="J5834" i="3"/>
  <c r="J5833" i="3"/>
  <c r="J5832" i="3"/>
  <c r="J5831" i="3"/>
  <c r="J5830" i="3"/>
  <c r="J5829" i="3"/>
  <c r="J5828" i="3"/>
  <c r="J5827" i="3"/>
  <c r="J5826" i="3"/>
  <c r="J5825" i="3"/>
  <c r="J5824" i="3"/>
  <c r="J5823" i="3"/>
  <c r="J5822" i="3"/>
  <c r="J5821" i="3"/>
  <c r="J5820" i="3"/>
  <c r="J5819" i="3"/>
  <c r="J5818" i="3"/>
  <c r="J5817" i="3"/>
  <c r="J5816" i="3"/>
  <c r="J5815" i="3"/>
  <c r="J5814" i="3"/>
  <c r="J5813" i="3"/>
  <c r="J5812" i="3"/>
  <c r="J5811" i="3"/>
  <c r="J5810" i="3"/>
  <c r="J5809" i="3"/>
  <c r="J5808" i="3"/>
  <c r="J5807" i="3"/>
  <c r="J5806" i="3"/>
  <c r="J5805" i="3"/>
  <c r="J5804" i="3"/>
  <c r="J5803" i="3"/>
  <c r="J5802" i="3"/>
  <c r="J5801" i="3"/>
  <c r="J5800" i="3"/>
  <c r="J5799" i="3"/>
  <c r="J5798" i="3"/>
  <c r="J5797" i="3"/>
  <c r="J5796" i="3"/>
  <c r="J5795" i="3"/>
  <c r="J5794" i="3"/>
  <c r="J5793" i="3"/>
  <c r="J5792" i="3"/>
  <c r="J5791" i="3"/>
  <c r="J5790" i="3"/>
  <c r="J5789" i="3"/>
  <c r="J5788" i="3"/>
  <c r="J5787" i="3"/>
  <c r="J5786" i="3"/>
  <c r="J5785" i="3"/>
  <c r="J5784" i="3"/>
  <c r="J5783" i="3"/>
  <c r="J5782" i="3"/>
  <c r="J5781" i="3"/>
  <c r="J5780" i="3"/>
  <c r="J5779" i="3"/>
  <c r="J5778" i="3"/>
  <c r="J5777" i="3"/>
  <c r="J5776" i="3"/>
  <c r="J5775" i="3"/>
  <c r="J5774" i="3"/>
  <c r="J5773" i="3"/>
  <c r="J5772" i="3"/>
  <c r="J5771" i="3"/>
  <c r="J5770" i="3"/>
  <c r="J5769" i="3"/>
  <c r="J5768" i="3"/>
  <c r="J5767" i="3"/>
  <c r="J5766" i="3"/>
  <c r="J5765" i="3"/>
  <c r="J5764" i="3"/>
  <c r="J5763" i="3"/>
  <c r="J5762" i="3"/>
  <c r="J5761" i="3"/>
  <c r="J5760" i="3"/>
  <c r="J5759" i="3"/>
  <c r="J5758" i="3"/>
  <c r="J5757" i="3"/>
  <c r="J5756" i="3"/>
  <c r="J5755" i="3"/>
  <c r="J5754" i="3"/>
  <c r="J5753" i="3"/>
  <c r="J5752" i="3"/>
  <c r="J5751" i="3"/>
  <c r="J5750" i="3"/>
  <c r="J5749" i="3"/>
  <c r="J5748" i="3"/>
  <c r="J5747" i="3"/>
  <c r="J5746" i="3"/>
  <c r="J5745" i="3"/>
  <c r="J5744" i="3"/>
  <c r="J5743" i="3"/>
  <c r="J5742" i="3"/>
  <c r="J5741" i="3"/>
  <c r="J5740" i="3"/>
  <c r="J5739" i="3"/>
  <c r="J5738" i="3"/>
  <c r="J5737" i="3"/>
  <c r="J5736" i="3"/>
  <c r="J5735" i="3"/>
  <c r="J5734" i="3"/>
  <c r="J5733" i="3"/>
  <c r="J5732" i="3"/>
  <c r="J5731" i="3"/>
  <c r="J5730" i="3"/>
  <c r="J5729" i="3"/>
  <c r="J5728" i="3"/>
  <c r="J5727" i="3"/>
  <c r="J5726" i="3"/>
  <c r="J5725" i="3"/>
  <c r="J5724" i="3"/>
  <c r="J5723" i="3"/>
  <c r="J5722" i="3"/>
  <c r="J5721" i="3"/>
  <c r="J5720" i="3"/>
  <c r="J5719" i="3"/>
  <c r="J5718" i="3"/>
  <c r="J5717" i="3"/>
  <c r="J5716" i="3"/>
  <c r="J5715" i="3"/>
  <c r="J5714" i="3"/>
  <c r="J5713" i="3"/>
  <c r="J5712" i="3"/>
  <c r="J5711" i="3"/>
  <c r="J5710" i="3"/>
  <c r="J5709" i="3"/>
  <c r="J5708" i="3"/>
  <c r="J5707" i="3"/>
  <c r="J5706" i="3"/>
  <c r="J5705" i="3"/>
  <c r="J5704" i="3"/>
  <c r="J5703" i="3"/>
  <c r="J5702" i="3"/>
  <c r="J5701" i="3"/>
  <c r="J5700" i="3"/>
  <c r="J5699" i="3"/>
  <c r="J5698" i="3"/>
  <c r="J5697" i="3"/>
  <c r="J5696" i="3"/>
  <c r="J5695" i="3"/>
  <c r="J5694" i="3"/>
  <c r="J5693" i="3"/>
  <c r="J5692" i="3"/>
  <c r="J5691" i="3"/>
  <c r="J5690" i="3"/>
  <c r="J5689" i="3"/>
  <c r="J5688" i="3"/>
  <c r="J5687" i="3"/>
  <c r="J5686" i="3"/>
  <c r="J5685" i="3"/>
  <c r="J5684" i="3"/>
  <c r="J5683" i="3"/>
  <c r="J5682" i="3"/>
  <c r="J5681" i="3"/>
  <c r="J5680" i="3"/>
  <c r="J5679" i="3"/>
  <c r="J5678" i="3"/>
  <c r="J5677" i="3"/>
  <c r="J5676" i="3"/>
  <c r="J5675" i="3"/>
  <c r="J5674" i="3"/>
  <c r="J5673" i="3"/>
  <c r="J5672" i="3"/>
  <c r="J5671" i="3"/>
  <c r="J5670" i="3"/>
  <c r="J5669" i="3"/>
  <c r="J5668" i="3"/>
  <c r="J5667" i="3"/>
  <c r="J5666" i="3"/>
  <c r="J5665" i="3"/>
  <c r="J5664" i="3"/>
  <c r="J5663" i="3"/>
  <c r="J5662" i="3"/>
  <c r="J5661" i="3"/>
  <c r="J5660" i="3"/>
  <c r="J5659" i="3"/>
  <c r="J5658" i="3"/>
  <c r="J5657" i="3"/>
  <c r="J5656" i="3"/>
  <c r="J5655" i="3"/>
  <c r="J5654" i="3"/>
  <c r="J5653" i="3"/>
  <c r="J5652" i="3"/>
  <c r="J5651" i="3"/>
  <c r="J5650" i="3"/>
  <c r="J5649" i="3"/>
  <c r="J5648" i="3"/>
  <c r="J5647" i="3"/>
  <c r="J5646" i="3"/>
  <c r="J5645" i="3"/>
  <c r="J5644" i="3"/>
  <c r="J5643" i="3"/>
  <c r="J5642" i="3"/>
  <c r="J5641" i="3"/>
  <c r="J5640" i="3"/>
  <c r="J5639" i="3"/>
  <c r="J5638" i="3"/>
  <c r="J5637" i="3"/>
  <c r="J5636" i="3"/>
  <c r="J5635" i="3"/>
  <c r="J5634" i="3"/>
  <c r="J5633" i="3"/>
  <c r="J5632" i="3"/>
  <c r="J5631" i="3"/>
  <c r="J5630" i="3"/>
  <c r="J5629" i="3"/>
  <c r="J5628" i="3"/>
  <c r="J5627" i="3"/>
  <c r="J5626" i="3"/>
  <c r="J5625" i="3"/>
  <c r="J5624" i="3"/>
  <c r="J5623" i="3"/>
  <c r="J5622" i="3"/>
  <c r="J5621" i="3"/>
  <c r="J5620" i="3"/>
  <c r="J5619" i="3"/>
  <c r="J5618" i="3"/>
  <c r="J5617" i="3"/>
  <c r="J5616" i="3"/>
  <c r="J5615" i="3"/>
  <c r="J5614" i="3"/>
  <c r="J5613" i="3"/>
  <c r="J5612" i="3"/>
  <c r="J5611" i="3"/>
  <c r="J5610" i="3"/>
  <c r="J5609" i="3"/>
  <c r="J5608" i="3"/>
  <c r="J5607" i="3"/>
  <c r="J5606" i="3"/>
  <c r="J5605" i="3"/>
  <c r="J5604" i="3"/>
  <c r="J5603" i="3"/>
  <c r="J5602" i="3"/>
  <c r="J5601" i="3"/>
  <c r="J5600" i="3"/>
  <c r="J5599" i="3"/>
  <c r="J5598" i="3"/>
  <c r="J5597" i="3"/>
  <c r="J5596" i="3"/>
  <c r="J5595" i="3"/>
  <c r="J5594" i="3"/>
  <c r="J5593" i="3"/>
  <c r="J5592" i="3"/>
  <c r="J5591" i="3"/>
  <c r="J5590" i="3"/>
  <c r="J5589" i="3"/>
  <c r="J5588" i="3"/>
  <c r="J5587" i="3"/>
  <c r="J5586" i="3"/>
  <c r="J5585" i="3"/>
  <c r="J5584" i="3"/>
  <c r="J5583" i="3"/>
  <c r="J5582" i="3"/>
  <c r="J5581" i="3"/>
  <c r="J5580" i="3"/>
  <c r="J5579" i="3"/>
  <c r="J5578" i="3"/>
  <c r="J5577" i="3"/>
  <c r="J5576" i="3"/>
  <c r="J5575" i="3"/>
  <c r="J5574" i="3"/>
  <c r="J5573" i="3"/>
  <c r="J5572" i="3"/>
  <c r="J5571" i="3"/>
  <c r="J5570" i="3"/>
  <c r="J5569" i="3"/>
  <c r="J5568" i="3"/>
  <c r="J5567" i="3"/>
  <c r="J5566" i="3"/>
  <c r="J5565" i="3"/>
  <c r="J5564" i="3"/>
  <c r="J5563" i="3"/>
  <c r="J5562" i="3"/>
  <c r="J5561" i="3"/>
  <c r="J5560" i="3"/>
  <c r="J5559" i="3"/>
  <c r="J5558" i="3"/>
  <c r="J5557" i="3"/>
  <c r="J5556" i="3"/>
  <c r="J5555" i="3"/>
  <c r="J5554" i="3"/>
  <c r="J5553" i="3"/>
  <c r="J5552" i="3"/>
  <c r="J5551" i="3"/>
  <c r="J5550" i="3"/>
  <c r="J5549" i="3"/>
  <c r="J5548" i="3"/>
  <c r="J5547" i="3"/>
  <c r="J5546" i="3"/>
  <c r="J5545" i="3"/>
  <c r="J5544" i="3"/>
  <c r="J5543" i="3"/>
  <c r="J5542" i="3"/>
  <c r="J5541" i="3"/>
  <c r="J5540" i="3"/>
  <c r="J5539" i="3"/>
  <c r="J5538" i="3"/>
  <c r="J5537" i="3"/>
  <c r="J5536" i="3"/>
  <c r="J5535" i="3"/>
  <c r="J5534" i="3"/>
  <c r="J5533" i="3"/>
  <c r="J5532" i="3"/>
  <c r="J5531" i="3"/>
  <c r="J5530" i="3"/>
  <c r="J5529" i="3"/>
  <c r="J5528" i="3"/>
  <c r="J5527" i="3"/>
  <c r="J5526" i="3"/>
  <c r="J5525" i="3"/>
  <c r="J5524" i="3"/>
  <c r="J5523" i="3"/>
  <c r="J5522" i="3"/>
  <c r="J5521" i="3"/>
  <c r="J5520" i="3"/>
  <c r="J5519" i="3"/>
  <c r="J5518" i="3"/>
  <c r="J5517" i="3"/>
  <c r="J5516" i="3"/>
  <c r="J5515" i="3"/>
  <c r="J5514" i="3"/>
  <c r="J5513" i="3"/>
  <c r="J5512" i="3"/>
  <c r="J5511" i="3"/>
  <c r="J5510" i="3"/>
  <c r="J5509" i="3"/>
  <c r="J5508" i="3"/>
  <c r="J5507" i="3"/>
  <c r="J5506" i="3"/>
  <c r="J5505" i="3"/>
  <c r="J5504" i="3"/>
  <c r="J5503" i="3"/>
  <c r="J5502" i="3"/>
  <c r="J5501" i="3"/>
  <c r="J5500" i="3"/>
  <c r="J5499" i="3"/>
  <c r="J5498" i="3"/>
  <c r="J5497" i="3"/>
  <c r="J5496" i="3"/>
  <c r="J5495" i="3"/>
  <c r="J5494" i="3"/>
  <c r="J5493" i="3"/>
  <c r="J5492" i="3"/>
  <c r="J5491" i="3"/>
  <c r="J5490" i="3"/>
  <c r="J5489" i="3"/>
  <c r="J5488" i="3"/>
  <c r="J5487" i="3"/>
  <c r="J5486" i="3"/>
  <c r="J5485" i="3"/>
  <c r="J5484" i="3"/>
  <c r="J5483" i="3"/>
  <c r="J5482" i="3"/>
  <c r="J5481" i="3"/>
  <c r="J5480" i="3"/>
  <c r="J5479" i="3"/>
  <c r="J5478" i="3"/>
  <c r="J5477" i="3"/>
  <c r="J5476" i="3"/>
  <c r="J5475" i="3"/>
  <c r="J5474" i="3"/>
  <c r="J5473" i="3"/>
  <c r="J5472" i="3"/>
  <c r="J5471" i="3"/>
  <c r="J5470" i="3"/>
  <c r="J5469" i="3"/>
  <c r="J5468" i="3"/>
  <c r="J5467" i="3"/>
  <c r="J5466" i="3"/>
  <c r="J5465" i="3"/>
  <c r="J5464" i="3"/>
  <c r="J5463" i="3"/>
  <c r="J5462" i="3"/>
  <c r="J5461" i="3"/>
  <c r="J5460" i="3"/>
  <c r="J5459" i="3"/>
  <c r="J5458" i="3"/>
  <c r="J5457" i="3"/>
  <c r="J5456" i="3"/>
  <c r="J5455" i="3"/>
  <c r="J5454" i="3"/>
  <c r="J5453" i="3"/>
  <c r="J5452" i="3"/>
  <c r="J5451" i="3"/>
  <c r="J5450" i="3"/>
  <c r="J5449" i="3"/>
  <c r="J5448" i="3"/>
  <c r="J5447" i="3"/>
  <c r="J5446" i="3"/>
  <c r="J5445" i="3"/>
  <c r="J5444" i="3"/>
  <c r="J5443" i="3"/>
  <c r="J5442" i="3"/>
  <c r="J5441" i="3"/>
  <c r="J5440" i="3"/>
  <c r="J5439" i="3"/>
  <c r="J5438" i="3"/>
  <c r="J5437" i="3"/>
  <c r="J5436" i="3"/>
  <c r="J5435" i="3"/>
  <c r="J5434" i="3"/>
  <c r="J5433" i="3"/>
  <c r="J5432" i="3"/>
  <c r="J5431" i="3"/>
  <c r="J5430" i="3"/>
  <c r="J5429" i="3"/>
  <c r="J5428" i="3"/>
  <c r="J5427" i="3"/>
  <c r="J5426" i="3"/>
  <c r="J5425" i="3"/>
  <c r="J5424" i="3"/>
  <c r="J5423" i="3"/>
  <c r="J5422" i="3"/>
  <c r="J5421" i="3"/>
  <c r="J5420" i="3"/>
  <c r="J5419" i="3"/>
  <c r="J5418" i="3"/>
  <c r="J5417" i="3"/>
  <c r="J5416" i="3"/>
  <c r="J5415" i="3"/>
  <c r="J5414" i="3"/>
  <c r="J5413" i="3"/>
  <c r="J5412" i="3"/>
  <c r="J5411" i="3"/>
  <c r="J5410" i="3"/>
  <c r="J5409" i="3"/>
  <c r="J5408" i="3"/>
  <c r="J5407" i="3"/>
  <c r="J5406" i="3"/>
  <c r="J5405" i="3"/>
  <c r="J5404" i="3"/>
  <c r="J5403" i="3"/>
  <c r="J5402" i="3"/>
  <c r="J5401" i="3"/>
  <c r="J5400" i="3"/>
  <c r="J5399" i="3"/>
  <c r="J5398" i="3"/>
  <c r="J5397" i="3"/>
  <c r="J5396" i="3"/>
  <c r="J5395" i="3"/>
  <c r="J5394" i="3"/>
  <c r="J5393" i="3"/>
  <c r="J5392" i="3"/>
  <c r="J5391" i="3"/>
  <c r="J5390" i="3"/>
  <c r="J5389" i="3"/>
  <c r="J5388" i="3"/>
  <c r="J5387" i="3"/>
  <c r="J5386" i="3"/>
  <c r="J5385" i="3"/>
  <c r="J5384" i="3"/>
  <c r="J5383" i="3"/>
  <c r="J5382" i="3"/>
  <c r="J5381" i="3"/>
  <c r="J5380" i="3"/>
  <c r="J5379" i="3"/>
  <c r="J5378" i="3"/>
  <c r="J5377" i="3"/>
  <c r="J5376" i="3"/>
  <c r="J5375" i="3"/>
  <c r="J5374" i="3"/>
  <c r="J5373" i="3"/>
  <c r="J5372" i="3"/>
  <c r="J5371" i="3"/>
  <c r="J5370" i="3"/>
  <c r="J5369" i="3"/>
  <c r="J5368" i="3"/>
  <c r="J5367" i="3"/>
  <c r="J5366" i="3"/>
  <c r="J5365" i="3"/>
  <c r="J5364" i="3"/>
  <c r="J5363" i="3"/>
  <c r="J5362" i="3"/>
  <c r="J5361" i="3"/>
  <c r="J5360" i="3"/>
  <c r="J5359" i="3"/>
  <c r="J5358" i="3"/>
  <c r="J5357" i="3"/>
  <c r="J5356" i="3"/>
  <c r="J5355" i="3"/>
  <c r="J5354" i="3"/>
  <c r="J5353" i="3"/>
  <c r="J5352" i="3"/>
  <c r="J5351" i="3"/>
  <c r="J5350" i="3"/>
  <c r="J5349" i="3"/>
  <c r="J5348" i="3"/>
  <c r="J5347" i="3"/>
  <c r="J5346" i="3"/>
  <c r="J5345" i="3"/>
  <c r="J5344" i="3"/>
  <c r="J5343" i="3"/>
  <c r="J5342" i="3"/>
  <c r="J5341" i="3"/>
  <c r="J5340" i="3"/>
  <c r="J5339" i="3"/>
  <c r="J5338" i="3"/>
  <c r="J5337" i="3"/>
  <c r="J5336" i="3"/>
  <c r="J5335" i="3"/>
  <c r="J5334" i="3"/>
  <c r="J5333" i="3"/>
  <c r="J5332" i="3"/>
  <c r="J5331" i="3"/>
  <c r="J5330" i="3"/>
  <c r="J5329" i="3"/>
  <c r="J5328" i="3"/>
  <c r="J5327" i="3"/>
  <c r="J5326" i="3"/>
  <c r="J5325" i="3"/>
  <c r="J5324" i="3"/>
  <c r="J5323" i="3"/>
  <c r="J5322" i="3"/>
  <c r="J5321" i="3"/>
  <c r="J5320" i="3"/>
  <c r="J5319" i="3"/>
  <c r="J5318" i="3"/>
  <c r="J5317" i="3"/>
  <c r="J5316" i="3"/>
  <c r="J5315" i="3"/>
  <c r="J5314" i="3"/>
  <c r="J5313" i="3"/>
  <c r="J5312" i="3"/>
  <c r="J5311" i="3"/>
  <c r="J5310" i="3"/>
  <c r="J5309" i="3"/>
  <c r="J5308" i="3"/>
  <c r="J5307" i="3"/>
  <c r="J5306" i="3"/>
  <c r="J5305" i="3"/>
  <c r="J5304" i="3"/>
  <c r="J5303" i="3"/>
  <c r="J5302" i="3"/>
  <c r="J5301" i="3"/>
  <c r="J5300" i="3"/>
  <c r="J5299" i="3"/>
  <c r="J5298" i="3"/>
  <c r="J5297" i="3"/>
  <c r="J5296" i="3"/>
  <c r="J5295" i="3"/>
  <c r="J5294" i="3"/>
  <c r="J5293" i="3"/>
  <c r="J5292" i="3"/>
  <c r="J5291" i="3"/>
  <c r="J5290" i="3"/>
  <c r="J5289" i="3"/>
  <c r="J5288" i="3"/>
  <c r="J5287" i="3"/>
  <c r="J5286" i="3"/>
  <c r="J5285" i="3"/>
  <c r="J5284" i="3"/>
  <c r="J5283" i="3"/>
  <c r="J5282" i="3"/>
  <c r="J5281" i="3"/>
  <c r="J5280" i="3"/>
  <c r="J5279" i="3"/>
  <c r="J5278" i="3"/>
  <c r="J5277" i="3"/>
  <c r="J5276" i="3"/>
  <c r="J5275" i="3"/>
  <c r="J5274" i="3"/>
  <c r="J5273" i="3"/>
  <c r="J5272" i="3"/>
  <c r="J5271" i="3"/>
  <c r="J5270" i="3"/>
  <c r="J5269" i="3"/>
  <c r="J5268" i="3"/>
  <c r="J5267" i="3"/>
  <c r="J5266" i="3"/>
  <c r="J5265" i="3"/>
  <c r="J5264" i="3"/>
  <c r="J5263" i="3"/>
  <c r="J5262" i="3"/>
  <c r="J5261" i="3"/>
  <c r="J5260" i="3"/>
  <c r="J5259" i="3"/>
  <c r="J5258" i="3"/>
  <c r="J5257" i="3"/>
  <c r="J5256" i="3"/>
  <c r="J5255" i="3"/>
  <c r="J5254" i="3"/>
  <c r="J5253" i="3"/>
  <c r="J5252" i="3"/>
  <c r="J5251" i="3"/>
  <c r="J5250" i="3"/>
  <c r="J5249" i="3"/>
  <c r="J5248" i="3"/>
  <c r="J5247" i="3"/>
  <c r="J5246" i="3"/>
  <c r="J5245" i="3"/>
  <c r="J5244" i="3"/>
  <c r="J5243" i="3"/>
  <c r="J5242" i="3"/>
  <c r="J5241" i="3"/>
  <c r="J5240" i="3"/>
  <c r="J5239" i="3"/>
  <c r="J5238" i="3"/>
  <c r="J5237" i="3"/>
  <c r="J5236" i="3"/>
  <c r="J5235" i="3"/>
  <c r="J5234" i="3"/>
  <c r="J5233" i="3"/>
  <c r="J5232" i="3"/>
  <c r="J5231" i="3"/>
  <c r="J5230" i="3"/>
  <c r="J5229" i="3"/>
  <c r="J5228" i="3"/>
  <c r="J5227" i="3"/>
  <c r="J5226" i="3"/>
  <c r="J5225" i="3"/>
  <c r="J5224" i="3"/>
  <c r="J5223" i="3"/>
  <c r="J5222" i="3"/>
  <c r="J5221" i="3"/>
  <c r="J5220" i="3"/>
  <c r="J5219" i="3"/>
  <c r="J5218" i="3"/>
  <c r="J5217" i="3"/>
  <c r="J5216" i="3"/>
  <c r="J5215" i="3"/>
  <c r="J5214" i="3"/>
  <c r="J5213" i="3"/>
  <c r="J5212" i="3"/>
  <c r="J5211" i="3"/>
  <c r="J5210" i="3"/>
  <c r="J5209" i="3"/>
  <c r="J5208" i="3"/>
  <c r="J5207" i="3"/>
  <c r="J5206" i="3"/>
  <c r="J5205" i="3"/>
  <c r="J5204" i="3"/>
  <c r="J5203" i="3"/>
  <c r="J5202" i="3"/>
  <c r="J5201" i="3"/>
  <c r="J5200" i="3"/>
  <c r="J5199" i="3"/>
  <c r="J5198" i="3"/>
  <c r="J5197" i="3"/>
  <c r="J5196" i="3"/>
  <c r="J5195" i="3"/>
  <c r="J5194" i="3"/>
  <c r="J5193" i="3"/>
  <c r="J5192" i="3"/>
  <c r="J5191" i="3"/>
  <c r="J5190" i="3"/>
  <c r="J5189" i="3"/>
  <c r="J5188" i="3"/>
  <c r="J5187" i="3"/>
  <c r="J5186" i="3"/>
  <c r="J5185" i="3"/>
  <c r="J5184" i="3"/>
  <c r="J5183" i="3"/>
  <c r="J5182" i="3"/>
  <c r="J5181" i="3"/>
  <c r="J5180" i="3"/>
  <c r="J5179" i="3"/>
  <c r="J5178" i="3"/>
  <c r="J5177" i="3"/>
  <c r="J5176" i="3"/>
  <c r="J5175" i="3"/>
  <c r="J5174" i="3"/>
  <c r="J5173" i="3"/>
  <c r="J5172" i="3"/>
  <c r="J5171" i="3"/>
  <c r="J5170" i="3"/>
  <c r="J5169" i="3"/>
  <c r="J5168" i="3"/>
  <c r="J5167" i="3"/>
  <c r="J5166" i="3"/>
  <c r="J5165" i="3"/>
  <c r="J5164" i="3"/>
  <c r="J5163" i="3"/>
  <c r="J5162" i="3"/>
  <c r="J5161" i="3"/>
  <c r="J5160" i="3"/>
  <c r="J5159" i="3"/>
  <c r="J5158" i="3"/>
  <c r="J5157" i="3"/>
  <c r="J5156" i="3"/>
  <c r="J5155" i="3"/>
  <c r="J5154" i="3"/>
  <c r="J5153" i="3"/>
  <c r="J5152" i="3"/>
  <c r="J5151" i="3"/>
  <c r="J5150" i="3"/>
  <c r="J5149" i="3"/>
  <c r="J5148" i="3"/>
  <c r="J5147" i="3"/>
  <c r="J5146" i="3"/>
  <c r="J5145" i="3"/>
  <c r="J5144" i="3"/>
  <c r="J5143" i="3"/>
  <c r="J5142" i="3"/>
  <c r="J5141" i="3"/>
  <c r="J5140" i="3"/>
  <c r="J5139" i="3"/>
  <c r="J5138" i="3"/>
  <c r="J5137" i="3"/>
  <c r="J5136" i="3"/>
  <c r="J5135" i="3"/>
  <c r="J5134" i="3"/>
  <c r="J5133" i="3"/>
  <c r="J5132" i="3"/>
  <c r="J5131" i="3"/>
  <c r="J5130" i="3"/>
  <c r="J5129" i="3"/>
  <c r="J5128" i="3"/>
  <c r="J5127" i="3"/>
  <c r="J5126" i="3"/>
  <c r="J5125" i="3"/>
  <c r="J5124" i="3"/>
  <c r="J5123" i="3"/>
  <c r="J5122" i="3"/>
  <c r="J5121" i="3"/>
  <c r="J5120" i="3"/>
  <c r="J5119" i="3"/>
  <c r="J5118" i="3"/>
  <c r="J5117" i="3"/>
  <c r="J5116" i="3"/>
  <c r="J5115" i="3"/>
  <c r="J5114" i="3"/>
  <c r="J5113" i="3"/>
  <c r="J5112" i="3"/>
  <c r="J5111" i="3"/>
  <c r="J5110" i="3"/>
  <c r="J5109" i="3"/>
  <c r="J5108" i="3"/>
  <c r="J5107" i="3"/>
  <c r="J5106" i="3"/>
  <c r="J5105" i="3"/>
  <c r="J5104" i="3"/>
  <c r="J5103" i="3"/>
  <c r="J5102" i="3"/>
  <c r="J5101" i="3"/>
  <c r="J5100" i="3"/>
  <c r="J5099" i="3"/>
  <c r="J5098" i="3"/>
  <c r="J5097" i="3"/>
  <c r="J5096" i="3"/>
  <c r="J5095" i="3"/>
  <c r="J5094" i="3"/>
  <c r="J5093" i="3"/>
  <c r="J5092" i="3"/>
  <c r="J5091" i="3"/>
  <c r="J5090" i="3"/>
  <c r="J5089" i="3"/>
  <c r="J5088" i="3"/>
  <c r="J5087" i="3"/>
  <c r="J5086" i="3"/>
  <c r="J5085" i="3"/>
  <c r="J5084" i="3"/>
  <c r="J5083" i="3"/>
  <c r="J5082" i="3"/>
  <c r="J5081" i="3"/>
  <c r="J5080" i="3"/>
  <c r="J5079" i="3"/>
  <c r="J5078" i="3"/>
  <c r="J5077" i="3"/>
  <c r="J5076" i="3"/>
  <c r="J5075" i="3"/>
  <c r="J5074" i="3"/>
  <c r="J5073" i="3"/>
  <c r="J5072" i="3"/>
  <c r="J5071" i="3"/>
  <c r="J5070" i="3"/>
  <c r="J5069" i="3"/>
  <c r="J5068" i="3"/>
  <c r="J5067" i="3"/>
  <c r="J5066" i="3"/>
  <c r="J5065" i="3"/>
  <c r="J5064" i="3"/>
  <c r="J5063" i="3"/>
  <c r="J5062" i="3"/>
  <c r="J5061" i="3"/>
  <c r="J5060" i="3"/>
  <c r="J5059" i="3"/>
  <c r="J5058" i="3"/>
  <c r="J5057" i="3"/>
  <c r="J5056" i="3"/>
  <c r="J5055" i="3"/>
  <c r="J5054" i="3"/>
  <c r="J5053" i="3"/>
  <c r="J5052" i="3"/>
  <c r="J5051" i="3"/>
  <c r="J5050" i="3"/>
  <c r="J5049" i="3"/>
  <c r="J5048" i="3"/>
  <c r="J5047" i="3"/>
  <c r="J5046" i="3"/>
  <c r="J5045" i="3"/>
  <c r="J5044" i="3"/>
  <c r="J5043" i="3"/>
  <c r="J5042" i="3"/>
  <c r="J5041" i="3"/>
  <c r="J5040" i="3"/>
  <c r="J5039" i="3"/>
  <c r="J5038" i="3"/>
  <c r="J5037" i="3"/>
  <c r="J5036" i="3"/>
  <c r="J5035" i="3"/>
  <c r="J5034" i="3"/>
  <c r="J5033" i="3"/>
  <c r="J5032" i="3"/>
  <c r="J5031" i="3"/>
  <c r="J5030" i="3"/>
  <c r="J5029" i="3"/>
  <c r="J5028" i="3"/>
  <c r="J5027" i="3"/>
  <c r="J5026" i="3"/>
  <c r="J5025" i="3"/>
  <c r="J5024" i="3"/>
  <c r="J5023" i="3"/>
  <c r="J5022" i="3"/>
  <c r="J5021" i="3"/>
  <c r="J5020" i="3"/>
  <c r="J5019" i="3"/>
  <c r="J5018" i="3"/>
  <c r="J5017" i="3"/>
  <c r="J5016" i="3"/>
  <c r="J5015" i="3"/>
  <c r="J5014" i="3"/>
  <c r="J5013" i="3"/>
  <c r="J5012" i="3"/>
  <c r="J5011" i="3"/>
  <c r="J5010" i="3"/>
  <c r="J5009" i="3"/>
  <c r="J5008" i="3"/>
  <c r="J5007" i="3"/>
  <c r="J5006" i="3"/>
  <c r="J5005" i="3"/>
  <c r="J5004" i="3"/>
  <c r="J5003" i="3"/>
  <c r="J5002" i="3"/>
  <c r="J5001" i="3"/>
  <c r="J5000" i="3"/>
  <c r="J4999" i="3"/>
  <c r="J4998" i="3"/>
  <c r="J4997" i="3"/>
  <c r="J4996" i="3"/>
  <c r="J4995" i="3"/>
  <c r="J4994" i="3"/>
  <c r="J4993" i="3"/>
  <c r="J4992" i="3"/>
  <c r="J4991" i="3"/>
  <c r="J4990" i="3"/>
  <c r="J4989" i="3"/>
  <c r="J4988" i="3"/>
  <c r="J4987" i="3"/>
  <c r="J4986" i="3"/>
  <c r="J4985" i="3"/>
  <c r="J4984" i="3"/>
  <c r="J4983" i="3"/>
  <c r="J4982" i="3"/>
  <c r="J4981" i="3"/>
  <c r="J4980" i="3"/>
  <c r="J4979" i="3"/>
  <c r="J4978" i="3"/>
  <c r="J4977" i="3"/>
  <c r="J4976" i="3"/>
  <c r="J4975" i="3"/>
  <c r="J4974" i="3"/>
  <c r="J4973" i="3"/>
  <c r="J4972" i="3"/>
  <c r="J4971" i="3"/>
  <c r="J4970" i="3"/>
  <c r="J4969" i="3"/>
  <c r="J4968" i="3"/>
  <c r="J4967" i="3"/>
  <c r="J4966" i="3"/>
  <c r="J4965" i="3"/>
  <c r="J4964" i="3"/>
  <c r="J4963" i="3"/>
  <c r="J4962" i="3"/>
  <c r="J4961" i="3"/>
  <c r="J4960" i="3"/>
  <c r="J4959" i="3"/>
  <c r="J4958" i="3"/>
  <c r="J4957" i="3"/>
  <c r="J4956" i="3"/>
  <c r="J4955" i="3"/>
  <c r="J4954" i="3"/>
  <c r="J4953" i="3"/>
  <c r="J4952" i="3"/>
  <c r="J4951" i="3"/>
  <c r="J4950" i="3"/>
  <c r="J4949" i="3"/>
  <c r="J4948" i="3"/>
  <c r="J4947" i="3"/>
  <c r="J4946" i="3"/>
  <c r="J4945" i="3"/>
  <c r="J4944" i="3"/>
  <c r="J4943" i="3"/>
  <c r="J4942" i="3"/>
  <c r="J4941" i="3"/>
  <c r="J4940" i="3"/>
  <c r="J4939" i="3"/>
  <c r="J4938" i="3"/>
  <c r="J4937" i="3"/>
  <c r="J4936" i="3"/>
  <c r="J4935" i="3"/>
  <c r="J4934" i="3"/>
  <c r="J4933" i="3"/>
  <c r="J4932" i="3"/>
  <c r="J4931" i="3"/>
  <c r="J4930" i="3"/>
  <c r="J4929" i="3"/>
  <c r="J4928" i="3"/>
  <c r="J4927" i="3"/>
  <c r="J4926" i="3"/>
  <c r="J4925" i="3"/>
  <c r="J4924" i="3"/>
  <c r="J4923" i="3"/>
  <c r="J4922" i="3"/>
  <c r="J4921" i="3"/>
  <c r="J4920" i="3"/>
  <c r="J4919" i="3"/>
  <c r="J4918" i="3"/>
  <c r="J4917" i="3"/>
  <c r="J4916" i="3"/>
  <c r="J4915" i="3"/>
  <c r="J4914" i="3"/>
  <c r="J4913" i="3"/>
  <c r="J4912" i="3"/>
  <c r="J4911" i="3"/>
  <c r="J4910" i="3"/>
  <c r="J4909" i="3"/>
  <c r="J4908" i="3"/>
  <c r="J4907" i="3"/>
  <c r="J4906" i="3"/>
  <c r="J4905" i="3"/>
  <c r="J4904" i="3"/>
  <c r="J4903" i="3"/>
  <c r="J4902" i="3"/>
  <c r="J4901" i="3"/>
  <c r="J4900" i="3"/>
  <c r="J4899" i="3"/>
  <c r="J4898" i="3"/>
  <c r="J4897" i="3"/>
  <c r="J4896" i="3"/>
  <c r="J4895" i="3"/>
  <c r="J4894" i="3"/>
  <c r="J4893" i="3"/>
  <c r="J4892" i="3"/>
  <c r="J4891" i="3"/>
  <c r="J4890" i="3"/>
  <c r="J4889" i="3"/>
  <c r="J4888" i="3"/>
  <c r="J4887" i="3"/>
  <c r="J4886" i="3"/>
  <c r="J4885" i="3"/>
  <c r="J4884" i="3"/>
  <c r="J4883" i="3"/>
  <c r="J4882" i="3"/>
  <c r="J4881" i="3"/>
  <c r="J4880" i="3"/>
  <c r="J4879" i="3"/>
  <c r="J4878" i="3"/>
  <c r="J4877" i="3"/>
  <c r="J4876" i="3"/>
  <c r="J4875" i="3"/>
  <c r="J4874" i="3"/>
  <c r="J4873" i="3"/>
  <c r="J4872" i="3"/>
  <c r="J4871" i="3"/>
  <c r="J4870" i="3"/>
  <c r="J4869" i="3"/>
  <c r="J4868" i="3"/>
  <c r="J4867" i="3"/>
  <c r="J4866" i="3"/>
  <c r="J4865" i="3"/>
  <c r="J4864" i="3"/>
  <c r="J4863" i="3"/>
  <c r="J4862" i="3"/>
  <c r="J4861" i="3"/>
  <c r="J4860" i="3"/>
  <c r="J4859" i="3"/>
  <c r="J4858" i="3"/>
  <c r="J4857" i="3"/>
  <c r="J4856" i="3"/>
  <c r="J4855" i="3"/>
  <c r="J4854" i="3"/>
  <c r="J4853" i="3"/>
  <c r="J4852" i="3"/>
  <c r="J4851" i="3"/>
  <c r="J4850" i="3"/>
  <c r="J4849" i="3"/>
  <c r="J4848" i="3"/>
  <c r="J4847" i="3"/>
  <c r="J4846" i="3"/>
  <c r="J4845" i="3"/>
  <c r="J4844" i="3"/>
  <c r="J4843" i="3"/>
  <c r="J4842" i="3"/>
  <c r="J4841" i="3"/>
  <c r="J4840" i="3"/>
  <c r="J4839" i="3"/>
  <c r="J4838" i="3"/>
  <c r="J4837" i="3"/>
  <c r="J4836" i="3"/>
  <c r="J4835" i="3"/>
  <c r="J4834" i="3"/>
  <c r="J4833" i="3"/>
  <c r="J4832" i="3"/>
  <c r="J4831" i="3"/>
  <c r="J4830" i="3"/>
  <c r="J4829" i="3"/>
  <c r="J4828" i="3"/>
  <c r="J4827" i="3"/>
  <c r="J4826" i="3"/>
  <c r="J4825" i="3"/>
  <c r="J4824" i="3"/>
  <c r="J4823" i="3"/>
  <c r="J4822" i="3"/>
  <c r="J4821" i="3"/>
  <c r="J4820" i="3"/>
  <c r="J4819" i="3"/>
  <c r="J4818" i="3"/>
  <c r="J4817" i="3"/>
  <c r="J4816" i="3"/>
  <c r="J4815" i="3"/>
  <c r="J4814" i="3"/>
  <c r="J4813" i="3"/>
  <c r="J4812" i="3"/>
  <c r="J4811" i="3"/>
  <c r="J4810" i="3"/>
  <c r="J4809" i="3"/>
  <c r="J4808" i="3"/>
  <c r="J4807" i="3"/>
  <c r="J4806" i="3"/>
  <c r="J4805" i="3"/>
  <c r="J4804" i="3"/>
  <c r="J4803" i="3"/>
  <c r="J4802" i="3"/>
  <c r="J4801" i="3"/>
  <c r="J4800" i="3"/>
  <c r="J4799" i="3"/>
  <c r="J4798" i="3"/>
  <c r="J4797" i="3"/>
  <c r="J4796" i="3"/>
  <c r="J4795" i="3"/>
  <c r="J4794" i="3"/>
  <c r="J4793" i="3"/>
  <c r="J4792" i="3"/>
  <c r="J4791" i="3"/>
  <c r="J4790" i="3"/>
  <c r="J4789" i="3"/>
  <c r="J4788" i="3"/>
  <c r="J4787" i="3"/>
  <c r="J4786" i="3"/>
  <c r="J4785" i="3"/>
  <c r="J4784" i="3"/>
  <c r="J4783" i="3"/>
  <c r="J4782" i="3"/>
  <c r="J4781" i="3"/>
  <c r="J4780" i="3"/>
  <c r="J4779" i="3"/>
  <c r="J4778" i="3"/>
  <c r="J4777" i="3"/>
  <c r="J4776" i="3"/>
  <c r="J4775" i="3"/>
  <c r="J4774" i="3"/>
  <c r="J4773" i="3"/>
  <c r="J4772" i="3"/>
  <c r="J4771" i="3"/>
  <c r="J4770" i="3"/>
  <c r="J4769" i="3"/>
  <c r="J4768" i="3"/>
  <c r="J4767" i="3"/>
  <c r="J4766" i="3"/>
  <c r="J4765" i="3"/>
  <c r="J4764" i="3"/>
  <c r="J4763" i="3"/>
  <c r="J4762" i="3"/>
  <c r="J4761" i="3"/>
  <c r="J4760" i="3"/>
  <c r="J4759" i="3"/>
  <c r="J4758" i="3"/>
  <c r="J4757" i="3"/>
  <c r="J4756" i="3"/>
  <c r="J4755" i="3"/>
  <c r="J4754" i="3"/>
  <c r="J4753" i="3"/>
  <c r="J4752" i="3"/>
  <c r="J4751" i="3"/>
  <c r="J4750" i="3"/>
  <c r="J4749" i="3"/>
  <c r="J4748" i="3"/>
  <c r="J4747" i="3"/>
  <c r="J4746" i="3"/>
  <c r="J4745" i="3"/>
  <c r="J4744" i="3"/>
  <c r="J4743" i="3"/>
  <c r="J4742" i="3"/>
  <c r="J4741" i="3"/>
  <c r="J4740" i="3"/>
  <c r="J4739" i="3"/>
  <c r="J4738" i="3"/>
  <c r="J4737" i="3"/>
  <c r="J4736" i="3"/>
  <c r="J4735" i="3"/>
  <c r="J4734" i="3"/>
  <c r="J4733" i="3"/>
  <c r="J4732" i="3"/>
  <c r="J4731" i="3"/>
  <c r="J4730" i="3"/>
  <c r="J4729" i="3"/>
  <c r="J4728" i="3"/>
  <c r="J4727" i="3"/>
  <c r="J4726" i="3"/>
  <c r="J4725" i="3"/>
  <c r="J4724" i="3"/>
  <c r="J4723" i="3"/>
  <c r="J4722" i="3"/>
  <c r="J4721" i="3"/>
  <c r="J4720" i="3"/>
  <c r="J4719" i="3"/>
  <c r="J4718" i="3"/>
  <c r="J4717" i="3"/>
  <c r="J4716" i="3"/>
  <c r="J4715" i="3"/>
  <c r="J4714" i="3"/>
  <c r="J4713" i="3"/>
  <c r="J4712" i="3"/>
  <c r="J4711" i="3"/>
  <c r="J4710" i="3"/>
  <c r="J4709" i="3"/>
  <c r="J4708" i="3"/>
  <c r="J4707" i="3"/>
  <c r="J4706" i="3"/>
  <c r="J4705" i="3"/>
  <c r="J4704" i="3"/>
  <c r="J4703" i="3"/>
  <c r="J4702" i="3"/>
  <c r="J4701" i="3"/>
  <c r="J4700" i="3"/>
  <c r="J4699" i="3"/>
  <c r="J4698" i="3"/>
  <c r="J4697" i="3"/>
  <c r="J4696" i="3"/>
  <c r="J4695" i="3"/>
  <c r="J4694" i="3"/>
  <c r="J4693" i="3"/>
  <c r="J4692" i="3"/>
  <c r="J4691" i="3"/>
  <c r="J4690" i="3"/>
  <c r="J4689" i="3"/>
  <c r="J4688" i="3"/>
  <c r="J4687" i="3"/>
  <c r="J4686" i="3"/>
  <c r="J4685" i="3"/>
  <c r="J4684" i="3"/>
  <c r="J4683" i="3"/>
  <c r="J4682" i="3"/>
  <c r="J4681" i="3"/>
  <c r="J4680" i="3"/>
  <c r="J4679" i="3"/>
  <c r="J4678" i="3"/>
  <c r="J4677" i="3"/>
  <c r="J4676" i="3"/>
  <c r="J4675" i="3"/>
  <c r="J4674" i="3"/>
  <c r="J4673" i="3"/>
  <c r="J4672" i="3"/>
  <c r="J4671" i="3"/>
  <c r="J4670" i="3"/>
  <c r="J4669" i="3"/>
  <c r="J4668" i="3"/>
  <c r="J4667" i="3"/>
  <c r="J4666" i="3"/>
  <c r="J4665" i="3"/>
  <c r="J4664" i="3"/>
  <c r="J4663" i="3"/>
  <c r="J4662" i="3"/>
  <c r="J4661" i="3"/>
  <c r="J4660" i="3"/>
  <c r="J4659" i="3"/>
  <c r="J4658" i="3"/>
  <c r="J4657" i="3"/>
  <c r="J4656" i="3"/>
  <c r="J4655" i="3"/>
  <c r="J4654" i="3"/>
  <c r="J4653" i="3"/>
  <c r="J4652" i="3"/>
  <c r="J4651" i="3"/>
  <c r="J4650" i="3"/>
  <c r="J4649" i="3"/>
  <c r="J4648" i="3"/>
  <c r="J4647" i="3"/>
  <c r="J4646" i="3"/>
  <c r="J4645" i="3"/>
  <c r="J4644" i="3"/>
  <c r="J4643" i="3"/>
  <c r="J4642" i="3"/>
  <c r="J4641" i="3"/>
  <c r="J4640" i="3"/>
  <c r="J4639" i="3"/>
  <c r="J4638" i="3"/>
  <c r="J4637" i="3"/>
  <c r="J4636" i="3"/>
  <c r="J4635" i="3"/>
  <c r="J4634" i="3"/>
  <c r="J4633" i="3"/>
  <c r="J4632" i="3"/>
  <c r="J4631" i="3"/>
  <c r="J4630" i="3"/>
  <c r="J4629" i="3"/>
  <c r="J4628" i="3"/>
  <c r="J4627" i="3"/>
  <c r="J4626" i="3"/>
  <c r="J4625" i="3"/>
  <c r="J4624" i="3"/>
  <c r="J4623" i="3"/>
  <c r="J4622" i="3"/>
  <c r="J4621" i="3"/>
  <c r="J4620" i="3"/>
  <c r="J4619" i="3"/>
  <c r="J4618" i="3"/>
  <c r="J4617" i="3"/>
  <c r="J4616" i="3"/>
  <c r="J4615" i="3"/>
  <c r="J4614" i="3"/>
  <c r="J4613" i="3"/>
  <c r="J4612" i="3"/>
  <c r="J4611" i="3"/>
  <c r="J4610" i="3"/>
  <c r="J4609" i="3"/>
  <c r="J4608" i="3"/>
  <c r="J4607" i="3"/>
  <c r="J4606" i="3"/>
  <c r="J4605" i="3"/>
  <c r="J4604" i="3"/>
  <c r="J4603" i="3"/>
  <c r="J4602" i="3"/>
  <c r="J4601" i="3"/>
  <c r="J4600" i="3"/>
  <c r="J4599" i="3"/>
  <c r="J4598" i="3"/>
  <c r="J4597" i="3"/>
  <c r="J4596" i="3"/>
  <c r="J4595" i="3"/>
  <c r="J4594" i="3"/>
  <c r="J4593" i="3"/>
  <c r="J4592" i="3"/>
  <c r="J4591" i="3"/>
  <c r="J4590" i="3"/>
  <c r="J4589" i="3"/>
  <c r="J4588" i="3"/>
  <c r="J4587" i="3"/>
  <c r="J4586" i="3"/>
  <c r="J4585" i="3"/>
  <c r="J4584" i="3"/>
  <c r="J4583" i="3"/>
  <c r="J4582" i="3"/>
  <c r="J4581" i="3"/>
  <c r="J4580" i="3"/>
  <c r="J4579" i="3"/>
  <c r="J4578" i="3"/>
  <c r="J4577" i="3"/>
  <c r="J4576" i="3"/>
  <c r="J4575" i="3"/>
  <c r="J4574" i="3"/>
  <c r="J4573" i="3"/>
  <c r="J4572" i="3"/>
  <c r="J4571" i="3"/>
  <c r="J4570" i="3"/>
  <c r="J4569" i="3"/>
  <c r="J4568" i="3"/>
  <c r="J4567" i="3"/>
  <c r="J4566" i="3"/>
  <c r="J4565" i="3"/>
  <c r="J4564" i="3"/>
  <c r="J4563" i="3"/>
  <c r="J4562" i="3"/>
  <c r="J4561" i="3"/>
  <c r="J4560" i="3"/>
  <c r="J4559" i="3"/>
  <c r="J4558" i="3"/>
  <c r="J4557" i="3"/>
  <c r="J4556" i="3"/>
  <c r="J4555" i="3"/>
  <c r="J4554" i="3"/>
  <c r="J4553" i="3"/>
  <c r="J4552" i="3"/>
  <c r="J4551" i="3"/>
  <c r="J4550" i="3"/>
  <c r="J4549" i="3"/>
  <c r="J4548" i="3"/>
  <c r="J4547" i="3"/>
  <c r="J4546" i="3"/>
  <c r="J4545" i="3"/>
  <c r="J4544" i="3"/>
  <c r="J4543" i="3"/>
  <c r="J4542" i="3"/>
  <c r="J4541" i="3"/>
  <c r="J4540" i="3"/>
  <c r="J4539" i="3"/>
  <c r="J4538" i="3"/>
  <c r="J4537" i="3"/>
  <c r="J4536" i="3"/>
  <c r="J4535" i="3"/>
  <c r="J4534" i="3"/>
  <c r="J4533" i="3"/>
  <c r="J4532" i="3"/>
  <c r="J4531" i="3"/>
  <c r="J4530" i="3"/>
  <c r="J4529" i="3"/>
  <c r="J4528" i="3"/>
  <c r="J4527" i="3"/>
  <c r="J4526" i="3"/>
  <c r="J4525" i="3"/>
  <c r="J4524" i="3"/>
  <c r="J4523" i="3"/>
  <c r="J4522" i="3"/>
  <c r="J4521" i="3"/>
  <c r="J4520" i="3"/>
  <c r="J4519" i="3"/>
  <c r="J4518" i="3"/>
  <c r="J4517" i="3"/>
  <c r="J4516" i="3"/>
  <c r="J4515" i="3"/>
  <c r="J4514" i="3"/>
  <c r="J4513" i="3"/>
  <c r="J4512" i="3"/>
  <c r="J4511" i="3"/>
  <c r="J4510" i="3"/>
  <c r="J4509" i="3"/>
  <c r="J4508" i="3"/>
  <c r="J4507" i="3"/>
  <c r="J4506" i="3"/>
  <c r="J4505" i="3"/>
  <c r="J4504" i="3"/>
  <c r="J4503" i="3"/>
  <c r="J4502" i="3"/>
  <c r="J4501" i="3"/>
  <c r="J4500" i="3"/>
  <c r="J4499" i="3"/>
  <c r="J4498" i="3"/>
  <c r="J4497" i="3"/>
  <c r="J4496" i="3"/>
  <c r="J4495" i="3"/>
  <c r="J4494" i="3"/>
  <c r="J4493" i="3"/>
  <c r="J4492" i="3"/>
  <c r="J4491" i="3"/>
  <c r="J4490" i="3"/>
  <c r="J4489" i="3"/>
  <c r="J4488" i="3"/>
  <c r="J4487" i="3"/>
  <c r="J4486" i="3"/>
  <c r="J4485" i="3"/>
  <c r="J4484" i="3"/>
  <c r="J4483" i="3"/>
  <c r="J4482" i="3"/>
  <c r="J4481" i="3"/>
  <c r="J4480" i="3"/>
  <c r="J4479" i="3"/>
  <c r="J4478" i="3"/>
  <c r="J4477" i="3"/>
  <c r="J4476" i="3"/>
  <c r="J4475" i="3"/>
  <c r="J4474" i="3"/>
  <c r="J4473" i="3"/>
  <c r="J4472" i="3"/>
  <c r="J4471" i="3"/>
  <c r="J4470" i="3"/>
  <c r="J4469" i="3"/>
  <c r="J4468" i="3"/>
  <c r="J4467" i="3"/>
  <c r="J4466" i="3"/>
  <c r="J4465" i="3"/>
  <c r="J4464" i="3"/>
  <c r="J4463" i="3"/>
  <c r="J4462" i="3"/>
  <c r="J4461" i="3"/>
  <c r="J4460" i="3"/>
  <c r="J4459" i="3"/>
  <c r="J4458" i="3"/>
  <c r="J4457" i="3"/>
  <c r="J4456" i="3"/>
  <c r="J4455" i="3"/>
  <c r="J4454" i="3"/>
  <c r="J4453" i="3"/>
  <c r="J4452" i="3"/>
  <c r="J4451" i="3"/>
  <c r="J4450" i="3"/>
  <c r="J4449" i="3"/>
  <c r="J4448" i="3"/>
  <c r="J4447" i="3"/>
  <c r="J4446" i="3"/>
  <c r="J4445" i="3"/>
  <c r="J4444" i="3"/>
  <c r="J4443" i="3"/>
  <c r="J4442" i="3"/>
  <c r="J4441" i="3"/>
  <c r="J4440" i="3"/>
  <c r="J4439" i="3"/>
  <c r="J4438" i="3"/>
  <c r="J4437" i="3"/>
  <c r="J4436" i="3"/>
  <c r="J4435" i="3"/>
  <c r="J4434" i="3"/>
  <c r="J4433" i="3"/>
  <c r="J4432" i="3"/>
  <c r="J4431" i="3"/>
  <c r="J4430" i="3"/>
  <c r="J4429" i="3"/>
  <c r="J4428" i="3"/>
  <c r="J4427" i="3"/>
  <c r="J4426" i="3"/>
  <c r="J4425" i="3"/>
  <c r="J4424" i="3"/>
  <c r="J4423" i="3"/>
  <c r="J4422" i="3"/>
  <c r="J4421" i="3"/>
  <c r="J4420" i="3"/>
  <c r="J4419" i="3"/>
  <c r="J4418" i="3"/>
  <c r="J4417" i="3"/>
  <c r="J4416" i="3"/>
  <c r="J4415" i="3"/>
  <c r="J4414" i="3"/>
  <c r="J4413" i="3"/>
  <c r="J4412" i="3"/>
  <c r="J4411" i="3"/>
  <c r="J4410" i="3"/>
  <c r="J4409" i="3"/>
  <c r="J4408" i="3"/>
  <c r="J4407" i="3"/>
  <c r="J4406" i="3"/>
  <c r="J4405" i="3"/>
  <c r="J4404" i="3"/>
  <c r="J4403" i="3"/>
  <c r="J4402" i="3"/>
  <c r="J4401" i="3"/>
  <c r="J4400" i="3"/>
  <c r="J4399" i="3"/>
  <c r="J4398" i="3"/>
  <c r="J4397" i="3"/>
  <c r="J4396" i="3"/>
  <c r="J4395" i="3"/>
  <c r="J4394" i="3"/>
  <c r="J4393" i="3"/>
  <c r="J4392" i="3"/>
  <c r="J4391" i="3"/>
  <c r="J4390" i="3"/>
  <c r="J4389" i="3"/>
  <c r="J4388" i="3"/>
  <c r="J4387" i="3"/>
  <c r="J4386" i="3"/>
  <c r="J4385" i="3"/>
  <c r="J4384" i="3"/>
  <c r="J4383" i="3"/>
  <c r="J4382" i="3"/>
  <c r="J4381" i="3"/>
  <c r="J4380" i="3"/>
  <c r="J4379" i="3"/>
  <c r="J4378" i="3"/>
  <c r="J4377" i="3"/>
  <c r="J4376" i="3"/>
  <c r="J4375" i="3"/>
  <c r="J4374" i="3"/>
  <c r="J4373" i="3"/>
  <c r="J4372" i="3"/>
  <c r="J4371" i="3"/>
  <c r="J4370" i="3"/>
  <c r="J4369" i="3"/>
  <c r="J4368" i="3"/>
  <c r="J4367" i="3"/>
  <c r="J4366" i="3"/>
  <c r="J4365" i="3"/>
  <c r="J4364" i="3"/>
  <c r="J4363" i="3"/>
  <c r="J4362" i="3"/>
  <c r="J4361" i="3"/>
  <c r="J4360" i="3"/>
  <c r="J4359" i="3"/>
  <c r="J4358" i="3"/>
  <c r="J4357" i="3"/>
  <c r="J4356" i="3"/>
  <c r="J4355" i="3"/>
  <c r="J4354" i="3"/>
  <c r="J4353" i="3"/>
  <c r="J4352" i="3"/>
  <c r="J4351" i="3"/>
  <c r="J4350" i="3"/>
  <c r="J4349" i="3"/>
  <c r="J4348" i="3"/>
  <c r="J4347" i="3"/>
  <c r="J4346" i="3"/>
  <c r="J4345" i="3"/>
  <c r="J4344" i="3"/>
  <c r="J4343" i="3"/>
  <c r="J4342" i="3"/>
  <c r="J4341" i="3"/>
  <c r="J4340" i="3"/>
  <c r="J4339" i="3"/>
  <c r="J4338" i="3"/>
  <c r="J4337" i="3"/>
  <c r="J4336" i="3"/>
  <c r="J4335" i="3"/>
  <c r="J4334" i="3"/>
  <c r="J4333" i="3"/>
  <c r="J4332" i="3"/>
  <c r="J4331" i="3"/>
  <c r="J4330" i="3"/>
  <c r="J4329" i="3"/>
  <c r="J4328" i="3"/>
  <c r="J4327" i="3"/>
  <c r="J4326" i="3"/>
  <c r="J4325" i="3"/>
  <c r="J4324" i="3"/>
  <c r="J4323" i="3"/>
  <c r="J4322" i="3"/>
  <c r="J4321" i="3"/>
  <c r="J4320" i="3"/>
  <c r="J4319" i="3"/>
  <c r="J4318" i="3"/>
  <c r="J4317" i="3"/>
  <c r="J4316" i="3"/>
  <c r="J4315" i="3"/>
  <c r="J4314" i="3"/>
  <c r="J4313" i="3"/>
  <c r="J4312" i="3"/>
  <c r="J4311" i="3"/>
  <c r="J4310" i="3"/>
  <c r="J4309" i="3"/>
  <c r="J4308" i="3"/>
  <c r="J4307" i="3"/>
  <c r="J4306" i="3"/>
  <c r="J4305" i="3"/>
  <c r="J4304" i="3"/>
  <c r="J4303" i="3"/>
  <c r="J4302" i="3"/>
  <c r="J4301" i="3"/>
  <c r="J4300" i="3"/>
  <c r="J4299" i="3"/>
  <c r="J4298" i="3"/>
  <c r="J4297" i="3"/>
  <c r="J4296" i="3"/>
  <c r="J4295" i="3"/>
  <c r="J4294" i="3"/>
  <c r="J4293" i="3"/>
  <c r="J4292" i="3"/>
  <c r="J4291" i="3"/>
  <c r="J4290" i="3"/>
  <c r="J4289" i="3"/>
  <c r="J4288" i="3"/>
  <c r="J4287" i="3"/>
  <c r="J4286" i="3"/>
  <c r="J4285" i="3"/>
  <c r="J4284" i="3"/>
  <c r="J4283" i="3"/>
  <c r="J4282" i="3"/>
  <c r="J4281" i="3"/>
  <c r="J4280" i="3"/>
  <c r="J4279" i="3"/>
  <c r="J4278" i="3"/>
  <c r="J4277" i="3"/>
  <c r="J4276" i="3"/>
  <c r="J4275" i="3"/>
  <c r="J4274" i="3"/>
  <c r="J4273" i="3"/>
  <c r="J4272" i="3"/>
  <c r="J4271" i="3"/>
  <c r="J4270" i="3"/>
  <c r="J4269" i="3"/>
  <c r="J4268" i="3"/>
  <c r="J4267" i="3"/>
  <c r="J4266" i="3"/>
  <c r="J4265" i="3"/>
  <c r="J4264" i="3"/>
  <c r="J4263" i="3"/>
  <c r="J4262" i="3"/>
  <c r="J4261" i="3"/>
  <c r="J4260" i="3"/>
  <c r="J4259" i="3"/>
  <c r="J4258" i="3"/>
  <c r="J4257" i="3"/>
  <c r="J4256" i="3"/>
  <c r="J4255" i="3"/>
  <c r="J4254" i="3"/>
  <c r="J4253" i="3"/>
  <c r="J4252" i="3"/>
  <c r="J4251" i="3"/>
  <c r="J4250" i="3"/>
  <c r="J4249" i="3"/>
  <c r="J4248" i="3"/>
  <c r="J4247" i="3"/>
  <c r="J4246" i="3"/>
  <c r="J4245" i="3"/>
  <c r="J4244" i="3"/>
  <c r="J4243" i="3"/>
  <c r="J4242" i="3"/>
  <c r="J4241" i="3"/>
  <c r="J4240" i="3"/>
  <c r="J4239" i="3"/>
  <c r="J4238" i="3"/>
  <c r="J4237" i="3"/>
  <c r="J4236" i="3"/>
  <c r="J4235" i="3"/>
  <c r="J4234" i="3"/>
  <c r="J4233" i="3"/>
  <c r="J4232" i="3"/>
  <c r="J4231" i="3"/>
  <c r="J4230" i="3"/>
  <c r="J4229" i="3"/>
  <c r="J4228" i="3"/>
  <c r="J4227" i="3"/>
  <c r="J4226" i="3"/>
  <c r="J4225" i="3"/>
  <c r="J4224" i="3"/>
  <c r="J4223" i="3"/>
  <c r="J4222" i="3"/>
  <c r="J4221" i="3"/>
  <c r="J4220" i="3"/>
  <c r="J4219" i="3"/>
  <c r="J4218" i="3"/>
  <c r="J4217" i="3"/>
  <c r="J4216" i="3"/>
  <c r="J4215" i="3"/>
  <c r="J4214" i="3"/>
  <c r="J4213" i="3"/>
  <c r="J4212" i="3"/>
  <c r="J4211" i="3"/>
  <c r="J4210" i="3"/>
  <c r="J4209" i="3"/>
  <c r="J4208" i="3"/>
  <c r="J4207" i="3"/>
  <c r="J4206" i="3"/>
  <c r="J4205" i="3"/>
  <c r="J4204" i="3"/>
  <c r="J4203" i="3"/>
  <c r="J4202" i="3"/>
  <c r="J4201" i="3"/>
  <c r="J4200" i="3"/>
  <c r="J4199" i="3"/>
  <c r="J4198" i="3"/>
  <c r="J4197" i="3"/>
  <c r="J4196" i="3"/>
  <c r="J4195" i="3"/>
  <c r="J4194" i="3"/>
  <c r="J4193" i="3"/>
  <c r="J4192" i="3"/>
  <c r="J4191" i="3"/>
  <c r="J4190" i="3"/>
  <c r="J4189" i="3"/>
  <c r="J4188" i="3"/>
  <c r="J4187" i="3"/>
  <c r="J4186" i="3"/>
  <c r="J4185" i="3"/>
  <c r="J4184" i="3"/>
  <c r="J4183" i="3"/>
  <c r="J4182" i="3"/>
  <c r="J4181" i="3"/>
  <c r="J4180" i="3"/>
  <c r="J4179" i="3"/>
  <c r="J4178" i="3"/>
  <c r="J4177" i="3"/>
  <c r="J4176" i="3"/>
  <c r="J4175" i="3"/>
  <c r="J4174" i="3"/>
  <c r="J4173" i="3"/>
  <c r="J4172" i="3"/>
  <c r="J4171" i="3"/>
  <c r="J4170" i="3"/>
  <c r="J4169" i="3"/>
  <c r="J4168" i="3"/>
  <c r="J4167" i="3"/>
  <c r="J4166" i="3"/>
  <c r="J4165" i="3"/>
  <c r="J4164" i="3"/>
  <c r="J4163" i="3"/>
  <c r="J4162" i="3"/>
  <c r="J4161" i="3"/>
  <c r="J4160" i="3"/>
  <c r="J4159" i="3"/>
  <c r="J4158" i="3"/>
  <c r="J4157" i="3"/>
  <c r="J4156" i="3"/>
  <c r="J4155" i="3"/>
  <c r="J4154" i="3"/>
  <c r="J4153" i="3"/>
  <c r="J4152" i="3"/>
  <c r="J4151" i="3"/>
  <c r="J4150" i="3"/>
  <c r="J4149" i="3"/>
  <c r="J4148" i="3"/>
  <c r="J4147" i="3"/>
  <c r="J4146" i="3"/>
  <c r="J4145" i="3"/>
  <c r="J4144" i="3"/>
  <c r="J4143" i="3"/>
  <c r="J4142" i="3"/>
  <c r="J4141" i="3"/>
  <c r="J4140" i="3"/>
  <c r="J4139" i="3"/>
  <c r="J4138" i="3"/>
  <c r="J4137" i="3"/>
  <c r="J4136" i="3"/>
  <c r="J4135" i="3"/>
  <c r="J4134" i="3"/>
  <c r="J4133" i="3"/>
  <c r="J4132" i="3"/>
  <c r="J4131" i="3"/>
  <c r="J4130" i="3"/>
  <c r="J4129" i="3"/>
  <c r="J4128" i="3"/>
  <c r="J4127" i="3"/>
  <c r="J4126" i="3"/>
  <c r="J4125" i="3"/>
  <c r="J4124" i="3"/>
  <c r="J4123" i="3"/>
  <c r="J4122" i="3"/>
  <c r="J4121" i="3"/>
  <c r="J4120" i="3"/>
  <c r="J4119" i="3"/>
  <c r="J4118" i="3"/>
  <c r="J4117" i="3"/>
  <c r="J4116" i="3"/>
  <c r="J4115" i="3"/>
  <c r="J4114" i="3"/>
  <c r="J4113" i="3"/>
  <c r="J4112" i="3"/>
  <c r="J4111" i="3"/>
  <c r="J4110" i="3"/>
  <c r="J4109" i="3"/>
  <c r="J4108" i="3"/>
  <c r="J4107" i="3"/>
  <c r="J4106" i="3"/>
  <c r="J4105" i="3"/>
  <c r="J4104" i="3"/>
  <c r="J4103" i="3"/>
  <c r="J4102" i="3"/>
  <c r="J4101" i="3"/>
  <c r="J4100" i="3"/>
  <c r="J4099" i="3"/>
  <c r="J4098" i="3"/>
  <c r="J4097" i="3"/>
  <c r="J4096" i="3"/>
  <c r="J4095" i="3"/>
  <c r="J4094" i="3"/>
  <c r="J4093" i="3"/>
  <c r="J4092" i="3"/>
  <c r="J4091" i="3"/>
  <c r="J4090" i="3"/>
  <c r="J4089" i="3"/>
  <c r="J4088" i="3"/>
  <c r="J4087" i="3"/>
  <c r="J4086" i="3"/>
  <c r="J4085" i="3"/>
  <c r="J4084" i="3"/>
  <c r="J4083" i="3"/>
  <c r="J4082" i="3"/>
  <c r="J4081" i="3"/>
  <c r="J4080" i="3"/>
  <c r="J4079" i="3"/>
  <c r="J4078" i="3"/>
  <c r="J4077" i="3"/>
  <c r="J4076" i="3"/>
  <c r="J4075" i="3"/>
  <c r="J4074" i="3"/>
  <c r="J4073" i="3"/>
  <c r="J4072" i="3"/>
  <c r="J4071" i="3"/>
  <c r="J4070" i="3"/>
  <c r="J4069" i="3"/>
  <c r="J4068" i="3"/>
  <c r="J4067" i="3"/>
  <c r="J4066" i="3"/>
  <c r="J4065" i="3"/>
  <c r="J4064" i="3"/>
  <c r="J4063" i="3"/>
  <c r="J4062" i="3"/>
  <c r="J4061" i="3"/>
  <c r="J4060" i="3"/>
  <c r="J4059" i="3"/>
  <c r="J4058" i="3"/>
  <c r="J4057" i="3"/>
  <c r="J4056" i="3"/>
  <c r="J4055" i="3"/>
  <c r="J4054" i="3"/>
  <c r="J4053" i="3"/>
  <c r="J4052" i="3"/>
  <c r="J4051" i="3"/>
  <c r="J4050" i="3"/>
  <c r="J4049" i="3"/>
  <c r="J4048" i="3"/>
  <c r="J4047" i="3"/>
  <c r="J4046" i="3"/>
  <c r="J4045" i="3"/>
  <c r="J4044" i="3"/>
  <c r="J4043" i="3"/>
  <c r="J4042" i="3"/>
  <c r="J4041" i="3"/>
  <c r="J4040" i="3"/>
  <c r="J4039" i="3"/>
  <c r="J4038" i="3"/>
  <c r="J4037" i="3"/>
  <c r="J4036" i="3"/>
  <c r="J4035" i="3"/>
  <c r="J4034" i="3"/>
  <c r="J4033" i="3"/>
  <c r="J4032" i="3"/>
  <c r="J4031" i="3"/>
  <c r="J4030" i="3"/>
  <c r="J4029" i="3"/>
  <c r="J4028" i="3"/>
  <c r="J4027" i="3"/>
  <c r="J4026" i="3"/>
  <c r="J4025" i="3"/>
  <c r="J4024" i="3"/>
  <c r="J4023" i="3"/>
  <c r="J4022" i="3"/>
  <c r="J4021" i="3"/>
  <c r="J4020" i="3"/>
  <c r="J4019" i="3"/>
  <c r="J4018" i="3"/>
  <c r="J4017" i="3"/>
  <c r="J4016" i="3"/>
  <c r="J4015" i="3"/>
  <c r="J4014" i="3"/>
  <c r="J4013" i="3"/>
  <c r="J4012" i="3"/>
  <c r="J4011" i="3"/>
  <c r="J4010" i="3"/>
  <c r="J4009" i="3"/>
  <c r="J4008" i="3"/>
  <c r="J4007" i="3"/>
  <c r="J4006" i="3"/>
  <c r="J4005" i="3"/>
  <c r="J4004" i="3"/>
  <c r="J4003" i="3"/>
  <c r="J4002" i="3"/>
  <c r="J4001" i="3"/>
  <c r="J4000" i="3"/>
  <c r="J3999" i="3"/>
  <c r="J3998" i="3"/>
  <c r="J3997" i="3"/>
  <c r="J3996" i="3"/>
  <c r="J3995" i="3"/>
  <c r="J3994" i="3"/>
  <c r="J3993" i="3"/>
  <c r="J3992" i="3"/>
  <c r="J3991" i="3"/>
  <c r="J3990" i="3"/>
  <c r="J3989" i="3"/>
  <c r="J3988" i="3"/>
  <c r="J3987" i="3"/>
  <c r="J3986" i="3"/>
  <c r="J3985" i="3"/>
  <c r="J3984" i="3"/>
  <c r="J3983" i="3"/>
  <c r="J3982" i="3"/>
  <c r="J3981" i="3"/>
  <c r="J3980" i="3"/>
  <c r="J3979" i="3"/>
  <c r="J3978" i="3"/>
  <c r="J3977" i="3"/>
  <c r="J3976" i="3"/>
  <c r="J3975" i="3"/>
  <c r="J3974" i="3"/>
  <c r="J3973" i="3"/>
  <c r="J3972" i="3"/>
  <c r="J3971" i="3"/>
  <c r="J3970" i="3"/>
  <c r="J3969" i="3"/>
  <c r="J3968" i="3"/>
  <c r="J3967" i="3"/>
  <c r="J3966" i="3"/>
  <c r="J3965" i="3"/>
  <c r="J3964" i="3"/>
  <c r="J3963" i="3"/>
  <c r="J3962" i="3"/>
  <c r="J3961" i="3"/>
  <c r="J3960" i="3"/>
  <c r="J3959" i="3"/>
  <c r="J3958" i="3"/>
  <c r="J3957" i="3"/>
  <c r="J3956" i="3"/>
  <c r="J3955" i="3"/>
  <c r="J3954" i="3"/>
  <c r="J3953" i="3"/>
  <c r="J3952" i="3"/>
  <c r="J3951" i="3"/>
  <c r="J3950" i="3"/>
  <c r="J3949" i="3"/>
  <c r="J3948" i="3"/>
  <c r="J3947" i="3"/>
  <c r="J3946" i="3"/>
  <c r="J3945" i="3"/>
  <c r="J3944" i="3"/>
  <c r="J3943" i="3"/>
  <c r="J3942" i="3"/>
  <c r="J3941" i="3"/>
  <c r="J3940" i="3"/>
  <c r="J3939" i="3"/>
  <c r="J3938" i="3"/>
  <c r="J3937" i="3"/>
  <c r="J3936" i="3"/>
  <c r="J3935" i="3"/>
  <c r="J3934" i="3"/>
  <c r="J3933" i="3"/>
  <c r="J3932" i="3"/>
  <c r="J3931" i="3"/>
  <c r="J3930" i="3"/>
  <c r="J3929" i="3"/>
  <c r="J3928" i="3"/>
  <c r="J3927" i="3"/>
  <c r="J3926" i="3"/>
  <c r="J3925" i="3"/>
  <c r="J3924" i="3"/>
  <c r="J3923" i="3"/>
  <c r="J3922" i="3"/>
  <c r="J3921" i="3"/>
  <c r="J3920" i="3"/>
  <c r="J3919" i="3"/>
  <c r="J3918" i="3"/>
  <c r="J3917" i="3"/>
  <c r="J3916" i="3"/>
  <c r="J3915" i="3"/>
  <c r="J3914" i="3"/>
  <c r="J3913" i="3"/>
  <c r="J3912" i="3"/>
  <c r="J3911" i="3"/>
  <c r="J3910" i="3"/>
  <c r="J3909" i="3"/>
  <c r="J3908" i="3"/>
  <c r="J3907" i="3"/>
  <c r="J3906" i="3"/>
  <c r="J3905" i="3"/>
  <c r="J3904" i="3"/>
  <c r="J3903" i="3"/>
  <c r="J3902" i="3"/>
  <c r="J3901" i="3"/>
  <c r="J3900" i="3"/>
  <c r="J3899" i="3"/>
  <c r="J3898" i="3"/>
  <c r="J3897" i="3"/>
  <c r="J3896" i="3"/>
  <c r="J3895" i="3"/>
  <c r="J3894" i="3"/>
  <c r="J3893" i="3"/>
  <c r="J3892" i="3"/>
  <c r="J3891" i="3"/>
  <c r="J3890" i="3"/>
  <c r="J3889" i="3"/>
  <c r="J3888" i="3"/>
  <c r="J3887" i="3"/>
  <c r="J3886" i="3"/>
  <c r="J3885" i="3"/>
  <c r="J3884" i="3"/>
  <c r="J3883" i="3"/>
  <c r="J3882" i="3"/>
  <c r="J3881" i="3"/>
  <c r="J3880" i="3"/>
  <c r="J3879" i="3"/>
  <c r="J3878" i="3"/>
  <c r="J3877" i="3"/>
  <c r="J3876" i="3"/>
  <c r="J3875" i="3"/>
  <c r="J3874" i="3"/>
  <c r="J3873" i="3"/>
  <c r="J3872" i="3"/>
  <c r="J3871" i="3"/>
  <c r="J3870" i="3"/>
  <c r="J3869" i="3"/>
  <c r="J3868" i="3"/>
  <c r="J3867" i="3"/>
  <c r="J3866" i="3"/>
  <c r="J3865" i="3"/>
  <c r="J3864" i="3"/>
  <c r="J3863" i="3"/>
  <c r="J3862" i="3"/>
  <c r="J3861" i="3"/>
  <c r="J3860" i="3"/>
  <c r="J3859" i="3"/>
  <c r="J3858" i="3"/>
  <c r="J3857" i="3"/>
  <c r="J3856" i="3"/>
  <c r="J3855" i="3"/>
  <c r="J3854" i="3"/>
  <c r="J3853" i="3"/>
  <c r="J3852" i="3"/>
  <c r="J3851" i="3"/>
  <c r="J3850" i="3"/>
  <c r="J3849" i="3"/>
  <c r="J3848" i="3"/>
  <c r="J3847" i="3"/>
  <c r="J3846" i="3"/>
  <c r="J3845" i="3"/>
  <c r="J3844" i="3"/>
  <c r="J3843" i="3"/>
  <c r="J3842" i="3"/>
  <c r="J3841" i="3"/>
  <c r="J3840" i="3"/>
  <c r="J3839" i="3"/>
  <c r="J3838" i="3"/>
  <c r="J3837" i="3"/>
  <c r="J3836" i="3"/>
  <c r="J3835" i="3"/>
  <c r="J3834" i="3"/>
  <c r="J3833" i="3"/>
  <c r="J3832" i="3"/>
  <c r="J3831" i="3"/>
  <c r="J3830" i="3"/>
  <c r="J3829" i="3"/>
  <c r="J3828" i="3"/>
  <c r="J3827" i="3"/>
  <c r="J3826" i="3"/>
  <c r="J3825" i="3"/>
  <c r="J3824" i="3"/>
  <c r="J3823" i="3"/>
  <c r="J3822" i="3"/>
  <c r="J3821" i="3"/>
  <c r="J3820" i="3"/>
  <c r="J3819" i="3"/>
  <c r="J3818" i="3"/>
  <c r="J3817" i="3"/>
  <c r="J3816" i="3"/>
  <c r="J3815" i="3"/>
  <c r="J3814" i="3"/>
  <c r="J3813" i="3"/>
  <c r="J3812" i="3"/>
  <c r="J3811" i="3"/>
  <c r="J3810" i="3"/>
  <c r="J3809" i="3"/>
  <c r="J3808" i="3"/>
  <c r="J3807" i="3"/>
  <c r="J3806" i="3"/>
  <c r="J3805" i="3"/>
  <c r="J3804" i="3"/>
  <c r="J3803" i="3"/>
  <c r="J3802" i="3"/>
  <c r="J3801" i="3"/>
  <c r="J3800" i="3"/>
  <c r="J3799" i="3"/>
  <c r="J3798" i="3"/>
  <c r="J3797" i="3"/>
  <c r="J3796" i="3"/>
  <c r="J3795" i="3"/>
  <c r="J3794" i="3"/>
  <c r="J3793" i="3"/>
  <c r="J3792" i="3"/>
  <c r="J3791" i="3"/>
  <c r="J3790" i="3"/>
  <c r="J3789" i="3"/>
  <c r="J3788" i="3"/>
  <c r="J3787" i="3"/>
  <c r="J3786" i="3"/>
  <c r="J3785" i="3"/>
  <c r="J3784" i="3"/>
  <c r="J3783" i="3"/>
  <c r="J3782" i="3"/>
  <c r="J3781" i="3"/>
  <c r="J3780" i="3"/>
  <c r="J3779" i="3"/>
  <c r="J3778" i="3"/>
  <c r="J3777" i="3"/>
  <c r="J3776" i="3"/>
  <c r="J3775" i="3"/>
  <c r="J3774" i="3"/>
  <c r="J3773" i="3"/>
  <c r="J3772" i="3"/>
  <c r="J3771" i="3"/>
  <c r="J3770" i="3"/>
  <c r="J3769" i="3"/>
  <c r="J3768" i="3"/>
  <c r="J3767" i="3"/>
  <c r="J3766" i="3"/>
  <c r="J3765" i="3"/>
  <c r="J3764" i="3"/>
  <c r="J3763" i="3"/>
  <c r="J3762" i="3"/>
  <c r="J3761" i="3"/>
  <c r="J3760" i="3"/>
  <c r="J3759" i="3"/>
  <c r="J3758" i="3"/>
  <c r="J3757" i="3"/>
  <c r="J3756" i="3"/>
  <c r="J3755" i="3"/>
  <c r="J3754" i="3"/>
  <c r="J3753" i="3"/>
  <c r="J3752" i="3"/>
  <c r="J3751" i="3"/>
  <c r="J3750" i="3"/>
  <c r="J3749" i="3"/>
  <c r="J3748" i="3"/>
  <c r="J3747" i="3"/>
  <c r="J3746" i="3"/>
  <c r="J3745" i="3"/>
  <c r="J3744" i="3"/>
  <c r="J3743" i="3"/>
  <c r="J3742" i="3"/>
  <c r="J3741" i="3"/>
  <c r="J3740" i="3"/>
  <c r="J3739" i="3"/>
  <c r="J3738" i="3"/>
  <c r="J3737" i="3"/>
  <c r="J3736" i="3"/>
  <c r="J3735" i="3"/>
  <c r="J3734" i="3"/>
  <c r="J3733" i="3"/>
  <c r="J3732" i="3"/>
  <c r="J3731" i="3"/>
  <c r="J3730" i="3"/>
  <c r="J3729" i="3"/>
  <c r="J3728" i="3"/>
  <c r="J3727" i="3"/>
  <c r="J3726" i="3"/>
  <c r="J3725" i="3"/>
  <c r="J3724" i="3"/>
  <c r="J3723" i="3"/>
  <c r="J3722" i="3"/>
  <c r="J3721" i="3"/>
  <c r="J3720" i="3"/>
  <c r="J3719" i="3"/>
  <c r="J3718" i="3"/>
  <c r="J3717" i="3"/>
  <c r="J3716" i="3"/>
  <c r="J3715" i="3"/>
  <c r="J3714" i="3"/>
  <c r="J3713" i="3"/>
  <c r="J3712" i="3"/>
  <c r="J3711" i="3"/>
  <c r="J3710" i="3"/>
  <c r="J3709" i="3"/>
  <c r="J3708" i="3"/>
  <c r="J3707" i="3"/>
  <c r="J3706" i="3"/>
  <c r="J3705" i="3"/>
  <c r="J3704" i="3"/>
  <c r="J3703" i="3"/>
  <c r="J3702" i="3"/>
  <c r="J3701" i="3"/>
  <c r="J3700" i="3"/>
  <c r="J3699" i="3"/>
  <c r="J3698" i="3"/>
  <c r="J3697" i="3"/>
  <c r="J3696" i="3"/>
  <c r="J3695" i="3"/>
  <c r="J3694" i="3"/>
  <c r="J3693" i="3"/>
  <c r="J3692" i="3"/>
  <c r="J3691" i="3"/>
  <c r="J3690" i="3"/>
  <c r="J3689" i="3"/>
  <c r="J3688" i="3"/>
  <c r="J3687" i="3"/>
  <c r="J3686" i="3"/>
  <c r="J3685" i="3"/>
  <c r="J3684" i="3"/>
  <c r="J3683" i="3"/>
  <c r="J3682" i="3"/>
  <c r="J3681" i="3"/>
  <c r="J3680" i="3"/>
  <c r="J3679" i="3"/>
  <c r="J3678" i="3"/>
  <c r="J3677" i="3"/>
  <c r="J3676" i="3"/>
  <c r="J3675" i="3"/>
  <c r="J3674" i="3"/>
  <c r="J3673" i="3"/>
  <c r="J3672" i="3"/>
  <c r="J3671" i="3"/>
  <c r="J3670" i="3"/>
  <c r="J3669" i="3"/>
  <c r="J3668" i="3"/>
  <c r="J3667" i="3"/>
  <c r="J3666" i="3"/>
  <c r="J3665" i="3"/>
  <c r="J3664" i="3"/>
  <c r="J3663" i="3"/>
  <c r="J3662" i="3"/>
  <c r="J3661" i="3"/>
  <c r="J3660" i="3"/>
  <c r="J3659" i="3"/>
  <c r="J3658" i="3"/>
  <c r="J3657" i="3"/>
  <c r="J3656" i="3"/>
  <c r="J3655" i="3"/>
  <c r="J3654" i="3"/>
  <c r="J3653" i="3"/>
  <c r="J3652" i="3"/>
  <c r="J3651" i="3"/>
  <c r="J3650" i="3"/>
  <c r="J3649" i="3"/>
  <c r="J3648" i="3"/>
  <c r="J3647" i="3"/>
  <c r="J3646" i="3"/>
  <c r="J3645" i="3"/>
  <c r="J3644" i="3"/>
  <c r="J3643" i="3"/>
  <c r="J3642" i="3"/>
  <c r="J3641" i="3"/>
  <c r="J3640" i="3"/>
  <c r="J3639" i="3"/>
  <c r="J3638" i="3"/>
  <c r="J3637" i="3"/>
  <c r="J3636" i="3"/>
  <c r="J3635" i="3"/>
  <c r="J3634" i="3"/>
  <c r="J3633" i="3"/>
  <c r="J3632" i="3"/>
  <c r="J3631" i="3"/>
  <c r="J3630" i="3"/>
  <c r="J3629" i="3"/>
  <c r="J3628" i="3"/>
  <c r="J3627" i="3"/>
  <c r="J3626" i="3"/>
  <c r="J3625" i="3"/>
  <c r="J3624" i="3"/>
  <c r="J3623" i="3"/>
  <c r="J3622" i="3"/>
  <c r="J3621" i="3"/>
  <c r="J3620" i="3"/>
  <c r="J3619" i="3"/>
  <c r="J3618" i="3"/>
  <c r="J3617" i="3"/>
  <c r="J3616" i="3"/>
  <c r="J3615" i="3"/>
  <c r="J3614" i="3"/>
  <c r="J3613" i="3"/>
  <c r="J3612" i="3"/>
  <c r="J3611" i="3"/>
  <c r="J3610" i="3"/>
  <c r="J3609" i="3"/>
  <c r="J3608" i="3"/>
  <c r="J3607" i="3"/>
  <c r="J3606" i="3"/>
  <c r="J3605" i="3"/>
  <c r="J3604" i="3"/>
  <c r="J3603" i="3"/>
  <c r="J3602" i="3"/>
  <c r="J3601" i="3"/>
  <c r="J3600" i="3"/>
  <c r="J3599" i="3"/>
  <c r="J3598" i="3"/>
  <c r="J3597" i="3"/>
  <c r="J3596" i="3"/>
  <c r="J3595" i="3"/>
  <c r="J3594" i="3"/>
  <c r="J3593" i="3"/>
  <c r="J3592" i="3"/>
  <c r="J3591" i="3"/>
  <c r="J3590" i="3"/>
  <c r="J3589" i="3"/>
  <c r="J3588" i="3"/>
  <c r="J3587" i="3"/>
  <c r="J3586" i="3"/>
  <c r="J3585" i="3"/>
  <c r="J3584" i="3"/>
  <c r="J3583" i="3"/>
  <c r="J3582" i="3"/>
  <c r="J3581" i="3"/>
  <c r="J3580" i="3"/>
  <c r="J3579" i="3"/>
  <c r="J3578" i="3"/>
  <c r="J3577" i="3"/>
  <c r="J3576" i="3"/>
  <c r="J3575" i="3"/>
  <c r="J3574" i="3"/>
  <c r="J3573" i="3"/>
  <c r="J3572" i="3"/>
  <c r="J3571" i="3"/>
  <c r="J3570" i="3"/>
  <c r="J3569" i="3"/>
  <c r="J3568" i="3"/>
  <c r="J3567" i="3"/>
  <c r="J3566" i="3"/>
  <c r="J3565" i="3"/>
  <c r="J3564" i="3"/>
  <c r="J3563" i="3"/>
  <c r="J3562" i="3"/>
  <c r="J3561" i="3"/>
  <c r="J3560" i="3"/>
  <c r="J3559" i="3"/>
  <c r="J3558" i="3"/>
  <c r="J3557" i="3"/>
  <c r="J3556" i="3"/>
  <c r="J3555" i="3"/>
  <c r="J3554" i="3"/>
  <c r="J3553" i="3"/>
  <c r="J3552" i="3"/>
  <c r="J3551" i="3"/>
  <c r="J3550" i="3"/>
  <c r="J3549" i="3"/>
  <c r="J3548" i="3"/>
  <c r="J3547" i="3"/>
  <c r="J3546" i="3"/>
  <c r="J3545" i="3"/>
  <c r="J3544" i="3"/>
  <c r="J3543" i="3"/>
  <c r="J3542" i="3"/>
  <c r="J3541" i="3"/>
  <c r="J3540" i="3"/>
  <c r="J3539" i="3"/>
  <c r="J3538" i="3"/>
  <c r="J3537" i="3"/>
  <c r="J3536" i="3"/>
  <c r="J3535" i="3"/>
  <c r="J3534" i="3"/>
  <c r="J3533" i="3"/>
  <c r="J3532" i="3"/>
  <c r="J3531" i="3"/>
  <c r="J3530" i="3"/>
  <c r="J3529" i="3"/>
  <c r="J3528" i="3"/>
  <c r="J3527" i="3"/>
  <c r="J3526" i="3"/>
  <c r="J3525" i="3"/>
  <c r="J3524" i="3"/>
  <c r="J3523" i="3"/>
  <c r="J3522" i="3"/>
  <c r="J3521" i="3"/>
  <c r="J3520" i="3"/>
  <c r="J3519" i="3"/>
  <c r="J3518" i="3"/>
  <c r="J3517" i="3"/>
  <c r="J3516" i="3"/>
  <c r="J3515" i="3"/>
  <c r="J3514" i="3"/>
  <c r="J3513" i="3"/>
  <c r="J3512" i="3"/>
  <c r="J3511" i="3"/>
  <c r="J3510" i="3"/>
  <c r="J3509" i="3"/>
  <c r="J3508" i="3"/>
  <c r="J3507" i="3"/>
  <c r="J3506" i="3"/>
  <c r="J3505" i="3"/>
  <c r="J3504" i="3"/>
  <c r="J3503" i="3"/>
  <c r="J3502" i="3"/>
  <c r="J3501" i="3"/>
  <c r="J3500" i="3"/>
  <c r="J3499" i="3"/>
  <c r="J3498" i="3"/>
  <c r="J3497" i="3"/>
  <c r="J3496" i="3"/>
  <c r="J3495" i="3"/>
  <c r="J3494" i="3"/>
  <c r="J3493" i="3"/>
  <c r="J3492" i="3"/>
  <c r="J3491" i="3"/>
  <c r="J3490" i="3"/>
  <c r="J3489" i="3"/>
  <c r="J3488" i="3"/>
  <c r="J3487" i="3"/>
  <c r="J3486" i="3"/>
  <c r="J3485" i="3"/>
  <c r="J3484" i="3"/>
  <c r="J3483" i="3"/>
  <c r="J3482" i="3"/>
  <c r="J3481" i="3"/>
  <c r="J3480" i="3"/>
  <c r="J3479" i="3"/>
  <c r="J3478" i="3"/>
  <c r="J3477" i="3"/>
  <c r="J3476" i="3"/>
  <c r="J3475" i="3"/>
  <c r="J3474" i="3"/>
  <c r="J3473" i="3"/>
  <c r="J3472" i="3"/>
  <c r="J3471" i="3"/>
  <c r="J3470" i="3"/>
  <c r="J3469" i="3"/>
  <c r="J3468" i="3"/>
  <c r="J3467" i="3"/>
  <c r="J3466" i="3"/>
  <c r="J3465" i="3"/>
  <c r="J3464" i="3"/>
  <c r="J3463" i="3"/>
  <c r="J3462" i="3"/>
  <c r="J3461" i="3"/>
  <c r="J3460" i="3"/>
  <c r="J3459" i="3"/>
  <c r="J3458" i="3"/>
  <c r="J3457" i="3"/>
  <c r="J3456" i="3"/>
  <c r="J3455" i="3"/>
  <c r="J3454" i="3"/>
  <c r="J3453" i="3"/>
  <c r="J3452" i="3"/>
  <c r="J3451" i="3"/>
  <c r="J3450" i="3"/>
  <c r="J3449" i="3"/>
  <c r="J3448" i="3"/>
  <c r="J3447" i="3"/>
  <c r="J3446" i="3"/>
  <c r="J3445" i="3"/>
  <c r="J3444" i="3"/>
  <c r="J3443" i="3"/>
  <c r="J3442" i="3"/>
  <c r="J3441" i="3"/>
  <c r="J3440" i="3"/>
  <c r="J3439" i="3"/>
  <c r="J3438" i="3"/>
  <c r="J3437" i="3"/>
  <c r="J3436" i="3"/>
  <c r="J3435" i="3"/>
  <c r="J3434" i="3"/>
  <c r="J3433" i="3"/>
  <c r="J3432" i="3"/>
  <c r="J3431" i="3"/>
  <c r="J3430" i="3"/>
  <c r="J3429" i="3"/>
  <c r="J3428" i="3"/>
  <c r="J3427" i="3"/>
  <c r="J3426" i="3"/>
  <c r="J3425" i="3"/>
  <c r="J3424" i="3"/>
  <c r="J3423" i="3"/>
  <c r="J3422" i="3"/>
  <c r="J3421" i="3"/>
  <c r="J3420" i="3"/>
  <c r="J3419" i="3"/>
  <c r="J3418" i="3"/>
  <c r="J3417" i="3"/>
  <c r="J3416" i="3"/>
  <c r="J3415" i="3"/>
  <c r="J3414" i="3"/>
  <c r="J3413" i="3"/>
  <c r="J3412" i="3"/>
  <c r="J3411" i="3"/>
  <c r="J3410" i="3"/>
  <c r="J3409" i="3"/>
  <c r="J3408" i="3"/>
  <c r="J3407" i="3"/>
  <c r="J3406" i="3"/>
  <c r="J3405" i="3"/>
  <c r="J3404" i="3"/>
  <c r="J3403" i="3"/>
  <c r="J3402" i="3"/>
  <c r="J3401" i="3"/>
  <c r="J3400" i="3"/>
  <c r="J3399" i="3"/>
  <c r="J3398" i="3"/>
  <c r="J3397" i="3"/>
  <c r="J3396" i="3"/>
  <c r="J3395" i="3"/>
  <c r="J3394" i="3"/>
  <c r="J3393" i="3"/>
  <c r="J3392" i="3"/>
  <c r="J3391" i="3"/>
  <c r="J3390" i="3"/>
  <c r="J3389" i="3"/>
  <c r="J3388" i="3"/>
  <c r="J3387" i="3"/>
  <c r="J3386" i="3"/>
  <c r="J3385" i="3"/>
  <c r="J3384" i="3"/>
  <c r="J3383" i="3"/>
  <c r="J3382" i="3"/>
  <c r="J3381" i="3"/>
  <c r="J3380" i="3"/>
  <c r="J3379" i="3"/>
  <c r="J3378" i="3"/>
  <c r="J3377" i="3"/>
  <c r="J3376" i="3"/>
  <c r="J3375" i="3"/>
  <c r="J3374" i="3"/>
  <c r="J3373" i="3"/>
  <c r="J3372" i="3"/>
  <c r="J3371" i="3"/>
  <c r="J3370" i="3"/>
  <c r="J3369" i="3"/>
  <c r="J3368" i="3"/>
  <c r="J3367" i="3"/>
  <c r="J3366" i="3"/>
  <c r="J3365" i="3"/>
  <c r="J3364" i="3"/>
  <c r="J3363" i="3"/>
  <c r="J3362" i="3"/>
  <c r="J3361" i="3"/>
  <c r="J3360" i="3"/>
  <c r="J3359" i="3"/>
  <c r="J3358" i="3"/>
  <c r="J3357" i="3"/>
  <c r="J3356" i="3"/>
  <c r="J3355" i="3"/>
  <c r="J3354" i="3"/>
  <c r="J3353" i="3"/>
  <c r="J3352" i="3"/>
  <c r="J3351" i="3"/>
  <c r="J3350" i="3"/>
  <c r="J3349" i="3"/>
  <c r="J3348" i="3"/>
  <c r="J3347" i="3"/>
  <c r="J3346" i="3"/>
  <c r="J3345" i="3"/>
  <c r="J3344" i="3"/>
  <c r="J3343" i="3"/>
  <c r="J3342" i="3"/>
  <c r="J3341" i="3"/>
  <c r="J3340" i="3"/>
  <c r="J3339" i="3"/>
  <c r="J3338" i="3"/>
  <c r="J3337" i="3"/>
  <c r="J3336" i="3"/>
  <c r="J3335" i="3"/>
  <c r="J3334" i="3"/>
  <c r="J3333" i="3"/>
  <c r="J3332" i="3"/>
  <c r="J3331" i="3"/>
  <c r="J3330" i="3"/>
  <c r="J3329" i="3"/>
  <c r="J3328" i="3"/>
  <c r="J3327" i="3"/>
  <c r="J3326" i="3"/>
  <c r="J3325" i="3"/>
  <c r="J3324" i="3"/>
  <c r="J3323" i="3"/>
  <c r="J3322" i="3"/>
  <c r="J3321" i="3"/>
  <c r="J3320" i="3"/>
  <c r="J3319" i="3"/>
  <c r="J3318" i="3"/>
  <c r="J3317" i="3"/>
  <c r="J3316" i="3"/>
  <c r="J3315" i="3"/>
  <c r="J3314" i="3"/>
  <c r="J3313" i="3"/>
  <c r="J3312" i="3"/>
  <c r="J3311" i="3"/>
  <c r="J3310" i="3"/>
  <c r="J3309" i="3"/>
  <c r="J3308" i="3"/>
  <c r="J3307" i="3"/>
  <c r="J3306" i="3"/>
  <c r="J3305" i="3"/>
  <c r="J3304" i="3"/>
  <c r="J3303" i="3"/>
  <c r="J3302" i="3"/>
  <c r="J3301" i="3"/>
  <c r="J3300" i="3"/>
  <c r="J3299" i="3"/>
  <c r="J3298" i="3"/>
  <c r="J3297" i="3"/>
  <c r="J3296" i="3"/>
  <c r="J3295" i="3"/>
  <c r="J3294" i="3"/>
  <c r="J3293" i="3"/>
  <c r="J3292" i="3"/>
  <c r="J3291" i="3"/>
  <c r="J3290" i="3"/>
  <c r="J3289" i="3"/>
  <c r="J3288" i="3"/>
  <c r="J3287" i="3"/>
  <c r="J3286" i="3"/>
  <c r="J3285" i="3"/>
  <c r="J3284" i="3"/>
  <c r="J3283" i="3"/>
  <c r="J3282" i="3"/>
  <c r="J3281" i="3"/>
  <c r="J3280" i="3"/>
  <c r="J3279" i="3"/>
  <c r="J3278" i="3"/>
  <c r="J3277" i="3"/>
  <c r="J3276" i="3"/>
  <c r="J3275" i="3"/>
  <c r="J3274" i="3"/>
  <c r="J3273" i="3"/>
  <c r="J3272" i="3"/>
  <c r="J3271" i="3"/>
  <c r="J3270" i="3"/>
  <c r="J3269" i="3"/>
  <c r="J3268" i="3"/>
  <c r="J3267" i="3"/>
  <c r="J3266" i="3"/>
  <c r="J3265" i="3"/>
  <c r="J3264" i="3"/>
  <c r="J3263" i="3"/>
  <c r="J3262" i="3"/>
  <c r="J3261" i="3"/>
  <c r="J3260" i="3"/>
  <c r="J3259" i="3"/>
  <c r="J3258" i="3"/>
  <c r="J3257" i="3"/>
  <c r="J3256" i="3"/>
  <c r="J3255" i="3"/>
  <c r="J3254" i="3"/>
  <c r="J3253" i="3"/>
  <c r="J3252" i="3"/>
  <c r="J3251" i="3"/>
  <c r="J3250" i="3"/>
  <c r="J3249" i="3"/>
  <c r="J3248" i="3"/>
  <c r="J3247" i="3"/>
  <c r="J3246" i="3"/>
  <c r="J3245" i="3"/>
  <c r="J3244" i="3"/>
  <c r="J3243" i="3"/>
  <c r="J3242" i="3"/>
  <c r="J3241" i="3"/>
  <c r="J3240" i="3"/>
  <c r="J3239" i="3"/>
  <c r="J3238" i="3"/>
  <c r="J3237" i="3"/>
  <c r="J3236" i="3"/>
  <c r="J3235" i="3"/>
  <c r="J3234" i="3"/>
  <c r="J3233" i="3"/>
  <c r="J3232" i="3"/>
  <c r="J3231" i="3"/>
  <c r="J3230" i="3"/>
  <c r="J3229" i="3"/>
  <c r="J3228" i="3"/>
  <c r="J3227" i="3"/>
  <c r="J3226" i="3"/>
  <c r="J3225" i="3"/>
  <c r="J3224" i="3"/>
  <c r="J3223" i="3"/>
  <c r="J3222" i="3"/>
  <c r="J3221" i="3"/>
  <c r="J3220" i="3"/>
  <c r="J3219" i="3"/>
  <c r="J3218" i="3"/>
  <c r="J3217" i="3"/>
  <c r="J3216" i="3"/>
  <c r="J3215" i="3"/>
  <c r="J3214" i="3"/>
  <c r="J3213" i="3"/>
  <c r="J3212" i="3"/>
  <c r="J3211" i="3"/>
  <c r="J3210" i="3"/>
  <c r="J3209" i="3"/>
  <c r="J3208" i="3"/>
  <c r="J3207" i="3"/>
  <c r="J3206" i="3"/>
  <c r="J3205" i="3"/>
  <c r="J3204" i="3"/>
  <c r="J3203" i="3"/>
  <c r="J3202" i="3"/>
  <c r="J3201" i="3"/>
  <c r="J3200" i="3"/>
  <c r="J3199" i="3"/>
  <c r="J3198" i="3"/>
  <c r="J3197" i="3"/>
  <c r="J3196" i="3"/>
  <c r="J3195" i="3"/>
  <c r="J3194" i="3"/>
  <c r="J3193" i="3"/>
  <c r="J3192" i="3"/>
  <c r="J3191" i="3"/>
  <c r="J3190" i="3"/>
  <c r="J3189" i="3"/>
  <c r="J3188" i="3"/>
  <c r="J3187" i="3"/>
  <c r="J3186" i="3"/>
  <c r="J3185" i="3"/>
  <c r="J3184" i="3"/>
  <c r="J3183" i="3"/>
  <c r="J3182" i="3"/>
  <c r="J3181" i="3"/>
  <c r="J3180" i="3"/>
  <c r="J3179" i="3"/>
  <c r="J3178" i="3"/>
  <c r="J3177" i="3"/>
  <c r="J3176" i="3"/>
  <c r="J3175" i="3"/>
  <c r="J3174" i="3"/>
  <c r="J3173" i="3"/>
  <c r="J3172" i="3"/>
  <c r="J3171" i="3"/>
  <c r="J3170" i="3"/>
  <c r="J3169" i="3"/>
  <c r="J3168" i="3"/>
  <c r="J3167" i="3"/>
  <c r="J3166" i="3"/>
  <c r="J3165" i="3"/>
  <c r="J3164" i="3"/>
  <c r="J3163" i="3"/>
  <c r="J3162" i="3"/>
  <c r="J3161" i="3"/>
  <c r="J3160" i="3"/>
  <c r="J3159" i="3"/>
  <c r="J3158" i="3"/>
  <c r="J3157" i="3"/>
  <c r="J3156" i="3"/>
  <c r="J3155" i="3"/>
  <c r="J3154" i="3"/>
  <c r="J3153" i="3"/>
  <c r="J3152" i="3"/>
  <c r="J3151" i="3"/>
  <c r="J3150" i="3"/>
  <c r="J3149" i="3"/>
  <c r="J3148" i="3"/>
  <c r="J3147" i="3"/>
  <c r="J3146" i="3"/>
  <c r="J3145" i="3"/>
  <c r="J3144" i="3"/>
  <c r="J3143" i="3"/>
  <c r="J3142" i="3"/>
  <c r="J3141" i="3"/>
  <c r="J3140" i="3"/>
  <c r="J3139" i="3"/>
  <c r="J3138" i="3"/>
  <c r="J3137" i="3"/>
  <c r="J3136" i="3"/>
  <c r="J3135" i="3"/>
  <c r="J3134" i="3"/>
  <c r="J3133" i="3"/>
  <c r="J3132" i="3"/>
  <c r="J3131" i="3"/>
  <c r="J3130" i="3"/>
  <c r="J3129" i="3"/>
  <c r="J3128" i="3"/>
  <c r="J3127" i="3"/>
  <c r="J3126" i="3"/>
  <c r="J3125" i="3"/>
  <c r="J3124" i="3"/>
  <c r="J3123" i="3"/>
  <c r="J3122" i="3"/>
  <c r="J3121" i="3"/>
  <c r="J3120" i="3"/>
  <c r="J3119" i="3"/>
  <c r="J3118" i="3"/>
  <c r="J3117" i="3"/>
  <c r="J3116" i="3"/>
  <c r="J3115" i="3"/>
  <c r="J3114" i="3"/>
  <c r="J3113" i="3"/>
  <c r="J3112" i="3"/>
  <c r="J3111" i="3"/>
  <c r="J3110" i="3"/>
  <c r="J3109" i="3"/>
  <c r="J3108" i="3"/>
  <c r="J3107" i="3"/>
  <c r="J3106" i="3"/>
  <c r="J3105" i="3"/>
  <c r="J3104" i="3"/>
  <c r="J3103" i="3"/>
  <c r="J3102" i="3"/>
  <c r="J3101" i="3"/>
  <c r="J3100" i="3"/>
  <c r="J3099" i="3"/>
  <c r="J3098" i="3"/>
  <c r="J3097" i="3"/>
  <c r="J3096" i="3"/>
  <c r="J3095" i="3"/>
  <c r="J3094" i="3"/>
  <c r="J3093" i="3"/>
  <c r="J3092" i="3"/>
  <c r="J3091" i="3"/>
  <c r="J3090" i="3"/>
  <c r="J3089" i="3"/>
  <c r="J3088" i="3"/>
  <c r="J3087" i="3"/>
  <c r="J3086" i="3"/>
  <c r="J3085" i="3"/>
  <c r="J3084" i="3"/>
  <c r="J3083" i="3"/>
  <c r="J3082" i="3"/>
  <c r="J3081" i="3"/>
  <c r="J3080" i="3"/>
  <c r="J3079" i="3"/>
  <c r="J3078" i="3"/>
  <c r="J3077" i="3"/>
  <c r="J3076" i="3"/>
  <c r="J3075" i="3"/>
  <c r="J3074" i="3"/>
  <c r="J3073" i="3"/>
  <c r="J3072" i="3"/>
  <c r="J3071" i="3"/>
  <c r="J3070" i="3"/>
  <c r="J3069" i="3"/>
  <c r="J3068" i="3"/>
  <c r="J3067" i="3"/>
  <c r="J3066" i="3"/>
  <c r="J3065" i="3"/>
  <c r="J3064" i="3"/>
  <c r="J3063" i="3"/>
  <c r="J3062" i="3"/>
  <c r="J3061" i="3"/>
  <c r="J3060" i="3"/>
  <c r="J3059" i="3"/>
  <c r="J3058" i="3"/>
  <c r="J3057" i="3"/>
  <c r="J3056" i="3"/>
  <c r="J3055" i="3"/>
  <c r="J3054" i="3"/>
  <c r="J3053" i="3"/>
  <c r="J3052" i="3"/>
  <c r="J3051" i="3"/>
  <c r="J3050" i="3"/>
  <c r="J3049" i="3"/>
  <c r="J3048" i="3"/>
  <c r="J3047" i="3"/>
  <c r="J3046" i="3"/>
  <c r="J3045" i="3"/>
  <c r="J3044" i="3"/>
  <c r="J3043" i="3"/>
  <c r="J3042" i="3"/>
  <c r="J3041" i="3"/>
  <c r="J3040" i="3"/>
  <c r="J3039" i="3"/>
  <c r="J3038" i="3"/>
  <c r="J3037" i="3"/>
  <c r="J3036" i="3"/>
  <c r="J3035" i="3"/>
  <c r="J3034" i="3"/>
  <c r="J3033" i="3"/>
  <c r="J3032" i="3"/>
  <c r="J3031" i="3"/>
  <c r="J3030" i="3"/>
  <c r="J3029" i="3"/>
  <c r="J3028" i="3"/>
  <c r="J3027" i="3"/>
  <c r="J3026" i="3"/>
  <c r="J3025" i="3"/>
  <c r="J3024" i="3"/>
  <c r="J3023" i="3"/>
  <c r="J3022" i="3"/>
  <c r="J3021" i="3"/>
  <c r="J3020" i="3"/>
  <c r="J3019" i="3"/>
  <c r="J3018" i="3"/>
  <c r="J3017" i="3"/>
  <c r="J3016" i="3"/>
  <c r="J3015" i="3"/>
  <c r="J3014" i="3"/>
  <c r="J3013" i="3"/>
  <c r="J3012" i="3"/>
  <c r="J3011" i="3"/>
  <c r="J3010" i="3"/>
  <c r="J3009" i="3"/>
  <c r="J3008" i="3"/>
  <c r="J3007" i="3"/>
  <c r="J3006" i="3"/>
  <c r="J3005" i="3"/>
  <c r="J3004" i="3"/>
  <c r="J3003" i="3"/>
  <c r="J3002" i="3"/>
  <c r="J3001" i="3"/>
  <c r="J3000" i="3"/>
  <c r="J2999" i="3"/>
  <c r="J2998" i="3"/>
  <c r="J2997" i="3"/>
  <c r="J2996" i="3"/>
  <c r="J2995" i="3"/>
  <c r="J2994" i="3"/>
  <c r="J2993" i="3"/>
  <c r="J2992" i="3"/>
  <c r="J2991" i="3"/>
  <c r="J2990" i="3"/>
  <c r="J2989" i="3"/>
  <c r="J2988" i="3"/>
  <c r="J2987" i="3"/>
  <c r="J2986" i="3"/>
  <c r="J2985" i="3"/>
  <c r="J2984" i="3"/>
  <c r="J2983" i="3"/>
  <c r="J2982" i="3"/>
  <c r="J2981" i="3"/>
  <c r="J2980" i="3"/>
  <c r="J2979" i="3"/>
  <c r="J2978" i="3"/>
  <c r="J2977" i="3"/>
  <c r="J2976" i="3"/>
  <c r="J2975" i="3"/>
  <c r="J2974" i="3"/>
  <c r="J2973" i="3"/>
  <c r="J2972" i="3"/>
  <c r="J2971" i="3"/>
  <c r="J2970" i="3"/>
  <c r="J2969" i="3"/>
  <c r="J2968" i="3"/>
  <c r="J2967" i="3"/>
  <c r="J2966" i="3"/>
  <c r="J2965" i="3"/>
  <c r="J2964" i="3"/>
  <c r="J2963" i="3"/>
  <c r="J2962" i="3"/>
  <c r="J2961" i="3"/>
  <c r="J2960" i="3"/>
  <c r="J2959" i="3"/>
  <c r="J2958" i="3"/>
  <c r="J2957" i="3"/>
  <c r="J2956" i="3"/>
  <c r="J2955" i="3"/>
  <c r="J2954" i="3"/>
  <c r="J2953" i="3"/>
  <c r="J2952" i="3"/>
  <c r="J2951" i="3"/>
  <c r="J2950" i="3"/>
  <c r="J2949" i="3"/>
  <c r="J2948" i="3"/>
  <c r="J2947" i="3"/>
  <c r="J2946" i="3"/>
  <c r="J2945" i="3"/>
  <c r="J2944" i="3"/>
  <c r="J2943" i="3"/>
  <c r="J2942" i="3"/>
  <c r="J2941" i="3"/>
  <c r="J2940" i="3"/>
  <c r="J2939" i="3"/>
  <c r="J2938" i="3"/>
  <c r="J2937" i="3"/>
  <c r="J2936" i="3"/>
  <c r="J2935" i="3"/>
  <c r="J2934" i="3"/>
  <c r="J2933" i="3"/>
  <c r="J2932" i="3"/>
  <c r="J2931" i="3"/>
  <c r="J2930" i="3"/>
  <c r="J2929" i="3"/>
  <c r="J2928" i="3"/>
  <c r="J2927" i="3"/>
  <c r="J2926" i="3"/>
  <c r="J2925" i="3"/>
  <c r="J2924" i="3"/>
  <c r="J2923" i="3"/>
  <c r="J2922" i="3"/>
  <c r="J2921" i="3"/>
  <c r="J2920" i="3"/>
  <c r="J2919" i="3"/>
  <c r="J2918" i="3"/>
  <c r="J2917" i="3"/>
  <c r="J2916" i="3"/>
  <c r="J2915" i="3"/>
  <c r="J2914" i="3"/>
  <c r="J2913" i="3"/>
  <c r="J2912" i="3"/>
  <c r="J2911" i="3"/>
  <c r="J2910" i="3"/>
  <c r="J2909" i="3"/>
  <c r="J2908" i="3"/>
  <c r="J2907" i="3"/>
  <c r="J2906" i="3"/>
  <c r="J2905" i="3"/>
  <c r="J2904" i="3"/>
  <c r="J2903" i="3"/>
  <c r="J2902" i="3"/>
  <c r="J2901" i="3"/>
  <c r="J2900" i="3"/>
  <c r="J2899" i="3"/>
  <c r="J2898" i="3"/>
  <c r="J2897" i="3"/>
  <c r="J2896" i="3"/>
  <c r="J2895" i="3"/>
  <c r="J2894" i="3"/>
  <c r="J2893" i="3"/>
  <c r="J2892" i="3"/>
  <c r="J2891" i="3"/>
  <c r="J2890" i="3"/>
  <c r="J2889" i="3"/>
  <c r="J2888" i="3"/>
  <c r="J2887" i="3"/>
  <c r="J2886" i="3"/>
  <c r="J2885" i="3"/>
  <c r="J2884" i="3"/>
  <c r="J2883" i="3"/>
  <c r="J2882" i="3"/>
  <c r="J2881" i="3"/>
  <c r="J2880" i="3"/>
  <c r="J2879" i="3"/>
  <c r="J2878" i="3"/>
  <c r="J2877" i="3"/>
  <c r="J2876" i="3"/>
  <c r="J2875" i="3"/>
  <c r="J2874" i="3"/>
  <c r="J2873" i="3"/>
  <c r="J2872" i="3"/>
  <c r="J2871" i="3"/>
  <c r="J2870" i="3"/>
  <c r="J2869" i="3"/>
  <c r="J2868" i="3"/>
  <c r="J2867" i="3"/>
  <c r="J2866" i="3"/>
  <c r="J2865" i="3"/>
  <c r="J2864" i="3"/>
  <c r="J2863" i="3"/>
  <c r="J2862" i="3"/>
  <c r="J2861" i="3"/>
  <c r="J2860" i="3"/>
  <c r="J2859" i="3"/>
  <c r="J2858" i="3"/>
  <c r="J2857" i="3"/>
  <c r="J2856" i="3"/>
  <c r="J2855" i="3"/>
  <c r="J2854" i="3"/>
  <c r="J2853" i="3"/>
  <c r="J2852" i="3"/>
  <c r="J2851" i="3"/>
  <c r="J2850" i="3"/>
  <c r="J2849" i="3"/>
  <c r="J2848" i="3"/>
  <c r="J2847" i="3"/>
  <c r="J2846" i="3"/>
  <c r="J2845" i="3"/>
  <c r="J2844" i="3"/>
  <c r="J2843" i="3"/>
  <c r="J2842" i="3"/>
  <c r="J2841" i="3"/>
  <c r="J2840" i="3"/>
  <c r="J2839" i="3"/>
  <c r="J2838" i="3"/>
  <c r="J2837" i="3"/>
  <c r="J2836" i="3"/>
  <c r="J2835" i="3"/>
  <c r="J2834" i="3"/>
  <c r="J2833" i="3"/>
  <c r="J2832" i="3"/>
  <c r="J2831" i="3"/>
  <c r="J2830" i="3"/>
  <c r="J2829" i="3"/>
  <c r="J2828" i="3"/>
  <c r="J2827" i="3"/>
  <c r="J2826" i="3"/>
  <c r="J2825" i="3"/>
  <c r="J2824" i="3"/>
  <c r="J2823" i="3"/>
  <c r="J2822" i="3"/>
  <c r="J2821" i="3"/>
  <c r="J2820" i="3"/>
  <c r="J2819" i="3"/>
  <c r="J2818" i="3"/>
  <c r="J2817" i="3"/>
  <c r="J2816" i="3"/>
  <c r="J2815" i="3"/>
  <c r="J2814" i="3"/>
  <c r="J2813" i="3"/>
  <c r="J2812" i="3"/>
  <c r="J2811" i="3"/>
  <c r="J2810" i="3"/>
  <c r="J2809" i="3"/>
  <c r="J2808" i="3"/>
  <c r="J2807" i="3"/>
  <c r="J2806" i="3"/>
  <c r="J2805" i="3"/>
  <c r="J2804" i="3"/>
  <c r="J2803" i="3"/>
  <c r="J2802" i="3"/>
  <c r="J2801" i="3"/>
  <c r="J2800" i="3"/>
  <c r="J2799" i="3"/>
  <c r="J2798" i="3"/>
  <c r="J2797" i="3"/>
  <c r="J2796" i="3"/>
  <c r="J2795" i="3"/>
  <c r="J2794" i="3"/>
  <c r="J2793" i="3"/>
  <c r="J2792" i="3"/>
  <c r="J2791" i="3"/>
  <c r="J2790" i="3"/>
  <c r="J2789" i="3"/>
  <c r="J2788" i="3"/>
  <c r="J2787" i="3"/>
  <c r="J2786" i="3"/>
  <c r="J2785" i="3"/>
  <c r="J2784" i="3"/>
  <c r="J2783" i="3"/>
  <c r="J2782" i="3"/>
  <c r="J2781" i="3"/>
  <c r="J2780" i="3"/>
  <c r="J2779" i="3"/>
  <c r="J2778" i="3"/>
  <c r="J2777" i="3"/>
  <c r="J2776" i="3"/>
  <c r="J2775" i="3"/>
  <c r="J2774" i="3"/>
  <c r="J2773" i="3"/>
  <c r="J2772" i="3"/>
  <c r="J2771" i="3"/>
  <c r="J2770" i="3"/>
  <c r="J2769" i="3"/>
  <c r="J2768" i="3"/>
  <c r="J2767" i="3"/>
  <c r="J2766" i="3"/>
  <c r="J2765" i="3"/>
  <c r="J2764" i="3"/>
  <c r="J2763" i="3"/>
  <c r="J2762" i="3"/>
  <c r="J2761" i="3"/>
  <c r="J2760" i="3"/>
  <c r="J2759" i="3"/>
  <c r="J2758" i="3"/>
  <c r="J2757" i="3"/>
  <c r="J2756" i="3"/>
  <c r="J2755" i="3"/>
  <c r="J2754" i="3"/>
  <c r="J2753" i="3"/>
  <c r="J2752" i="3"/>
  <c r="J2751" i="3"/>
  <c r="J2750" i="3"/>
  <c r="J2749" i="3"/>
  <c r="J2748" i="3"/>
  <c r="J2747" i="3"/>
  <c r="J2746" i="3"/>
  <c r="J2745" i="3"/>
  <c r="J2744" i="3"/>
  <c r="J2743" i="3"/>
  <c r="J2742" i="3"/>
  <c r="J2741" i="3"/>
  <c r="J2740" i="3"/>
  <c r="J2739" i="3"/>
  <c r="J2738" i="3"/>
  <c r="J2737" i="3"/>
  <c r="J2736" i="3"/>
  <c r="J2735" i="3"/>
  <c r="J2734" i="3"/>
  <c r="J2733" i="3"/>
  <c r="J2732" i="3"/>
  <c r="J2731" i="3"/>
  <c r="J2730" i="3"/>
  <c r="J2729" i="3"/>
  <c r="J2728" i="3"/>
  <c r="J2727" i="3"/>
  <c r="J2726" i="3"/>
  <c r="J2725" i="3"/>
  <c r="J2724" i="3"/>
  <c r="J2723" i="3"/>
  <c r="J2722" i="3"/>
  <c r="J2721" i="3"/>
  <c r="J2720" i="3"/>
  <c r="J2719" i="3"/>
  <c r="J2718" i="3"/>
  <c r="J2717" i="3"/>
  <c r="J2716" i="3"/>
  <c r="J2715" i="3"/>
  <c r="J2714" i="3"/>
  <c r="J2713" i="3"/>
  <c r="J2712" i="3"/>
  <c r="J2711" i="3"/>
  <c r="J2710" i="3"/>
  <c r="J2709" i="3"/>
  <c r="J2708" i="3"/>
  <c r="J2707" i="3"/>
  <c r="J2706" i="3"/>
  <c r="J2705" i="3"/>
  <c r="J2704" i="3"/>
  <c r="J2703" i="3"/>
  <c r="J2702" i="3"/>
  <c r="J2701" i="3"/>
  <c r="J2700" i="3"/>
  <c r="J2699" i="3"/>
  <c r="J2698" i="3"/>
  <c r="J2697" i="3"/>
  <c r="J2696" i="3"/>
  <c r="J2695" i="3"/>
  <c r="J2694" i="3"/>
  <c r="J2693" i="3"/>
  <c r="J2692" i="3"/>
  <c r="J2691" i="3"/>
  <c r="J2690" i="3"/>
  <c r="J2689" i="3"/>
  <c r="J2688" i="3"/>
  <c r="J2687" i="3"/>
  <c r="J2686" i="3"/>
  <c r="J2685" i="3"/>
  <c r="J2684" i="3"/>
  <c r="J2683" i="3"/>
  <c r="J2682" i="3"/>
  <c r="J2681" i="3"/>
  <c r="J2680" i="3"/>
  <c r="J2679" i="3"/>
  <c r="J2678" i="3"/>
  <c r="J2677" i="3"/>
  <c r="J2676" i="3"/>
  <c r="J2675" i="3"/>
  <c r="J2674" i="3"/>
  <c r="J2673" i="3"/>
  <c r="J2672" i="3"/>
  <c r="J2671" i="3"/>
  <c r="J2670" i="3"/>
  <c r="J2669" i="3"/>
  <c r="J2668" i="3"/>
  <c r="J2667" i="3"/>
  <c r="J2666" i="3"/>
  <c r="J2665" i="3"/>
  <c r="J2664" i="3"/>
  <c r="J2663" i="3"/>
  <c r="J2662" i="3"/>
  <c r="J2661" i="3"/>
  <c r="J2660" i="3"/>
  <c r="J2659" i="3"/>
  <c r="J2658" i="3"/>
  <c r="J2657" i="3"/>
  <c r="J2656" i="3"/>
  <c r="J2655" i="3"/>
  <c r="J2654" i="3"/>
  <c r="J2653" i="3"/>
  <c r="J2652" i="3"/>
  <c r="J2651" i="3"/>
  <c r="J2650" i="3"/>
  <c r="J2649" i="3"/>
  <c r="J2648" i="3"/>
  <c r="J2647" i="3"/>
  <c r="J2646" i="3"/>
  <c r="J2645" i="3"/>
  <c r="J2644" i="3"/>
  <c r="J2643" i="3"/>
  <c r="J2642" i="3"/>
  <c r="J2641" i="3"/>
  <c r="J2640" i="3"/>
  <c r="J2639" i="3"/>
  <c r="J2638" i="3"/>
  <c r="J2637" i="3"/>
  <c r="J2636" i="3"/>
  <c r="J2635" i="3"/>
  <c r="J2634" i="3"/>
  <c r="J2633" i="3"/>
  <c r="J2632" i="3"/>
  <c r="J2631" i="3"/>
  <c r="J2630" i="3"/>
  <c r="J2629" i="3"/>
  <c r="J2628" i="3"/>
  <c r="J2627" i="3"/>
  <c r="J2626" i="3"/>
  <c r="J2625" i="3"/>
  <c r="J2624" i="3"/>
  <c r="J2623" i="3"/>
  <c r="J2622" i="3"/>
  <c r="J2621" i="3"/>
  <c r="J2620" i="3"/>
  <c r="J2619" i="3"/>
  <c r="J2618" i="3"/>
  <c r="J2617" i="3"/>
  <c r="J2616" i="3"/>
  <c r="J2615" i="3"/>
  <c r="J2614" i="3"/>
  <c r="J2613" i="3"/>
  <c r="J2612" i="3"/>
  <c r="J2611" i="3"/>
  <c r="J2610" i="3"/>
  <c r="J2609" i="3"/>
  <c r="J2608" i="3"/>
  <c r="J2607" i="3"/>
  <c r="J2606" i="3"/>
  <c r="J2605" i="3"/>
  <c r="J2604" i="3"/>
  <c r="J2603" i="3"/>
  <c r="J2602" i="3"/>
  <c r="J2601" i="3"/>
  <c r="J2600" i="3"/>
  <c r="J2599" i="3"/>
  <c r="J2598" i="3"/>
  <c r="J2597" i="3"/>
  <c r="J2596" i="3"/>
  <c r="J2595" i="3"/>
  <c r="J2594" i="3"/>
  <c r="J2593" i="3"/>
  <c r="J2592" i="3"/>
  <c r="J2591" i="3"/>
  <c r="J2590" i="3"/>
  <c r="J2589" i="3"/>
  <c r="J2588" i="3"/>
  <c r="J2587" i="3"/>
  <c r="J2586" i="3"/>
  <c r="J2585" i="3"/>
  <c r="J2584" i="3"/>
  <c r="J2583" i="3"/>
  <c r="J2582" i="3"/>
  <c r="J2581" i="3"/>
  <c r="J2580" i="3"/>
  <c r="J2579" i="3"/>
  <c r="J2578" i="3"/>
  <c r="J2577" i="3"/>
  <c r="J2576" i="3"/>
  <c r="J2575" i="3"/>
  <c r="J2574" i="3"/>
  <c r="J2573" i="3"/>
  <c r="J2572" i="3"/>
  <c r="J2571" i="3"/>
  <c r="J2570" i="3"/>
  <c r="J2569" i="3"/>
  <c r="J2568" i="3"/>
  <c r="J2567" i="3"/>
  <c r="J2566" i="3"/>
  <c r="J2565" i="3"/>
  <c r="J2564" i="3"/>
  <c r="J2563" i="3"/>
  <c r="J2562" i="3"/>
  <c r="J2561" i="3"/>
  <c r="J2560" i="3"/>
  <c r="J2559" i="3"/>
  <c r="J2558" i="3"/>
  <c r="J2557" i="3"/>
  <c r="J2556" i="3"/>
  <c r="J2555" i="3"/>
  <c r="J2554" i="3"/>
  <c r="J2553" i="3"/>
  <c r="J2552" i="3"/>
  <c r="J2551" i="3"/>
  <c r="J2550" i="3"/>
  <c r="J2549" i="3"/>
  <c r="J2548" i="3"/>
  <c r="J2547" i="3"/>
  <c r="J2546" i="3"/>
  <c r="J2545" i="3"/>
  <c r="J2544" i="3"/>
  <c r="J2543" i="3"/>
  <c r="J2542" i="3"/>
  <c r="J2541" i="3"/>
  <c r="J2540" i="3"/>
  <c r="J2539" i="3"/>
  <c r="J2538" i="3"/>
  <c r="J2537" i="3"/>
  <c r="J2536" i="3"/>
  <c r="J2535" i="3"/>
  <c r="J2534" i="3"/>
  <c r="J2533" i="3"/>
  <c r="J2532" i="3"/>
  <c r="J2531" i="3"/>
  <c r="J2530" i="3"/>
  <c r="J2529" i="3"/>
  <c r="J2528" i="3"/>
  <c r="J2527" i="3"/>
  <c r="J2526" i="3"/>
  <c r="J2525" i="3"/>
  <c r="J2524" i="3"/>
  <c r="J2523" i="3"/>
  <c r="J2522" i="3"/>
  <c r="J2521" i="3"/>
  <c r="J2520" i="3"/>
  <c r="J2519" i="3"/>
  <c r="J2518" i="3"/>
  <c r="J2517" i="3"/>
  <c r="J2516" i="3"/>
  <c r="J2515" i="3"/>
  <c r="J2514" i="3"/>
  <c r="J2513" i="3"/>
  <c r="J2512" i="3"/>
  <c r="J2511" i="3"/>
  <c r="J2510" i="3"/>
  <c r="J2509" i="3"/>
  <c r="J2508" i="3"/>
  <c r="J2507" i="3"/>
  <c r="J2506" i="3"/>
  <c r="J2505" i="3"/>
  <c r="J2504" i="3"/>
  <c r="J2503" i="3"/>
  <c r="J2502" i="3"/>
  <c r="J2501" i="3"/>
  <c r="J2500" i="3"/>
  <c r="J2499" i="3"/>
  <c r="J2498" i="3"/>
  <c r="J2497" i="3"/>
  <c r="J2496" i="3"/>
  <c r="J2495" i="3"/>
  <c r="J2494" i="3"/>
  <c r="J2493" i="3"/>
  <c r="J2492" i="3"/>
  <c r="J2491" i="3"/>
  <c r="J2490" i="3"/>
  <c r="J2489" i="3"/>
  <c r="J2488" i="3"/>
  <c r="J2487" i="3"/>
  <c r="J2486" i="3"/>
  <c r="J2485" i="3"/>
  <c r="J2484" i="3"/>
  <c r="J2483" i="3"/>
  <c r="J2482" i="3"/>
  <c r="J2481" i="3"/>
  <c r="J2480" i="3"/>
  <c r="J2479" i="3"/>
  <c r="J2478" i="3"/>
  <c r="J2477" i="3"/>
  <c r="J2476" i="3"/>
  <c r="J2475" i="3"/>
  <c r="J2474" i="3"/>
  <c r="J2473" i="3"/>
  <c r="J2472" i="3"/>
  <c r="J2471" i="3"/>
  <c r="J2470" i="3"/>
  <c r="J2469" i="3"/>
  <c r="J2468" i="3"/>
  <c r="J2467" i="3"/>
  <c r="J2466" i="3"/>
  <c r="J2465" i="3"/>
  <c r="J2464" i="3"/>
  <c r="J2463" i="3"/>
  <c r="J2462" i="3"/>
  <c r="J2461" i="3"/>
  <c r="J2460" i="3"/>
  <c r="J2459" i="3"/>
  <c r="J2458" i="3"/>
  <c r="J2457" i="3"/>
  <c r="J2456" i="3"/>
  <c r="J2455" i="3"/>
  <c r="J2454" i="3"/>
  <c r="J2453" i="3"/>
  <c r="J2452" i="3"/>
  <c r="J2451" i="3"/>
  <c r="J2450" i="3"/>
  <c r="J2449" i="3"/>
  <c r="J2448" i="3"/>
  <c r="J2447" i="3"/>
  <c r="J2446" i="3"/>
  <c r="J2445" i="3"/>
  <c r="J2444" i="3"/>
  <c r="J2443" i="3"/>
  <c r="J2442" i="3"/>
  <c r="J2441" i="3"/>
  <c r="J2440" i="3"/>
  <c r="J2439" i="3"/>
  <c r="J2438" i="3"/>
  <c r="J2437" i="3"/>
  <c r="J2436" i="3"/>
  <c r="J2435" i="3"/>
  <c r="J2434" i="3"/>
  <c r="J2433" i="3"/>
  <c r="J2432" i="3"/>
  <c r="J2431" i="3"/>
  <c r="J2430" i="3"/>
  <c r="J2429" i="3"/>
  <c r="J2428" i="3"/>
  <c r="J2427" i="3"/>
  <c r="J2426" i="3"/>
  <c r="J2425" i="3"/>
  <c r="J2424" i="3"/>
  <c r="J2423" i="3"/>
  <c r="J2422" i="3"/>
  <c r="J2421" i="3"/>
  <c r="J2420" i="3"/>
  <c r="J2419" i="3"/>
  <c r="J2418" i="3"/>
  <c r="J2417" i="3"/>
  <c r="J2416" i="3"/>
  <c r="J2415" i="3"/>
  <c r="J2414" i="3"/>
  <c r="J2413" i="3"/>
  <c r="J2412" i="3"/>
  <c r="J2411" i="3"/>
  <c r="J2410" i="3"/>
  <c r="J2409" i="3"/>
  <c r="J2408" i="3"/>
  <c r="J2407" i="3"/>
  <c r="J2406" i="3"/>
  <c r="J2405" i="3"/>
  <c r="J2404" i="3"/>
  <c r="J2403" i="3"/>
  <c r="J2402" i="3"/>
  <c r="J2401" i="3"/>
  <c r="J2400" i="3"/>
  <c r="J2399" i="3"/>
  <c r="J2398" i="3"/>
  <c r="J2397" i="3"/>
  <c r="J2396" i="3"/>
  <c r="J2395" i="3"/>
  <c r="J2394" i="3"/>
  <c r="J2393" i="3"/>
  <c r="J2392" i="3"/>
  <c r="J2391" i="3"/>
  <c r="J2390" i="3"/>
  <c r="J2389" i="3"/>
  <c r="J2388" i="3"/>
  <c r="J2387" i="3"/>
  <c r="J2386" i="3"/>
  <c r="J2385" i="3"/>
  <c r="J2384" i="3"/>
  <c r="J2383" i="3"/>
  <c r="J2382" i="3"/>
  <c r="J2381" i="3"/>
  <c r="J2380" i="3"/>
  <c r="J2379" i="3"/>
  <c r="J2378" i="3"/>
  <c r="J2377" i="3"/>
  <c r="J2376" i="3"/>
  <c r="J2375" i="3"/>
  <c r="J2374" i="3"/>
  <c r="J2373" i="3"/>
  <c r="J2372" i="3"/>
  <c r="J2371" i="3"/>
  <c r="J2370" i="3"/>
  <c r="J2369" i="3"/>
  <c r="J2368" i="3"/>
  <c r="J2367" i="3"/>
  <c r="J2366" i="3"/>
  <c r="J2365" i="3"/>
  <c r="J2364" i="3"/>
  <c r="J2363" i="3"/>
  <c r="J2362" i="3"/>
  <c r="J2361" i="3"/>
  <c r="J2360" i="3"/>
  <c r="J2359" i="3"/>
  <c r="J2358" i="3"/>
  <c r="J2357" i="3"/>
  <c r="J2356" i="3"/>
  <c r="J2355" i="3"/>
  <c r="J2354" i="3"/>
  <c r="J2353" i="3"/>
  <c r="J2352" i="3"/>
  <c r="J2351" i="3"/>
  <c r="J2350" i="3"/>
  <c r="J2349" i="3"/>
  <c r="J2348" i="3"/>
  <c r="J2347" i="3"/>
  <c r="J2346" i="3"/>
  <c r="J2345" i="3"/>
  <c r="J2344" i="3"/>
  <c r="J2343" i="3"/>
  <c r="J2342" i="3"/>
  <c r="J2341" i="3"/>
  <c r="J2340" i="3"/>
  <c r="J2339" i="3"/>
  <c r="J2338" i="3"/>
  <c r="J2337" i="3"/>
  <c r="J2336" i="3"/>
  <c r="J2335" i="3"/>
  <c r="J2334" i="3"/>
  <c r="J2333" i="3"/>
  <c r="J2332" i="3"/>
  <c r="J2331" i="3"/>
  <c r="J2330" i="3"/>
  <c r="J2329" i="3"/>
  <c r="J2328" i="3"/>
  <c r="J2327" i="3"/>
  <c r="J2326" i="3"/>
  <c r="J2325" i="3"/>
  <c r="J2324" i="3"/>
  <c r="J2323" i="3"/>
  <c r="J2322" i="3"/>
  <c r="J2321" i="3"/>
  <c r="J2320" i="3"/>
  <c r="J2319" i="3"/>
  <c r="J2318" i="3"/>
  <c r="J2317" i="3"/>
  <c r="J2316" i="3"/>
  <c r="J2315" i="3"/>
  <c r="J2314" i="3"/>
  <c r="J2313" i="3"/>
  <c r="J2312" i="3"/>
  <c r="J2311" i="3"/>
  <c r="J2310" i="3"/>
  <c r="J2309" i="3"/>
  <c r="J2308" i="3"/>
  <c r="J2307" i="3"/>
  <c r="J2306" i="3"/>
  <c r="J2305" i="3"/>
  <c r="J2304" i="3"/>
  <c r="J2303" i="3"/>
  <c r="J2302" i="3"/>
  <c r="J2301" i="3"/>
  <c r="J2300" i="3"/>
  <c r="J2299" i="3"/>
  <c r="J2298" i="3"/>
  <c r="J2297" i="3"/>
  <c r="J2296" i="3"/>
  <c r="J2295" i="3"/>
  <c r="J2294" i="3"/>
  <c r="J2293" i="3"/>
  <c r="J2292" i="3"/>
  <c r="J2291" i="3"/>
  <c r="J2290" i="3"/>
  <c r="J2289" i="3"/>
  <c r="J2288" i="3"/>
  <c r="J2287" i="3"/>
  <c r="J2286" i="3"/>
  <c r="J2285" i="3"/>
  <c r="J2284" i="3"/>
  <c r="J2283" i="3"/>
  <c r="J2282" i="3"/>
  <c r="J2281" i="3"/>
  <c r="J2280" i="3"/>
  <c r="J2279" i="3"/>
  <c r="J2278" i="3"/>
  <c r="J2277" i="3"/>
  <c r="J2276" i="3"/>
  <c r="J2275" i="3"/>
  <c r="J2274" i="3"/>
  <c r="J2273" i="3"/>
  <c r="J2272" i="3"/>
  <c r="J2271" i="3"/>
  <c r="J2270" i="3"/>
  <c r="J2269" i="3"/>
  <c r="J2268" i="3"/>
  <c r="J2267" i="3"/>
  <c r="J2266" i="3"/>
  <c r="J2265" i="3"/>
  <c r="J2264" i="3"/>
  <c r="J2263" i="3"/>
  <c r="J2262" i="3"/>
  <c r="J2261" i="3"/>
  <c r="J2260" i="3"/>
  <c r="J2259" i="3"/>
  <c r="J2258" i="3"/>
  <c r="J2257" i="3"/>
  <c r="J2256" i="3"/>
  <c r="J2255" i="3"/>
  <c r="J2254" i="3"/>
  <c r="J2253" i="3"/>
  <c r="J2252" i="3"/>
  <c r="J2251" i="3"/>
  <c r="J2250" i="3"/>
  <c r="J2249" i="3"/>
  <c r="J2248" i="3"/>
  <c r="J2247" i="3"/>
  <c r="J2246" i="3"/>
  <c r="J2245" i="3"/>
  <c r="J2244" i="3"/>
  <c r="J2243" i="3"/>
  <c r="J2242" i="3"/>
  <c r="J2241" i="3"/>
  <c r="J2240" i="3"/>
  <c r="J2239" i="3"/>
  <c r="J2238" i="3"/>
  <c r="J2237" i="3"/>
  <c r="J2236" i="3"/>
  <c r="J2235" i="3"/>
  <c r="J2234" i="3"/>
  <c r="J2233" i="3"/>
  <c r="J2232" i="3"/>
  <c r="J2231" i="3"/>
  <c r="J2230" i="3"/>
  <c r="J2229" i="3"/>
  <c r="J2228" i="3"/>
  <c r="J2227" i="3"/>
  <c r="J2226" i="3"/>
  <c r="J2225" i="3"/>
  <c r="J2224" i="3"/>
  <c r="J2223" i="3"/>
  <c r="J2222" i="3"/>
  <c r="J2221" i="3"/>
  <c r="J2220" i="3"/>
  <c r="J2219" i="3"/>
  <c r="J2218" i="3"/>
  <c r="J2217" i="3"/>
  <c r="J2216" i="3"/>
  <c r="J2215" i="3"/>
  <c r="J2214" i="3"/>
  <c r="J2213" i="3"/>
  <c r="J2212" i="3"/>
  <c r="J2211" i="3"/>
  <c r="J2210" i="3"/>
  <c r="J2209" i="3"/>
  <c r="J2208" i="3"/>
  <c r="J2207" i="3"/>
  <c r="J2206" i="3"/>
  <c r="J2205" i="3"/>
  <c r="J2204" i="3"/>
  <c r="J2203" i="3"/>
  <c r="J2202" i="3"/>
  <c r="J2201" i="3"/>
  <c r="J2200" i="3"/>
  <c r="J2199" i="3"/>
  <c r="J2198" i="3"/>
  <c r="J2197" i="3"/>
  <c r="J2196" i="3"/>
  <c r="J2195" i="3"/>
  <c r="J2194" i="3"/>
  <c r="J2193" i="3"/>
  <c r="J2192" i="3"/>
  <c r="J2191" i="3"/>
  <c r="J2190" i="3"/>
  <c r="J2189" i="3"/>
  <c r="J2188" i="3"/>
  <c r="J2187" i="3"/>
  <c r="J2186" i="3"/>
  <c r="J2185" i="3"/>
  <c r="J2184" i="3"/>
  <c r="J2183" i="3"/>
  <c r="J2182" i="3"/>
  <c r="J2181" i="3"/>
  <c r="J2180" i="3"/>
  <c r="J2179" i="3"/>
  <c r="J2178" i="3"/>
  <c r="J2177" i="3"/>
  <c r="J2176" i="3"/>
  <c r="J2175" i="3"/>
  <c r="J2174" i="3"/>
  <c r="J2173" i="3"/>
  <c r="J2172" i="3"/>
  <c r="J2171" i="3"/>
  <c r="J2170" i="3"/>
  <c r="J2169" i="3"/>
  <c r="J2168" i="3"/>
  <c r="J2167" i="3"/>
  <c r="J2166" i="3"/>
  <c r="J2165" i="3"/>
  <c r="J2164" i="3"/>
  <c r="J2163" i="3"/>
  <c r="J2162" i="3"/>
  <c r="J2161" i="3"/>
  <c r="J2160" i="3"/>
  <c r="J2159" i="3"/>
  <c r="J2158" i="3"/>
  <c r="J2157" i="3"/>
  <c r="J2156" i="3"/>
  <c r="J2155" i="3"/>
  <c r="J2154" i="3"/>
  <c r="J2153" i="3"/>
  <c r="J2152" i="3"/>
  <c r="J2151" i="3"/>
  <c r="J2150" i="3"/>
  <c r="J2149" i="3"/>
  <c r="J2148" i="3"/>
  <c r="J2147" i="3"/>
  <c r="J2146" i="3"/>
  <c r="J2145" i="3"/>
  <c r="J2144" i="3"/>
  <c r="J2143" i="3"/>
  <c r="J2142" i="3"/>
  <c r="J2141" i="3"/>
  <c r="J2140" i="3"/>
  <c r="J2139" i="3"/>
  <c r="J2138" i="3"/>
  <c r="J2137" i="3"/>
  <c r="J2136" i="3"/>
  <c r="J2135" i="3"/>
  <c r="J2134" i="3"/>
  <c r="J2133" i="3"/>
  <c r="J2132" i="3"/>
  <c r="J2131" i="3"/>
  <c r="J2130" i="3"/>
  <c r="J2129" i="3"/>
  <c r="J2128" i="3"/>
  <c r="J2127" i="3"/>
  <c r="J2126" i="3"/>
  <c r="J2125" i="3"/>
  <c r="J2124" i="3"/>
  <c r="J2123" i="3"/>
  <c r="J2122" i="3"/>
  <c r="J2121" i="3"/>
  <c r="J2120" i="3"/>
  <c r="J2119" i="3"/>
  <c r="J2118" i="3"/>
  <c r="J2117" i="3"/>
  <c r="J2116" i="3"/>
  <c r="J2115" i="3"/>
  <c r="J2114" i="3"/>
  <c r="J2113" i="3"/>
  <c r="J2112" i="3"/>
  <c r="J2111" i="3"/>
  <c r="J2110" i="3"/>
  <c r="J2109" i="3"/>
  <c r="J2108" i="3"/>
  <c r="J2107" i="3"/>
  <c r="J2106" i="3"/>
  <c r="J2105" i="3"/>
  <c r="J2104" i="3"/>
  <c r="J2103" i="3"/>
  <c r="J2102" i="3"/>
  <c r="J2101" i="3"/>
  <c r="J2100" i="3"/>
  <c r="J2099" i="3"/>
  <c r="J2098" i="3"/>
  <c r="J2097" i="3"/>
  <c r="J2096" i="3"/>
  <c r="J2095" i="3"/>
  <c r="J2094" i="3"/>
  <c r="J2093" i="3"/>
  <c r="J2092" i="3"/>
  <c r="J2091" i="3"/>
  <c r="J2090" i="3"/>
  <c r="J2089" i="3"/>
  <c r="J2088" i="3"/>
  <c r="J2087" i="3"/>
  <c r="J2086" i="3"/>
  <c r="J2085" i="3"/>
  <c r="J2084" i="3"/>
  <c r="J2083" i="3"/>
  <c r="J2082" i="3"/>
  <c r="J2081" i="3"/>
  <c r="J2080" i="3"/>
  <c r="J2079" i="3"/>
  <c r="J2078" i="3"/>
  <c r="J2077" i="3"/>
  <c r="J2076" i="3"/>
  <c r="J2075" i="3"/>
  <c r="J2074" i="3"/>
  <c r="J2073" i="3"/>
  <c r="J2072" i="3"/>
  <c r="J2071" i="3"/>
  <c r="J2070" i="3"/>
  <c r="J2069" i="3"/>
  <c r="J2068" i="3"/>
  <c r="J2067" i="3"/>
  <c r="J2066" i="3"/>
  <c r="J2065" i="3"/>
  <c r="J2064" i="3"/>
  <c r="J2063" i="3"/>
  <c r="J2062" i="3"/>
  <c r="J2061" i="3"/>
  <c r="J2060" i="3"/>
  <c r="J2059" i="3"/>
  <c r="J2058" i="3"/>
  <c r="J2057" i="3"/>
  <c r="J2056" i="3"/>
  <c r="J2055" i="3"/>
  <c r="J2054" i="3"/>
  <c r="J2053" i="3"/>
  <c r="J2052" i="3"/>
  <c r="J2051" i="3"/>
  <c r="J2050" i="3"/>
  <c r="J2049" i="3"/>
  <c r="J2048" i="3"/>
  <c r="J2047" i="3"/>
  <c r="J2046" i="3"/>
  <c r="J2045" i="3"/>
  <c r="J2044" i="3"/>
  <c r="J2043" i="3"/>
  <c r="J2042" i="3"/>
  <c r="J2041" i="3"/>
  <c r="J2040" i="3"/>
  <c r="J2039" i="3"/>
  <c r="J2038" i="3"/>
  <c r="J2037" i="3"/>
  <c r="J2036" i="3"/>
  <c r="J2035" i="3"/>
  <c r="J2034" i="3"/>
  <c r="J2033" i="3"/>
  <c r="J2032" i="3"/>
  <c r="J2031" i="3"/>
  <c r="J2030" i="3"/>
  <c r="J2029" i="3"/>
  <c r="J2028" i="3"/>
  <c r="J2027" i="3"/>
  <c r="J2026" i="3"/>
  <c r="J2025" i="3"/>
  <c r="J2024" i="3"/>
  <c r="J2023" i="3"/>
  <c r="J2022" i="3"/>
  <c r="J2021" i="3"/>
  <c r="J2020" i="3"/>
  <c r="J2019" i="3"/>
  <c r="J2018" i="3"/>
  <c r="J2017" i="3"/>
  <c r="J2016" i="3"/>
  <c r="J2015" i="3"/>
  <c r="J2014" i="3"/>
  <c r="J2013" i="3"/>
  <c r="J2012" i="3"/>
  <c r="J2011" i="3"/>
  <c r="J2010" i="3"/>
  <c r="J2009" i="3"/>
  <c r="J2008" i="3"/>
  <c r="J2007" i="3"/>
  <c r="J2006" i="3"/>
  <c r="J2005" i="3"/>
  <c r="J2004" i="3"/>
  <c r="J2003" i="3"/>
  <c r="J2002" i="3"/>
  <c r="J2001" i="3"/>
  <c r="J2000" i="3"/>
  <c r="J1999" i="3"/>
  <c r="J1998" i="3"/>
  <c r="J1997" i="3"/>
  <c r="J1996" i="3"/>
  <c r="J1995" i="3"/>
  <c r="J1994" i="3"/>
  <c r="J1993" i="3"/>
  <c r="J1992" i="3"/>
  <c r="J1991" i="3"/>
  <c r="J1990" i="3"/>
  <c r="J1989" i="3"/>
  <c r="J1988" i="3"/>
  <c r="J1987" i="3"/>
  <c r="J1986" i="3"/>
  <c r="J1985" i="3"/>
  <c r="J1984" i="3"/>
  <c r="J1983" i="3"/>
  <c r="J1982" i="3"/>
  <c r="J1981" i="3"/>
  <c r="J1980" i="3"/>
  <c r="J1979" i="3"/>
  <c r="J1978" i="3"/>
  <c r="J1977" i="3"/>
  <c r="J1976" i="3"/>
  <c r="J1975" i="3"/>
  <c r="J1974" i="3"/>
  <c r="J1973" i="3"/>
  <c r="J1972" i="3"/>
  <c r="J1971" i="3"/>
  <c r="J1970" i="3"/>
  <c r="J1969" i="3"/>
  <c r="J1968" i="3"/>
  <c r="J1967" i="3"/>
  <c r="J1966" i="3"/>
  <c r="J1965" i="3"/>
  <c r="J1964" i="3"/>
  <c r="J1963" i="3"/>
  <c r="J1962" i="3"/>
  <c r="J1961" i="3"/>
  <c r="J1960" i="3"/>
  <c r="J1959" i="3"/>
  <c r="J1958" i="3"/>
  <c r="J1957" i="3"/>
  <c r="J1956" i="3"/>
  <c r="J1955" i="3"/>
  <c r="J1954" i="3"/>
  <c r="J1953" i="3"/>
  <c r="J1952" i="3"/>
  <c r="J1951" i="3"/>
  <c r="J1950" i="3"/>
  <c r="J1949" i="3"/>
  <c r="J1948" i="3"/>
  <c r="J1947" i="3"/>
  <c r="J1946" i="3"/>
  <c r="J1945" i="3"/>
  <c r="J1944" i="3"/>
  <c r="J1943" i="3"/>
  <c r="J1942" i="3"/>
  <c r="J1941" i="3"/>
  <c r="J1940" i="3"/>
  <c r="J1939" i="3"/>
  <c r="J1938" i="3"/>
  <c r="J1937" i="3"/>
  <c r="J1936" i="3"/>
  <c r="J1935" i="3"/>
  <c r="J1934" i="3"/>
  <c r="J1933" i="3"/>
  <c r="J1932" i="3"/>
  <c r="J1931" i="3"/>
  <c r="J1930" i="3"/>
  <c r="J1929" i="3"/>
  <c r="J1928" i="3"/>
  <c r="J1927" i="3"/>
  <c r="J1926" i="3"/>
  <c r="J1925" i="3"/>
  <c r="J1924" i="3"/>
  <c r="J1923" i="3"/>
  <c r="J1922" i="3"/>
  <c r="J1921" i="3"/>
  <c r="J1920" i="3"/>
  <c r="J1919" i="3"/>
  <c r="J1918" i="3"/>
  <c r="J1917" i="3"/>
  <c r="J1916" i="3"/>
  <c r="J1915" i="3"/>
  <c r="J1914" i="3"/>
  <c r="J1913" i="3"/>
  <c r="J1912" i="3"/>
  <c r="J1911" i="3"/>
  <c r="J1910" i="3"/>
  <c r="J1909" i="3"/>
  <c r="J1908" i="3"/>
  <c r="J1907" i="3"/>
  <c r="J1906" i="3"/>
  <c r="J1905" i="3"/>
  <c r="J1904" i="3"/>
  <c r="J1903" i="3"/>
  <c r="J1902" i="3"/>
  <c r="J1901" i="3"/>
  <c r="J1900" i="3"/>
  <c r="J1899" i="3"/>
  <c r="J1898" i="3"/>
  <c r="J1897" i="3"/>
  <c r="J1896" i="3"/>
  <c r="J1895" i="3"/>
  <c r="J1894" i="3"/>
  <c r="J1893" i="3"/>
  <c r="J1892" i="3"/>
  <c r="J1891" i="3"/>
  <c r="J1890" i="3"/>
  <c r="J1889" i="3"/>
  <c r="J1888" i="3"/>
  <c r="J1887" i="3"/>
  <c r="J1886" i="3"/>
  <c r="J1885" i="3"/>
  <c r="J1884" i="3"/>
  <c r="J1883" i="3"/>
  <c r="J1882" i="3"/>
  <c r="J1881" i="3"/>
  <c r="J1880" i="3"/>
  <c r="J1879" i="3"/>
  <c r="J1878" i="3"/>
  <c r="J1877" i="3"/>
  <c r="J1876" i="3"/>
  <c r="J1875" i="3"/>
  <c r="J1874" i="3"/>
  <c r="J1873" i="3"/>
  <c r="J1872" i="3"/>
  <c r="J1871" i="3"/>
  <c r="J1870" i="3"/>
  <c r="J1869" i="3"/>
  <c r="J1868" i="3"/>
  <c r="J1867" i="3"/>
  <c r="J1866" i="3"/>
  <c r="J1865" i="3"/>
  <c r="J1864" i="3"/>
  <c r="J1863" i="3"/>
  <c r="J1862" i="3"/>
  <c r="J1861" i="3"/>
  <c r="J1860" i="3"/>
  <c r="J1859" i="3"/>
  <c r="J1858" i="3"/>
  <c r="J1857" i="3"/>
  <c r="J1856" i="3"/>
  <c r="J1855" i="3"/>
  <c r="J1854" i="3"/>
  <c r="J1853" i="3"/>
  <c r="J1852" i="3"/>
  <c r="J1851" i="3"/>
  <c r="J1850" i="3"/>
  <c r="J1849" i="3"/>
  <c r="J1848" i="3"/>
  <c r="J1847" i="3"/>
  <c r="J1846" i="3"/>
  <c r="J1845" i="3"/>
  <c r="J1844" i="3"/>
  <c r="J1843" i="3"/>
  <c r="J1842" i="3"/>
  <c r="J1841" i="3"/>
  <c r="J1840" i="3"/>
  <c r="J1839" i="3"/>
  <c r="J1838" i="3"/>
  <c r="J1837" i="3"/>
  <c r="J1836" i="3"/>
  <c r="J1835" i="3"/>
  <c r="J1834" i="3"/>
  <c r="J1833" i="3"/>
  <c r="J1832" i="3"/>
  <c r="J1831" i="3"/>
  <c r="J1830" i="3"/>
  <c r="J1829" i="3"/>
  <c r="J1828" i="3"/>
  <c r="J1827" i="3"/>
  <c r="J1826" i="3"/>
  <c r="J1825" i="3"/>
  <c r="J1824" i="3"/>
  <c r="J1823" i="3"/>
  <c r="J1822" i="3"/>
  <c r="J1821" i="3"/>
  <c r="J1820" i="3"/>
  <c r="J1819" i="3"/>
  <c r="J1818" i="3"/>
  <c r="J1817" i="3"/>
  <c r="J1816" i="3"/>
  <c r="J1815" i="3"/>
  <c r="J1814" i="3"/>
  <c r="J1813" i="3"/>
  <c r="J1812" i="3"/>
  <c r="J1811" i="3"/>
  <c r="J1810" i="3"/>
  <c r="J1809" i="3"/>
  <c r="J1808" i="3"/>
  <c r="J1807" i="3"/>
  <c r="J1806" i="3"/>
  <c r="J1805" i="3"/>
  <c r="J1804" i="3"/>
  <c r="J1803" i="3"/>
  <c r="J1802" i="3"/>
  <c r="J1801" i="3"/>
  <c r="J1800" i="3"/>
  <c r="J1799" i="3"/>
  <c r="J1798" i="3"/>
  <c r="J1797" i="3"/>
  <c r="J1796" i="3"/>
  <c r="J1795" i="3"/>
  <c r="J1794" i="3"/>
  <c r="J1793" i="3"/>
  <c r="J1792" i="3"/>
  <c r="J1791" i="3"/>
  <c r="J1790" i="3"/>
  <c r="J1789" i="3"/>
  <c r="J1788" i="3"/>
  <c r="J1787" i="3"/>
  <c r="J1786" i="3"/>
  <c r="J1785" i="3"/>
  <c r="J1784" i="3"/>
  <c r="J1783" i="3"/>
  <c r="J1782" i="3"/>
  <c r="J1781" i="3"/>
  <c r="J1780" i="3"/>
  <c r="J1779" i="3"/>
  <c r="J1778" i="3"/>
  <c r="J1777" i="3"/>
  <c r="J1776" i="3"/>
  <c r="J1775" i="3"/>
  <c r="J1774" i="3"/>
  <c r="J1773" i="3"/>
  <c r="J1772" i="3"/>
  <c r="J1771" i="3"/>
  <c r="J1770" i="3"/>
  <c r="J1769" i="3"/>
  <c r="J1768" i="3"/>
  <c r="J1767" i="3"/>
  <c r="J1766" i="3"/>
  <c r="J1765" i="3"/>
  <c r="J1764" i="3"/>
  <c r="J1763" i="3"/>
  <c r="J1762" i="3"/>
  <c r="J1761" i="3"/>
  <c r="J1760" i="3"/>
  <c r="J1759" i="3"/>
  <c r="J1758" i="3"/>
  <c r="J1757" i="3"/>
  <c r="J1756" i="3"/>
  <c r="J1755" i="3"/>
  <c r="J1754" i="3"/>
  <c r="J1753" i="3"/>
  <c r="J1752" i="3"/>
  <c r="J1751" i="3"/>
  <c r="J1750" i="3"/>
  <c r="J1749" i="3"/>
  <c r="J1748" i="3"/>
  <c r="J1747" i="3"/>
  <c r="J1746" i="3"/>
  <c r="J1745" i="3"/>
  <c r="J1744" i="3"/>
  <c r="J1743" i="3"/>
  <c r="J1742" i="3"/>
  <c r="J1741" i="3"/>
  <c r="J1740" i="3"/>
  <c r="J1739" i="3"/>
  <c r="J1738" i="3"/>
  <c r="J1737" i="3"/>
  <c r="J1736" i="3"/>
  <c r="J1735" i="3"/>
  <c r="J1734" i="3"/>
  <c r="J1733" i="3"/>
  <c r="J1732" i="3"/>
  <c r="J1731" i="3"/>
  <c r="J1730" i="3"/>
  <c r="J1729" i="3"/>
  <c r="J1728" i="3"/>
  <c r="J1727" i="3"/>
  <c r="J1726" i="3"/>
  <c r="J1725" i="3"/>
  <c r="J1724" i="3"/>
  <c r="J1723" i="3"/>
  <c r="J1722" i="3"/>
  <c r="J1721" i="3"/>
  <c r="J1720" i="3"/>
  <c r="J1719" i="3"/>
  <c r="J1718" i="3"/>
  <c r="J1717" i="3"/>
  <c r="J1716" i="3"/>
  <c r="J1715" i="3"/>
  <c r="J1714" i="3"/>
  <c r="J1713" i="3"/>
  <c r="J1712" i="3"/>
  <c r="J1711" i="3"/>
  <c r="J1710" i="3"/>
  <c r="J1709" i="3"/>
  <c r="J1708" i="3"/>
  <c r="J1707" i="3"/>
  <c r="J1706" i="3"/>
  <c r="J1705" i="3"/>
  <c r="J1704" i="3"/>
  <c r="J1703" i="3"/>
  <c r="J1702" i="3"/>
  <c r="J1701" i="3"/>
  <c r="J1700" i="3"/>
  <c r="J1699" i="3"/>
  <c r="J1698" i="3"/>
  <c r="J1697" i="3"/>
  <c r="J1696" i="3"/>
  <c r="J1695" i="3"/>
  <c r="J1694" i="3"/>
  <c r="J1693" i="3"/>
  <c r="J1692" i="3"/>
  <c r="J1691" i="3"/>
  <c r="J1690" i="3"/>
  <c r="J1689" i="3"/>
  <c r="J1688" i="3"/>
  <c r="J1687" i="3"/>
  <c r="J1686" i="3"/>
  <c r="J1685" i="3"/>
  <c r="J1684" i="3"/>
  <c r="J1683" i="3"/>
  <c r="J1682" i="3"/>
  <c r="J1681" i="3"/>
  <c r="J1680" i="3"/>
  <c r="J1679" i="3"/>
  <c r="J1678" i="3"/>
  <c r="J1677" i="3"/>
  <c r="J1676" i="3"/>
  <c r="J1675" i="3"/>
  <c r="J1674" i="3"/>
  <c r="J1673" i="3"/>
  <c r="J1672" i="3"/>
  <c r="J1671" i="3"/>
  <c r="J1670" i="3"/>
  <c r="J1669" i="3"/>
  <c r="J1668" i="3"/>
  <c r="J1667" i="3"/>
  <c r="J1666" i="3"/>
  <c r="J1665" i="3"/>
  <c r="J1664" i="3"/>
  <c r="J1663" i="3"/>
  <c r="J1662" i="3"/>
  <c r="J1661" i="3"/>
  <c r="J1660" i="3"/>
  <c r="J1659" i="3"/>
  <c r="J1658" i="3"/>
  <c r="J1657" i="3"/>
  <c r="J1656" i="3"/>
  <c r="J1655" i="3"/>
  <c r="J1654" i="3"/>
  <c r="J1653" i="3"/>
  <c r="J1652" i="3"/>
  <c r="J1651" i="3"/>
  <c r="J1650" i="3"/>
  <c r="J1649" i="3"/>
  <c r="J1648" i="3"/>
  <c r="J1647" i="3"/>
  <c r="J1646" i="3"/>
  <c r="J1645" i="3"/>
  <c r="J1644" i="3"/>
  <c r="J1643" i="3"/>
  <c r="J1642" i="3"/>
  <c r="J1641" i="3"/>
  <c r="J1640" i="3"/>
  <c r="J1639" i="3"/>
  <c r="J1638" i="3"/>
  <c r="J1637" i="3"/>
  <c r="J1636" i="3"/>
  <c r="J1635" i="3"/>
  <c r="J1634" i="3"/>
  <c r="J1633" i="3"/>
  <c r="J1632" i="3"/>
  <c r="J1631" i="3"/>
  <c r="J1630" i="3"/>
  <c r="J1629" i="3"/>
  <c r="J1628" i="3"/>
  <c r="J1627" i="3"/>
  <c r="J162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70" i="3"/>
  <c r="J769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42" i="3"/>
  <c r="J741" i="3"/>
  <c r="J740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7" i="3"/>
  <c r="J706" i="3"/>
  <c r="J705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9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G9" i="3"/>
  <c r="B1" i="3"/>
  <c r="B14" i="14"/>
  <c r="C14" i="14" s="1"/>
  <c r="D14" i="14" s="1"/>
  <c r="B13" i="14"/>
  <c r="C13" i="14" s="1"/>
  <c r="D13" i="14" s="1"/>
  <c r="B12" i="14"/>
  <c r="C12" i="14" s="1"/>
  <c r="D12" i="14" s="1"/>
  <c r="B11" i="14"/>
  <c r="F8" i="14"/>
  <c r="H8" i="14" s="1"/>
  <c r="C11" i="14" l="1"/>
  <c r="D18" i="14" s="1"/>
  <c r="F9" i="14"/>
  <c r="H9" i="14" s="1"/>
  <c r="D11" i="14" l="1"/>
  <c r="F10" i="14"/>
  <c r="H10" i="14" s="1"/>
  <c r="F11" i="14" l="1"/>
  <c r="H11" i="14" s="1"/>
  <c r="F12" i="14" l="1"/>
  <c r="H12" i="14" s="1"/>
  <c r="F13" i="14" l="1"/>
  <c r="H13" i="14" s="1"/>
  <c r="F14" i="14" l="1"/>
  <c r="H14" i="14" l="1"/>
  <c r="F15" i="14"/>
  <c r="H15" i="14" s="1"/>
  <c r="F16" i="14" l="1"/>
  <c r="H16" i="14" s="1"/>
  <c r="F17" i="14" l="1"/>
  <c r="H17" i="14" s="1"/>
  <c r="F18" i="14" l="1"/>
  <c r="H18" i="14" s="1"/>
  <c r="F19" i="14" l="1"/>
  <c r="H19" i="14" s="1"/>
  <c r="F20" i="14" l="1"/>
  <c r="H20" i="14" s="1"/>
  <c r="F21" i="14" l="1"/>
  <c r="H21" i="14" s="1"/>
  <c r="F22" i="14" l="1"/>
  <c r="H22" i="14" s="1"/>
  <c r="G35" i="3"/>
  <c r="G42" i="3" l="1"/>
  <c r="G4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tc={65D3138C-C262-489F-9409-D4A0517E4342}</author>
  </authors>
  <commentList>
    <comment ref="I1" authorId="0" shapeId="0" xr:uid="{65D3138C-C262-489F-9409-D4A0517E434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caso de agregar stock manualmente, copiar esta formula (que calcula el stock sumando los ingresos y restando las ventas por codigo de producto)</t>
        </r>
      </text>
    </comment>
  </commentList>
</comments>
</file>

<file path=xl/sharedStrings.xml><?xml version="1.0" encoding="utf-8"?>
<sst xmlns="http://schemas.openxmlformats.org/spreadsheetml/2006/main" count="197" uniqueCount="115">
  <si>
    <t>CODIGO</t>
  </si>
  <si>
    <t>DESCRIPCION</t>
  </si>
  <si>
    <t>SUBTOTAL</t>
  </si>
  <si>
    <t>FECHA</t>
  </si>
  <si>
    <t>TOTAL</t>
  </si>
  <si>
    <t>PROVEEDOR</t>
  </si>
  <si>
    <t>PRECIO CAJA</t>
  </si>
  <si>
    <t>UNIDADES X CAJA</t>
  </si>
  <si>
    <t>CANTIDAD</t>
  </si>
  <si>
    <t>PRECIO UNIT</t>
  </si>
  <si>
    <t>CLIENTE</t>
  </si>
  <si>
    <t>N° VENTA</t>
  </si>
  <si>
    <t>COSTO UNIT</t>
  </si>
  <si>
    <t>NUMERO DE INGRESO</t>
  </si>
  <si>
    <t>N° FACT</t>
  </si>
  <si>
    <t>NOMBRE</t>
  </si>
  <si>
    <t>SUBTITULO</t>
  </si>
  <si>
    <t>MAYORISTA</t>
  </si>
  <si>
    <t>ABRIR FC AL TOTALIZAR</t>
  </si>
  <si>
    <t>TELEFONO</t>
  </si>
  <si>
    <t>MODO AUTOMATICO</t>
  </si>
  <si>
    <t>SISTEMA DE FACTURACION E INVENTARIOS</t>
  </si>
  <si>
    <t>MEDIOS DE PAGO</t>
  </si>
  <si>
    <t>EFECTIVO</t>
  </si>
  <si>
    <t>TARJETA</t>
  </si>
  <si>
    <t>MEDIO DE PAGO</t>
  </si>
  <si>
    <t>DESDE</t>
  </si>
  <si>
    <t>HASTA</t>
  </si>
  <si>
    <t>VENTAS ULTIMOS 15 DIAS</t>
  </si>
  <si>
    <t>VENTAS</t>
  </si>
  <si>
    <t>TOTALIZADOR SIMPLE</t>
  </si>
  <si>
    <t>PRECIO_MAYORISTA</t>
  </si>
  <si>
    <t>PRECIO_VENTA</t>
  </si>
  <si>
    <t>COSTO</t>
  </si>
  <si>
    <t>PRECIO</t>
  </si>
  <si>
    <t>PRECIO MINORISTA</t>
  </si>
  <si>
    <t>DESCUENTO</t>
  </si>
  <si>
    <t>NUM_LISTA</t>
  </si>
  <si>
    <t>TOP 10 PRODUCTOS MAS VENDIDOS</t>
  </si>
  <si>
    <t>STOCK_MINIMO</t>
  </si>
  <si>
    <t>VENTAS STOCK NEGATIVO</t>
  </si>
  <si>
    <t>PAGO</t>
  </si>
  <si>
    <t>CUENTA CORRIENTE</t>
  </si>
  <si>
    <t>PARRAFO_1</t>
  </si>
  <si>
    <t>PARRAFO_2</t>
  </si>
  <si>
    <t>PARRAFO_3</t>
  </si>
  <si>
    <t>NIT:</t>
  </si>
  <si>
    <t>RNT:</t>
  </si>
  <si>
    <t>HORARIO:</t>
  </si>
  <si>
    <t>DIRECCION:</t>
  </si>
  <si>
    <t>IDENTIFICACION</t>
  </si>
  <si>
    <t>CORREO</t>
  </si>
  <si>
    <t>CANT</t>
  </si>
  <si>
    <t>Total</t>
  </si>
  <si>
    <t>Consumidor Final</t>
  </si>
  <si>
    <t>PAGO $</t>
  </si>
  <si>
    <t>CAMBIO $</t>
  </si>
  <si>
    <t>EMPRESA:</t>
  </si>
  <si>
    <t>FECHA:</t>
  </si>
  <si>
    <t>TOTAL DE VENTAS POR MEDIOS DE PAGO</t>
  </si>
  <si>
    <t>TOTAL GENERAL:</t>
  </si>
  <si>
    <t>TRANSFERENCIA</t>
  </si>
  <si>
    <t>CIERRE DE CAJA</t>
  </si>
  <si>
    <t>VENTAS EN EFECTIVO</t>
  </si>
  <si>
    <t>EFECTIVO DECLARADO</t>
  </si>
  <si>
    <t>DIFERENCIA</t>
  </si>
  <si>
    <t>DETALLE</t>
  </si>
  <si>
    <t>FECHA DESDE:</t>
  </si>
  <si>
    <t>FECHA HASTA:</t>
  </si>
  <si>
    <t>INGRESOS</t>
  </si>
  <si>
    <t>PAGOS DE CLIENTES</t>
  </si>
  <si>
    <t>TOTAL DE INGRESOS</t>
  </si>
  <si>
    <t>EGRESOS</t>
  </si>
  <si>
    <t>COMPRA DE MERCADERIAS</t>
  </si>
  <si>
    <t>ESTADO CUENTA CORRIENTE</t>
  </si>
  <si>
    <t>VENTAS C. CORRIENTES</t>
  </si>
  <si>
    <t>INGRESOS DE MERCADERIAS</t>
  </si>
  <si>
    <t>123-P</t>
  </si>
  <si>
    <t>DEUDORES C. CORRIENTE</t>
  </si>
  <si>
    <t>CONFIGURACION DEL SISTEMA</t>
  </si>
  <si>
    <t>TABLA DE CONFIGURACIONES GENERALES</t>
  </si>
  <si>
    <t>NOMBRE DE EMPRESA</t>
  </si>
  <si>
    <t/>
  </si>
  <si>
    <t>CAJERO 1</t>
  </si>
  <si>
    <t>CAJERO 2</t>
  </si>
  <si>
    <t>CAJERO 3</t>
  </si>
  <si>
    <t>CAJERO</t>
  </si>
  <si>
    <t>CUIT:</t>
  </si>
  <si>
    <t>TELEFONOS:</t>
  </si>
  <si>
    <t>REPORTE GENERAL</t>
  </si>
  <si>
    <t>MONEDA</t>
  </si>
  <si>
    <t>BUSCADOR PRODUCTOS</t>
  </si>
  <si>
    <t>8:00am - 17:30pm</t>
  </si>
  <si>
    <t>MODO PUNTO DE VENTA</t>
  </si>
  <si>
    <t>PANTUTIENDA.COM</t>
  </si>
  <si>
    <t>30/11</t>
  </si>
  <si>
    <t>DEVOLUCIONES</t>
  </si>
  <si>
    <r>
      <t xml:space="preserve">DESARROLLADO Y DISTRIBUIDO GRATIS POR </t>
    </r>
    <r>
      <rPr>
        <b/>
        <sz val="9"/>
        <color theme="9" tint="-0.499984740745262"/>
        <rFont val="Calibri"/>
        <family val="2"/>
        <scheme val="minor"/>
      </rPr>
      <t>EXCEL-ENTE.COM</t>
    </r>
  </si>
  <si>
    <t>00001-00000005</t>
  </si>
  <si>
    <t>Version 5.6 -14/2/2025</t>
  </si>
  <si>
    <t>UNIVERSAL PC, SOCIEDAD ANÓNIMA</t>
  </si>
  <si>
    <t>7 AVENIDA 13-01, LOCAL B-8, zona 9, GUATEMALA, GUATEMALA</t>
  </si>
  <si>
    <t>4221-2271</t>
  </si>
  <si>
    <t>Q.</t>
  </si>
  <si>
    <t>CPUD001</t>
  </si>
  <si>
    <t>CPUD002 / CPU DELL OPTIPLEX 7040 CORE I3 6TA. (TINY) 8 RAM/240GB SSD</t>
  </si>
  <si>
    <t>INVENTARIO INICIAL</t>
  </si>
  <si>
    <t>CPUH003</t>
  </si>
  <si>
    <t>CPUH003 / CPU HP ELITE PRO 6200/8200 CORE I5 2DA. (DESKTOP) 8GB RAM/320GB HDD</t>
  </si>
  <si>
    <t>Excel-ente</t>
  </si>
  <si>
    <t>HUGO</t>
  </si>
  <si>
    <t>112154</t>
  </si>
  <si>
    <t>15DSFA5SD4F</t>
  </si>
  <si>
    <t>00001-00000001</t>
  </si>
  <si>
    <t>00001-00000002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</si>
</sst>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dd/mm/yyyy"/>
    <numFmt numFmtId="166" formatCode="&quot;$&quot;#,##0.00_);\(&quot;$&quot;#,##0.00\)"/>
    <numFmt numFmtId="167" formatCode="_-[$Q-100A]* #,##0.00_-;\-[$Q-100A]* #,##0.00_-;_-[$Q-100A]* &quot;-&quot;??_-;_-@_-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666262"/>
      <name val="Arial Rounded MT Bold"/>
      <family val="2"/>
    </font>
    <font>
      <sz val="12"/>
      <color rgb="FF666262"/>
      <name val="Arial Rounded MT Bold"/>
      <family val="2"/>
    </font>
    <font>
      <sz val="20"/>
      <color rgb="FF666262"/>
      <name val="Arial Rounded MT Bold"/>
      <family val="2"/>
    </font>
    <font>
      <sz val="10"/>
      <color rgb="FF666262"/>
      <name val="Arial Rounded MT Bold"/>
      <family val="2"/>
    </font>
    <font>
      <sz val="12"/>
      <color rgb="FFFF0000"/>
      <name val="Arial Rounded MT Bold"/>
      <family val="2"/>
    </font>
    <font>
      <b/>
      <sz val="18"/>
      <color theme="1"/>
      <name val="Calibri"/>
      <family val="2"/>
      <scheme val="minor"/>
    </font>
    <font>
      <b/>
      <sz val="12"/>
      <color rgb="FF000000"/>
      <name val="CalibIRi bo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1"/>
      <color rgb="FFFF0000"/>
      <name val="Arial Rounded MT Bold"/>
      <family val="2"/>
    </font>
    <font>
      <sz val="9"/>
      <color rgb="FF666262"/>
      <name val="Arial Rounded MT Bold"/>
      <family val="2"/>
    </font>
    <font>
      <sz val="10"/>
      <color theme="1"/>
      <name val="Arial Rounded MT Bold"/>
      <family val="2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sz val="12"/>
      <color theme="1"/>
      <name val="Arial Rounded MT Bold"/>
      <family val="2"/>
    </font>
    <font>
      <sz val="22"/>
      <color theme="1"/>
      <name val="Arial Rounded MT Bold"/>
      <family val="2"/>
    </font>
    <font>
      <b/>
      <sz val="11"/>
      <color rgb="FF666262"/>
      <name val="Arial Rounded MT Bold"/>
      <family val="2"/>
    </font>
    <font>
      <sz val="16"/>
      <color theme="1"/>
      <name val="Arial Rounded MT Bold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B5A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4" fontId="2" fillId="2" borderId="2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4" fontId="0" fillId="0" borderId="0" xfId="1" applyFont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164" fontId="0" fillId="0" borderId="0" xfId="1" applyFont="1" applyAlignment="1">
      <alignment horizontal="center"/>
    </xf>
    <xf numFmtId="164" fontId="0" fillId="3" borderId="2" xfId="1" applyFont="1" applyFill="1" applyBorder="1" applyAlignment="1">
      <alignment horizontal="center"/>
    </xf>
    <xf numFmtId="164" fontId="0" fillId="3" borderId="3" xfId="1" applyFon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4" fontId="0" fillId="0" borderId="0" xfId="1" applyFont="1"/>
    <xf numFmtId="164" fontId="0" fillId="4" borderId="3" xfId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3" fontId="0" fillId="0" borderId="0" xfId="0" applyNumberFormat="1" applyAlignment="1">
      <alignment horizontal="center"/>
    </xf>
    <xf numFmtId="164" fontId="0" fillId="4" borderId="1" xfId="1" applyFont="1" applyFill="1" applyBorder="1" applyAlignment="1">
      <alignment horizontal="center"/>
    </xf>
    <xf numFmtId="0" fontId="0" fillId="5" borderId="0" xfId="0" applyFill="1"/>
    <xf numFmtId="49" fontId="2" fillId="2" borderId="2" xfId="1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" fontId="0" fillId="4" borderId="1" xfId="1" applyNumberFormat="1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left"/>
    </xf>
    <xf numFmtId="164" fontId="5" fillId="0" borderId="0" xfId="1" applyFont="1" applyBorder="1" applyProtection="1"/>
    <xf numFmtId="164" fontId="5" fillId="0" borderId="0" xfId="1" applyFont="1" applyBorder="1" applyAlignment="1" applyProtection="1">
      <alignment horizontal="center"/>
    </xf>
    <xf numFmtId="164" fontId="5" fillId="0" borderId="0" xfId="1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4" fontId="5" fillId="3" borderId="0" xfId="1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0" borderId="0" xfId="1" applyFont="1" applyBorder="1" applyAlignment="1" applyProtection="1">
      <alignment horizontal="center" vertical="center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left" vertical="top"/>
    </xf>
    <xf numFmtId="0" fontId="5" fillId="3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left" vertical="top"/>
    </xf>
    <xf numFmtId="0" fontId="5" fillId="0" borderId="0" xfId="0" applyFont="1" applyAlignment="1">
      <alignment vertical="top"/>
    </xf>
    <xf numFmtId="164" fontId="9" fillId="3" borderId="0" xfId="1" applyFont="1" applyFill="1" applyBorder="1" applyAlignment="1" applyProtection="1">
      <alignment horizontal="center" vertical="center"/>
    </xf>
    <xf numFmtId="3" fontId="0" fillId="4" borderId="3" xfId="1" applyNumberFormat="1" applyFont="1" applyFill="1" applyBorder="1" applyAlignment="1">
      <alignment horizontal="center"/>
    </xf>
    <xf numFmtId="0" fontId="0" fillId="7" borderId="0" xfId="0" applyFill="1"/>
    <xf numFmtId="0" fontId="14" fillId="6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0" fillId="9" borderId="0" xfId="0" applyFill="1"/>
    <xf numFmtId="0" fontId="15" fillId="9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/>
    </xf>
    <xf numFmtId="4" fontId="19" fillId="0" borderId="0" xfId="0" applyNumberFormat="1" applyFont="1" applyAlignment="1" applyProtection="1">
      <alignment horizontal="center"/>
      <protection locked="0"/>
    </xf>
    <xf numFmtId="164" fontId="2" fillId="2" borderId="2" xfId="1" applyFont="1" applyFill="1" applyBorder="1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5" fillId="3" borderId="0" xfId="0" applyFont="1" applyFill="1"/>
    <xf numFmtId="0" fontId="5" fillId="3" borderId="0" xfId="0" applyFont="1" applyFill="1" applyAlignment="1">
      <alignment horizontal="center"/>
    </xf>
    <xf numFmtId="164" fontId="5" fillId="2" borderId="0" xfId="1" applyFont="1" applyFill="1" applyAlignment="1">
      <alignment horizontal="center" vertical="center"/>
    </xf>
    <xf numFmtId="164" fontId="20" fillId="2" borderId="0" xfId="1" applyFont="1" applyFill="1" applyAlignment="1">
      <alignment horizontal="center" vertical="center"/>
    </xf>
    <xf numFmtId="49" fontId="2" fillId="2" borderId="2" xfId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top"/>
    </xf>
    <xf numFmtId="0" fontId="21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center"/>
    </xf>
    <xf numFmtId="164" fontId="24" fillId="0" borderId="0" xfId="1" applyFont="1" applyFill="1" applyBorder="1" applyAlignment="1" applyProtection="1">
      <alignment horizontal="center"/>
    </xf>
    <xf numFmtId="22" fontId="25" fillId="0" borderId="0" xfId="1" applyNumberFormat="1" applyFont="1" applyBorder="1" applyAlignment="1" applyProtection="1">
      <alignment horizontal="center"/>
    </xf>
    <xf numFmtId="0" fontId="26" fillId="0" borderId="0" xfId="0" applyFont="1" applyAlignment="1">
      <alignment horizontal="left"/>
    </xf>
    <xf numFmtId="0" fontId="27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left" vertical="center"/>
    </xf>
    <xf numFmtId="164" fontId="27" fillId="3" borderId="0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164" fontId="27" fillId="0" borderId="0" xfId="1" applyFont="1" applyBorder="1" applyAlignment="1" applyProtection="1">
      <alignment horizontal="center"/>
    </xf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4" fillId="2" borderId="0" xfId="0" applyFont="1" applyFill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horizontal="left"/>
    </xf>
    <xf numFmtId="14" fontId="0" fillId="0" borderId="0" xfId="0" applyNumberFormat="1" applyAlignment="1">
      <alignment horizontal="center"/>
    </xf>
    <xf numFmtId="4" fontId="0" fillId="0" borderId="0" xfId="0" applyNumberFormat="1"/>
    <xf numFmtId="164" fontId="0" fillId="0" borderId="0" xfId="1" applyFont="1" applyAlignment="1"/>
    <xf numFmtId="164" fontId="0" fillId="0" borderId="0" xfId="0" applyNumberFormat="1"/>
    <xf numFmtId="0" fontId="0" fillId="2" borderId="0" xfId="0" applyFill="1"/>
    <xf numFmtId="0" fontId="0" fillId="10" borderId="0" xfId="0" applyFill="1"/>
    <xf numFmtId="0" fontId="29" fillId="0" borderId="0" xfId="0" applyFont="1" applyAlignment="1">
      <alignment horizontal="right"/>
    </xf>
    <xf numFmtId="0" fontId="4" fillId="0" borderId="0" xfId="0" applyFont="1"/>
    <xf numFmtId="0" fontId="30" fillId="0" borderId="0" xfId="0" applyFont="1"/>
    <xf numFmtId="0" fontId="31" fillId="11" borderId="0" xfId="0" applyFont="1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4" fontId="0" fillId="5" borderId="0" xfId="0" applyNumberFormat="1" applyFill="1" applyAlignment="1">
      <alignment horizontal="center" vertical="center"/>
    </xf>
    <xf numFmtId="14" fontId="0" fillId="3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left" vertical="center"/>
    </xf>
    <xf numFmtId="4" fontId="7" fillId="0" borderId="0" xfId="0" applyNumberFormat="1" applyFont="1" applyAlignment="1">
      <alignment horizontal="left"/>
    </xf>
    <xf numFmtId="4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left" vertical="top"/>
    </xf>
    <xf numFmtId="4" fontId="27" fillId="3" borderId="0" xfId="0" applyNumberFormat="1" applyFont="1" applyFill="1" applyAlignment="1">
      <alignment horizontal="center" vertical="center"/>
    </xf>
    <xf numFmtId="4" fontId="27" fillId="0" borderId="0" xfId="0" applyNumberFormat="1" applyFont="1" applyAlignment="1">
      <alignment horizontal="center"/>
    </xf>
    <xf numFmtId="4" fontId="5" fillId="0" borderId="0" xfId="0" applyNumberFormat="1" applyFont="1"/>
    <xf numFmtId="4" fontId="5" fillId="0" borderId="0" xfId="0" applyNumberFormat="1" applyFont="1" applyAlignment="1">
      <alignment horizontal="center" vertical="center"/>
    </xf>
    <xf numFmtId="4" fontId="5" fillId="3" borderId="0" xfId="0" applyNumberFormat="1" applyFont="1" applyFill="1" applyAlignment="1">
      <alignment horizontal="center"/>
    </xf>
    <xf numFmtId="4" fontId="27" fillId="3" borderId="0" xfId="1" applyNumberFormat="1" applyFont="1" applyFill="1" applyBorder="1" applyAlignment="1" applyProtection="1">
      <alignment horizontal="center" vertical="center"/>
    </xf>
    <xf numFmtId="4" fontId="27" fillId="0" borderId="0" xfId="1" applyNumberFormat="1" applyFont="1" applyBorder="1" applyAlignment="1" applyProtection="1">
      <alignment horizontal="center"/>
    </xf>
    <xf numFmtId="4" fontId="5" fillId="0" borderId="0" xfId="1" applyNumberFormat="1" applyFont="1" applyBorder="1" applyAlignment="1" applyProtection="1">
      <alignment horizontal="center"/>
    </xf>
    <xf numFmtId="4" fontId="5" fillId="2" borderId="0" xfId="1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left"/>
    </xf>
    <xf numFmtId="4" fontId="6" fillId="0" borderId="0" xfId="1" applyNumberFormat="1" applyFont="1" applyBorder="1" applyAlignment="1" applyProtection="1">
      <alignment horizontal="center" vertical="center"/>
    </xf>
    <xf numFmtId="4" fontId="9" fillId="3" borderId="0" xfId="1" applyNumberFormat="1" applyFont="1" applyFill="1" applyBorder="1" applyAlignment="1" applyProtection="1">
      <alignment horizontal="center" vertical="center"/>
    </xf>
    <xf numFmtId="4" fontId="20" fillId="2" borderId="0" xfId="1" applyNumberFormat="1" applyFont="1" applyFill="1" applyAlignment="1">
      <alignment horizontal="center" vertical="center"/>
    </xf>
    <xf numFmtId="4" fontId="5" fillId="0" borderId="0" xfId="1" applyNumberFormat="1" applyFont="1" applyBorder="1"/>
    <xf numFmtId="4" fontId="5" fillId="0" borderId="0" xfId="1" applyNumberFormat="1" applyFont="1" applyBorder="1" applyProtection="1"/>
    <xf numFmtId="4" fontId="24" fillId="2" borderId="0" xfId="0" applyNumberFormat="1" applyFont="1" applyFill="1" applyAlignment="1">
      <alignment horizontal="right" vertical="center"/>
    </xf>
    <xf numFmtId="4" fontId="24" fillId="0" borderId="0" xfId="0" applyNumberFormat="1" applyFont="1" applyAlignment="1">
      <alignment horizontal="right" vertical="center"/>
    </xf>
    <xf numFmtId="4" fontId="6" fillId="0" borderId="0" xfId="0" applyNumberFormat="1" applyFont="1" applyAlignment="1">
      <alignment horizontal="right" vertical="center"/>
    </xf>
    <xf numFmtId="4" fontId="24" fillId="0" borderId="0" xfId="0" applyNumberFormat="1" applyFont="1" applyAlignment="1">
      <alignment horizontal="left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4" fontId="1" fillId="3" borderId="0" xfId="1" applyNumberFormat="1" applyFont="1" applyFill="1" applyBorder="1" applyAlignment="1" applyProtection="1">
      <alignment horizontal="center" vertical="center"/>
    </xf>
    <xf numFmtId="0" fontId="32" fillId="6" borderId="0" xfId="0" applyFont="1" applyFill="1" applyAlignment="1">
      <alignment horizontal="center" vertical="center"/>
    </xf>
    <xf numFmtId="4" fontId="19" fillId="0" borderId="0" xfId="0" applyNumberFormat="1" applyFont="1" applyAlignment="1" applyProtection="1">
      <alignment horizontal="center" vertical="center"/>
      <protection locked="0"/>
    </xf>
    <xf numFmtId="0" fontId="0" fillId="9" borderId="0" xfId="0" applyFill="1" applyProtection="1">
      <protection locked="0"/>
    </xf>
    <xf numFmtId="0" fontId="15" fillId="9" borderId="0" xfId="0" applyFont="1" applyFill="1" applyAlignment="1" applyProtection="1">
      <alignment horizontal="center"/>
      <protection locked="0"/>
    </xf>
    <xf numFmtId="0" fontId="10" fillId="9" borderId="0" xfId="0" applyFont="1" applyFill="1" applyAlignment="1">
      <alignment vertical="center"/>
    </xf>
    <xf numFmtId="0" fontId="35" fillId="9" borderId="0" xfId="0" applyFont="1" applyFill="1"/>
    <xf numFmtId="0" fontId="1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vertical="center"/>
    </xf>
    <xf numFmtId="0" fontId="0" fillId="9" borderId="0" xfId="0" applyFill="1" applyAlignment="1">
      <alignment horizontal="center" vertical="center"/>
    </xf>
    <xf numFmtId="0" fontId="14" fillId="9" borderId="0" xfId="0" applyFont="1" applyFill="1" applyAlignment="1">
      <alignment horizontal="right" vertical="center"/>
    </xf>
    <xf numFmtId="0" fontId="17" fillId="9" borderId="0" xfId="0" applyFont="1" applyFill="1" applyProtection="1">
      <protection locked="0"/>
    </xf>
    <xf numFmtId="0" fontId="17" fillId="7" borderId="0" xfId="0" applyFont="1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34" fillId="6" borderId="0" xfId="0" applyFont="1" applyFill="1" applyAlignment="1" applyProtection="1">
      <alignment horizontal="center"/>
      <protection locked="0"/>
    </xf>
    <xf numFmtId="14" fontId="2" fillId="2" borderId="0" xfId="0" applyNumberFormat="1" applyFont="1" applyFill="1" applyAlignment="1" applyProtection="1">
      <alignment horizontal="center"/>
      <protection locked="0"/>
    </xf>
    <xf numFmtId="4" fontId="2" fillId="2" borderId="0" xfId="1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1" applyNumberFormat="1" applyFont="1" applyFill="1" applyAlignment="1" applyProtection="1">
      <protection locked="0"/>
    </xf>
    <xf numFmtId="165" fontId="18" fillId="5" borderId="0" xfId="0" applyNumberFormat="1" applyFont="1" applyFill="1" applyAlignment="1" applyProtection="1">
      <alignment horizontal="center"/>
      <protection locked="0"/>
    </xf>
    <xf numFmtId="0" fontId="2" fillId="6" borderId="0" xfId="0" applyFont="1" applyFill="1" applyProtection="1">
      <protection locked="0"/>
    </xf>
    <xf numFmtId="4" fontId="13" fillId="5" borderId="0" xfId="1" applyNumberFormat="1" applyFont="1" applyFill="1" applyAlignment="1" applyProtection="1">
      <alignment horizontal="center" vertical="center"/>
      <protection locked="0"/>
    </xf>
    <xf numFmtId="4" fontId="0" fillId="9" borderId="0" xfId="0" applyNumberForma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left"/>
      <protection locked="0"/>
    </xf>
    <xf numFmtId="0" fontId="2" fillId="8" borderId="0" xfId="0" applyFont="1" applyFill="1" applyAlignment="1" applyProtection="1">
      <alignment horizontal="left"/>
      <protection locked="0"/>
    </xf>
    <xf numFmtId="0" fontId="33" fillId="3" borderId="0" xfId="0" applyFont="1" applyFill="1" applyAlignment="1" applyProtection="1">
      <alignment horizontal="center" vertical="center"/>
      <protection locked="0"/>
    </xf>
    <xf numFmtId="0" fontId="33" fillId="3" borderId="0" xfId="0" applyFont="1" applyFill="1" applyAlignment="1" applyProtection="1">
      <alignment horizontal="center"/>
      <protection locked="0"/>
    </xf>
    <xf numFmtId="0" fontId="32" fillId="9" borderId="0" xfId="0" applyFont="1" applyFill="1" applyProtection="1">
      <protection locked="0"/>
    </xf>
    <xf numFmtId="0" fontId="0" fillId="7" borderId="0" xfId="0" applyFill="1" applyAlignment="1" applyProtection="1">
      <alignment horizontal="left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4" fontId="2" fillId="5" borderId="0" xfId="1" applyNumberFormat="1" applyFont="1" applyFill="1" applyAlignment="1" applyProtection="1">
      <alignment horizontal="center" vertical="center"/>
      <protection locked="0"/>
    </xf>
    <xf numFmtId="166" fontId="0" fillId="0" borderId="0" xfId="1" applyNumberFormat="1" applyFont="1" applyAlignment="1"/>
    <xf numFmtId="166" fontId="0" fillId="0" borderId="0" xfId="1" applyNumberFormat="1" applyFont="1"/>
    <xf numFmtId="166" fontId="2" fillId="0" borderId="0" xfId="0" applyNumberFormat="1" applyFont="1"/>
    <xf numFmtId="49" fontId="26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top"/>
    </xf>
    <xf numFmtId="49" fontId="22" fillId="0" borderId="0" xfId="0" applyNumberFormat="1" applyFont="1" applyAlignment="1">
      <alignment horizontal="left" vertical="top"/>
    </xf>
    <xf numFmtId="49" fontId="27" fillId="3" borderId="0" xfId="0" applyNumberFormat="1" applyFont="1" applyFill="1" applyAlignment="1">
      <alignment horizontal="center" vertical="center"/>
    </xf>
    <xf numFmtId="49" fontId="27" fillId="0" borderId="0" xfId="0" applyNumberFormat="1" applyFont="1" applyAlignment="1">
      <alignment horizontal="center"/>
    </xf>
    <xf numFmtId="49" fontId="5" fillId="3" borderId="0" xfId="0" applyNumberFormat="1" applyFont="1" applyFill="1" applyAlignment="1">
      <alignment horizontal="left" vertical="center"/>
    </xf>
    <xf numFmtId="167" fontId="24" fillId="2" borderId="0" xfId="0" applyNumberFormat="1" applyFont="1" applyFill="1" applyAlignment="1">
      <alignment horizontal="right" vertical="center"/>
    </xf>
    <xf numFmtId="0" fontId="31" fillId="11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2" fillId="8" borderId="0" xfId="0" applyFont="1" applyFill="1" applyAlignment="1" applyProtection="1">
      <alignment horizontal="center"/>
      <protection locked="0"/>
    </xf>
    <xf numFmtId="0" fontId="15" fillId="8" borderId="0" xfId="0" applyFont="1" applyFill="1" applyAlignment="1" applyProtection="1">
      <alignment horizontal="center"/>
      <protection locked="0"/>
    </xf>
    <xf numFmtId="0" fontId="23" fillId="0" borderId="0" xfId="0" applyFont="1" applyAlignment="1">
      <alignment horizontal="left" vertical="center"/>
    </xf>
    <xf numFmtId="164" fontId="28" fillId="3" borderId="0" xfId="1" applyFont="1" applyFill="1" applyBorder="1" applyAlignment="1" applyProtection="1">
      <alignment horizontal="right" vertical="center"/>
    </xf>
    <xf numFmtId="1" fontId="8" fillId="0" borderId="0" xfId="0" applyNumberFormat="1" applyFont="1" applyAlignment="1">
      <alignment horizontal="left" vertical="top"/>
    </xf>
    <xf numFmtId="1" fontId="8" fillId="0" borderId="0" xfId="0" applyNumberFormat="1" applyFont="1" applyAlignment="1">
      <alignment vertical="top"/>
    </xf>
    <xf numFmtId="0" fontId="21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64" fontId="0" fillId="0" borderId="0" xfId="1" applyFont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0" borderId="0" xfId="0" applyNumberFormat="1" applyAlignment="1">
      <alignment horizontal="center"/>
    </xf>
  </cellXfs>
  <cellStyles count="5">
    <cellStyle name="Moneda" xfId="1" builtinId="4"/>
    <cellStyle name="Moneda 2" xfId="2" xr:uid="{37F44887-D191-49D1-A079-CC60C65D76EC}"/>
    <cellStyle name="Moneda 2 2" xfId="4" xr:uid="{A1EE1D47-24EB-4FB3-8409-D252678926A5}"/>
    <cellStyle name="Moneda 3" xfId="3" xr:uid="{D168C41A-EAD1-4F99-88B8-101AF10A1F6B}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5A3"/>
      <color rgb="FF03E313"/>
      <color rgb="FF02AE0E"/>
      <color rgb="FF666262"/>
      <color rgb="FFDDF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76200</xdr:rowOff>
        </xdr:from>
        <xdr:to>
          <xdr:col>1</xdr:col>
          <xdr:colOff>1095375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GT" sz="1200" b="1" i="0" u="none" strike="noStrike" baseline="0">
                  <a:solidFill>
                    <a:srgbClr val="000000"/>
                  </a:solidFill>
                  <a:latin typeface="CalibIRi bo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63991</xdr:colOff>
      <xdr:row>0</xdr:row>
      <xdr:rowOff>42259</xdr:rowOff>
    </xdr:from>
    <xdr:to>
      <xdr:col>6</xdr:col>
      <xdr:colOff>818030</xdr:colOff>
      <xdr:row>7</xdr:row>
      <xdr:rowOff>168089</xdr:rowOff>
    </xdr:to>
    <xdr:pic>
      <xdr:nvPicPr>
        <xdr:cNvPr id="2" name="IM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521256" y="42259"/>
          <a:ext cx="1740156" cy="14817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2438399</xdr:colOff>
      <xdr:row>0</xdr:row>
      <xdr:rowOff>162163</xdr:rowOff>
    </xdr:from>
    <xdr:to>
      <xdr:col>6</xdr:col>
      <xdr:colOff>1299881</xdr:colOff>
      <xdr:row>5</xdr:row>
      <xdr:rowOff>74756</xdr:rowOff>
    </xdr:to>
    <xdr:pic>
      <xdr:nvPicPr>
        <xdr:cNvPr id="2" name="IM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73879" y="162163"/>
          <a:ext cx="3662082" cy="90319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evin turkienich" id="{2C9FCE82-8172-4E87-961B-6673B94CB6ED}" userId="3c20b84fd4acf0b7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" dT="2023-07-13T13:25:13.97" personId="{2C9FCE82-8172-4E87-961B-6673B94CB6ED}" id="{65D3138C-C262-489F-9409-D4A0517E4342}">
    <text>En caso de agregar stock manualmente, copiar esta formula (que calcula el stock sumando los ingresos y restando las ventas por codigo de producto)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82CF8-EC5D-471C-9C6E-B704552A11B2}">
  <sheetPr codeName="CONFIG"/>
  <dimension ref="A1:I17"/>
  <sheetViews>
    <sheetView showGridLines="0" workbookViewId="0">
      <selection activeCell="D10" sqref="D10"/>
    </sheetView>
  </sheetViews>
  <sheetFormatPr baseColWidth="10" defaultColWidth="0" defaultRowHeight="15"/>
  <cols>
    <col min="1" max="1" width="21.7109375" customWidth="1"/>
    <col min="2" max="2" width="22.42578125" style="3" customWidth="1"/>
    <col min="3" max="3" width="1.85546875" customWidth="1"/>
    <col min="4" max="4" width="19.28515625" customWidth="1"/>
    <col min="5" max="5" width="2.28515625" customWidth="1"/>
    <col min="6" max="9" width="0" hidden="1" customWidth="1"/>
    <col min="10" max="16384" width="11.5703125" hidden="1"/>
  </cols>
  <sheetData>
    <row r="1" spans="1:4" ht="17.45" customHeight="1">
      <c r="A1" s="170" t="s">
        <v>79</v>
      </c>
      <c r="B1" s="170"/>
      <c r="C1" s="170"/>
      <c r="D1" s="170"/>
    </row>
    <row r="2" spans="1:4" ht="5.45" customHeight="1">
      <c r="A2" s="170"/>
      <c r="B2" s="170"/>
      <c r="C2" s="170"/>
      <c r="D2" s="170"/>
    </row>
    <row r="3" spans="1:4">
      <c r="A3" s="169" t="s">
        <v>80</v>
      </c>
      <c r="B3" s="169"/>
      <c r="D3" s="92" t="s">
        <v>22</v>
      </c>
    </row>
    <row r="4" spans="1:4">
      <c r="A4" s="47" t="s">
        <v>81</v>
      </c>
      <c r="B4" s="48" t="s">
        <v>100</v>
      </c>
      <c r="D4" s="48" t="s">
        <v>23</v>
      </c>
    </row>
    <row r="5" spans="1:4">
      <c r="A5" s="47" t="s">
        <v>16</v>
      </c>
      <c r="B5" s="48" t="s">
        <v>101</v>
      </c>
      <c r="D5" s="48" t="s">
        <v>24</v>
      </c>
    </row>
    <row r="6" spans="1:4">
      <c r="A6" s="47" t="s">
        <v>43</v>
      </c>
      <c r="B6" s="48">
        <v>112067409</v>
      </c>
      <c r="D6" s="48" t="s">
        <v>61</v>
      </c>
    </row>
    <row r="7" spans="1:4">
      <c r="A7" s="47" t="s">
        <v>44</v>
      </c>
      <c r="B7" s="48" t="s">
        <v>102</v>
      </c>
      <c r="D7" s="48" t="s">
        <v>42</v>
      </c>
    </row>
    <row r="8" spans="1:4">
      <c r="A8" s="47" t="s">
        <v>45</v>
      </c>
      <c r="B8" s="48" t="s">
        <v>92</v>
      </c>
    </row>
    <row r="9" spans="1:4">
      <c r="A9" s="47" t="s">
        <v>17</v>
      </c>
      <c r="B9" s="48" t="b">
        <v>1</v>
      </c>
      <c r="D9" s="92" t="s">
        <v>62</v>
      </c>
    </row>
    <row r="10" spans="1:4">
      <c r="A10" s="47" t="s">
        <v>20</v>
      </c>
      <c r="B10" s="48" t="b">
        <v>1</v>
      </c>
      <c r="D10" s="93">
        <v>45604</v>
      </c>
    </row>
    <row r="11" spans="1:4">
      <c r="A11" s="47" t="s">
        <v>18</v>
      </c>
      <c r="B11" s="48" t="b">
        <v>1</v>
      </c>
      <c r="D11" s="94">
        <f>SUMIF('FACTURAS EMITIDAS'!A:A,HOY,'FACTURAS EMITIDAS'!D:D)</f>
        <v>0</v>
      </c>
    </row>
    <row r="12" spans="1:4">
      <c r="A12" s="47" t="s">
        <v>30</v>
      </c>
      <c r="B12" s="48" t="b">
        <v>1</v>
      </c>
      <c r="D12" s="94">
        <v>0</v>
      </c>
    </row>
    <row r="13" spans="1:4">
      <c r="A13" s="47" t="s">
        <v>35</v>
      </c>
      <c r="B13" s="48" t="b">
        <v>1</v>
      </c>
      <c r="D13" s="94">
        <f>-SUMIFS(RETIROS!C:C,RETIROS!A:A,HOY)</f>
        <v>0</v>
      </c>
    </row>
    <row r="14" spans="1:4">
      <c r="A14" s="47" t="s">
        <v>40</v>
      </c>
      <c r="B14" s="48" t="b">
        <v>1</v>
      </c>
    </row>
    <row r="15" spans="1:4">
      <c r="A15" s="47" t="s">
        <v>90</v>
      </c>
      <c r="B15" s="48" t="s">
        <v>103</v>
      </c>
    </row>
    <row r="16" spans="1:4">
      <c r="A16" s="47" t="s">
        <v>91</v>
      </c>
      <c r="B16" s="48" t="s">
        <v>0</v>
      </c>
    </row>
    <row r="17" spans="1:2">
      <c r="A17" s="47" t="s">
        <v>93</v>
      </c>
      <c r="B17" s="48" t="b">
        <v>1</v>
      </c>
    </row>
  </sheetData>
  <mergeCells count="2">
    <mergeCell ref="A3:B3"/>
    <mergeCell ref="A1:D2"/>
  </mergeCells>
  <dataValidations count="1">
    <dataValidation type="list" allowBlank="1" showInputMessage="1" showErrorMessage="1" sqref="B16" xr:uid="{6DB1A1B2-5BA2-4F05-B7CB-2BD2696E0F39}">
      <formula1>"NOMBRE,CODIGO"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465C-994A-4FEE-ACCB-C82A8FD56EB9}">
  <sheetPr codeName="Hoja1"/>
  <dimension ref="A1:O24"/>
  <sheetViews>
    <sheetView showGridLines="0" tabSelected="1" zoomScale="115" zoomScaleNormal="115" workbookViewId="0">
      <pane ySplit="4" topLeftCell="A5" activePane="bottomLeft" state="frozen"/>
      <selection pane="bottomLeft" activeCell="H8" sqref="H8"/>
    </sheetView>
  </sheetViews>
  <sheetFormatPr baseColWidth="10" defaultColWidth="0" defaultRowHeight="15"/>
  <cols>
    <col min="1" max="1" width="2" style="53" customWidth="1"/>
    <col min="2" max="2" width="20.7109375" style="53" customWidth="1"/>
    <col min="3" max="3" width="20.7109375" style="53" hidden="1" customWidth="1"/>
    <col min="4" max="4" width="20.28515625" style="53" customWidth="1"/>
    <col min="5" max="5" width="1.140625" style="53" customWidth="1"/>
    <col min="6" max="6" width="13.28515625" style="54" customWidth="1"/>
    <col min="7" max="7" width="2.42578125" style="54" customWidth="1"/>
    <col min="8" max="8" width="26.7109375" style="134" customWidth="1"/>
    <col min="9" max="9" width="2.5703125" style="53" customWidth="1"/>
    <col min="10" max="10" width="40.42578125" style="53" hidden="1" customWidth="1"/>
    <col min="11" max="11" width="9.7109375" style="53" hidden="1" customWidth="1"/>
    <col min="12" max="12" width="1.5703125" style="53" hidden="1" customWidth="1"/>
    <col min="13" max="15" width="11.5703125" style="53" hidden="1" customWidth="1"/>
    <col min="16" max="16384" width="11.5703125" style="53" hidden="1"/>
  </cols>
  <sheetData>
    <row r="1" spans="1:15" ht="23.25">
      <c r="D1" s="129" t="s">
        <v>21</v>
      </c>
    </row>
    <row r="2" spans="1:15" ht="13.9" customHeight="1">
      <c r="B2" s="129"/>
      <c r="C2" s="129"/>
      <c r="D2" s="130" t="s">
        <v>97</v>
      </c>
      <c r="E2" s="129"/>
      <c r="F2" s="131"/>
      <c r="G2" s="131"/>
      <c r="H2" s="132"/>
      <c r="I2" s="129"/>
      <c r="J2" s="129"/>
      <c r="K2" s="129"/>
      <c r="L2" s="133"/>
    </row>
    <row r="3" spans="1:15" ht="15" customHeight="1">
      <c r="B3" s="129"/>
      <c r="C3" s="129"/>
      <c r="E3" s="129"/>
      <c r="F3" s="131"/>
      <c r="G3" s="131"/>
      <c r="H3" s="135" t="s">
        <v>99</v>
      </c>
      <c r="I3" s="129"/>
      <c r="J3" s="129"/>
      <c r="L3" s="133"/>
    </row>
    <row r="4" spans="1:15" s="49" customFormat="1" ht="9.6" customHeight="1">
      <c r="B4" s="50"/>
      <c r="C4" s="50"/>
      <c r="D4" s="50"/>
      <c r="E4" s="50"/>
      <c r="F4" s="52"/>
      <c r="G4" s="52"/>
      <c r="H4" s="51"/>
      <c r="I4" s="50"/>
      <c r="J4" s="50"/>
      <c r="K4" s="50"/>
      <c r="L4" s="50"/>
    </row>
    <row r="5" spans="1:15" ht="5.45" customHeight="1">
      <c r="F5" s="53"/>
      <c r="G5" s="53"/>
    </row>
    <row r="6" spans="1:15" s="137" customFormat="1" ht="13.15" customHeight="1">
      <c r="A6" s="136"/>
      <c r="B6" s="171" t="s">
        <v>29</v>
      </c>
      <c r="C6" s="171"/>
      <c r="D6" s="171"/>
      <c r="E6" s="127"/>
      <c r="F6" s="172" t="s">
        <v>28</v>
      </c>
      <c r="G6" s="172"/>
      <c r="H6" s="172"/>
      <c r="I6" s="136"/>
      <c r="J6" s="173" t="s">
        <v>38</v>
      </c>
      <c r="K6" s="173"/>
      <c r="L6" s="136"/>
      <c r="M6" s="136"/>
      <c r="N6" s="136"/>
      <c r="O6" s="136"/>
    </row>
    <row r="7" spans="1:15" s="139" customFormat="1" ht="5.45" customHeight="1">
      <c r="A7" s="127"/>
      <c r="B7" s="127"/>
      <c r="C7" s="127"/>
      <c r="D7" s="127"/>
      <c r="E7" s="127"/>
      <c r="F7" s="128"/>
      <c r="G7" s="128"/>
      <c r="H7" s="138"/>
      <c r="I7" s="127"/>
      <c r="J7" s="127"/>
      <c r="K7" s="127"/>
      <c r="L7" s="127"/>
      <c r="M7" s="127"/>
      <c r="N7" s="127"/>
      <c r="O7" s="127"/>
    </row>
    <row r="8" spans="1:15" s="139" customFormat="1">
      <c r="A8" s="127"/>
      <c r="B8" s="140" t="s">
        <v>26</v>
      </c>
      <c r="C8" s="140"/>
      <c r="D8" s="140" t="s">
        <v>27</v>
      </c>
      <c r="E8" s="127"/>
      <c r="F8" s="141">
        <f ca="1">TODAY()</f>
        <v>46057</v>
      </c>
      <c r="G8" s="141"/>
      <c r="H8" s="142" t="str">
        <f ca="1">MONEDA &amp; " " &amp; TEXT(SUMIF('FACTURAS EMITIDAS'!A:A,F8,'FACTURAS EMITIDAS'!D:D), "#.##0,00")</f>
        <v>Q. .000</v>
      </c>
      <c r="I8" s="127"/>
      <c r="J8" s="143"/>
      <c r="K8" s="144"/>
      <c r="L8" s="127"/>
      <c r="M8" s="127"/>
      <c r="N8" s="127"/>
      <c r="O8" s="127"/>
    </row>
    <row r="9" spans="1:15" s="139" customFormat="1" ht="15" customHeight="1">
      <c r="A9" s="127"/>
      <c r="B9" s="145">
        <v>46057</v>
      </c>
      <c r="C9" s="145"/>
      <c r="D9" s="145">
        <v>46057</v>
      </c>
      <c r="E9" s="127"/>
      <c r="F9" s="141">
        <f ca="1">F8-1</f>
        <v>46056</v>
      </c>
      <c r="G9" s="141"/>
      <c r="H9" s="142" t="str">
        <f ca="1">MONEDA &amp; " " &amp; TEXT(SUMIF('FACTURAS EMITIDAS'!A:A,F9,'FACTURAS EMITIDAS'!D:D), "#.##0,00")</f>
        <v>Q. .000</v>
      </c>
      <c r="I9" s="127"/>
      <c r="J9" s="143"/>
      <c r="K9" s="144"/>
      <c r="L9" s="127"/>
      <c r="M9" s="127"/>
      <c r="N9" s="127"/>
      <c r="O9" s="127"/>
    </row>
    <row r="10" spans="1:15" s="139" customFormat="1" ht="16.149999999999999" customHeight="1">
      <c r="A10" s="127"/>
      <c r="B10" s="127"/>
      <c r="C10" s="127"/>
      <c r="D10" s="127"/>
      <c r="E10" s="127"/>
      <c r="F10" s="141">
        <f t="shared" ref="F10:F22" ca="1" si="0">F9-1</f>
        <v>46055</v>
      </c>
      <c r="G10" s="141"/>
      <c r="H10" s="142" t="str">
        <f ca="1">MONEDA &amp; " " &amp; TEXT(SUMIF('FACTURAS EMITIDAS'!A:A,F10,'FACTURAS EMITIDAS'!D:D), "#.##0,00")</f>
        <v>Q. .000</v>
      </c>
      <c r="I10" s="127"/>
      <c r="J10" s="143"/>
      <c r="K10" s="144"/>
      <c r="L10" s="127"/>
      <c r="M10" s="127"/>
      <c r="N10" s="127"/>
      <c r="O10" s="127"/>
    </row>
    <row r="11" spans="1:15" s="139" customFormat="1">
      <c r="A11" s="127"/>
      <c r="B11" s="146" t="str">
        <f>CONFIG!D4</f>
        <v>EFECTIVO</v>
      </c>
      <c r="C11" s="147">
        <f>SUMIFS('FACTURAS EMITIDAS'!$D:$D,'FACTURAS EMITIDAS'!$A:$A,"&lt;="&amp;HASTA,'FACTURAS EMITIDAS'!$A:$A,"&gt;="&amp;DESDE,'FACTURAS EMITIDAS'!$C:$C,"="&amp;INICIO!B11,'FACTURAS EMITIDAS'!$D:$D,"&gt;"&amp;0)</f>
        <v>0</v>
      </c>
      <c r="D11" s="147" t="str">
        <f>MONEDA&amp;" "&amp;TEXT(C11, "#.##0,00")</f>
        <v>Q. .000</v>
      </c>
      <c r="E11" s="127"/>
      <c r="F11" s="141">
        <f t="shared" ca="1" si="0"/>
        <v>46054</v>
      </c>
      <c r="G11" s="141"/>
      <c r="H11" s="142" t="str">
        <f ca="1">MONEDA &amp; " " &amp; TEXT(SUMIF('FACTURAS EMITIDAS'!A:A,F11,'FACTURAS EMITIDAS'!D:D), "#.##0,00")</f>
        <v>Q. .000</v>
      </c>
      <c r="I11" s="127"/>
      <c r="J11" s="143"/>
      <c r="K11" s="144"/>
      <c r="L11" s="127"/>
      <c r="M11" s="127"/>
      <c r="N11" s="127"/>
      <c r="O11" s="127"/>
    </row>
    <row r="12" spans="1:15" s="139" customFormat="1">
      <c r="A12" s="127"/>
      <c r="B12" s="146" t="str">
        <f>CONFIG!D5</f>
        <v>TARJETA</v>
      </c>
      <c r="C12" s="147">
        <f>SUMIFS('FACTURAS EMITIDAS'!$D:$D,'FACTURAS EMITIDAS'!$A:$A,"&lt;="&amp;HASTA,'FACTURAS EMITIDAS'!$A:$A,"&gt;="&amp;DESDE,'FACTURAS EMITIDAS'!$C:$C,"="&amp;INICIO!B12,'FACTURAS EMITIDAS'!$D:$D,"&gt;"&amp;0)</f>
        <v>0</v>
      </c>
      <c r="D12" s="147" t="str">
        <f>MONEDA&amp;" "&amp;TEXT(C12, "#.##0,00")</f>
        <v>Q. .000</v>
      </c>
      <c r="E12" s="127"/>
      <c r="F12" s="141">
        <f t="shared" ca="1" si="0"/>
        <v>46053</v>
      </c>
      <c r="G12" s="141"/>
      <c r="H12" s="142" t="str">
        <f ca="1">MONEDA &amp; " " &amp; TEXT(SUMIF('FACTURAS EMITIDAS'!A:A,F12,'FACTURAS EMITIDAS'!D:D), "#.##0,00")</f>
        <v>Q. .000</v>
      </c>
      <c r="I12" s="127"/>
      <c r="J12" s="143"/>
      <c r="K12" s="144"/>
      <c r="L12" s="127"/>
      <c r="M12" s="127"/>
      <c r="N12" s="127"/>
      <c r="O12" s="127"/>
    </row>
    <row r="13" spans="1:15" s="139" customFormat="1">
      <c r="A13" s="127"/>
      <c r="B13" s="146" t="str">
        <f>CONFIG!D6</f>
        <v>TRANSFERENCIA</v>
      </c>
      <c r="C13" s="147">
        <f>SUMIFS('FACTURAS EMITIDAS'!$D:$D,'FACTURAS EMITIDAS'!$A:$A,"&lt;="&amp;HASTA,'FACTURAS EMITIDAS'!$A:$A,"&gt;="&amp;DESDE,'FACTURAS EMITIDAS'!$C:$C,"="&amp;INICIO!B13,'FACTURAS EMITIDAS'!$D:$D,"&gt;"&amp;0)</f>
        <v>0</v>
      </c>
      <c r="D13" s="147" t="str">
        <f>MONEDA&amp;" "&amp;TEXT(C13, "#.##0,00")</f>
        <v>Q. .000</v>
      </c>
      <c r="E13" s="127"/>
      <c r="F13" s="141">
        <f t="shared" ca="1" si="0"/>
        <v>46052</v>
      </c>
      <c r="G13" s="141"/>
      <c r="H13" s="142" t="str">
        <f ca="1">MONEDA &amp; " " &amp; TEXT(SUMIF('FACTURAS EMITIDAS'!A:A,F13,'FACTURAS EMITIDAS'!D:D), "#.##0,00")</f>
        <v>Q. .000</v>
      </c>
      <c r="I13" s="127"/>
      <c r="J13" s="143"/>
      <c r="K13" s="144"/>
      <c r="L13" s="127"/>
      <c r="M13" s="127"/>
      <c r="N13" s="127"/>
      <c r="O13" s="127"/>
    </row>
    <row r="14" spans="1:15" s="139" customFormat="1">
      <c r="A14" s="127"/>
      <c r="B14" s="146" t="str">
        <f>CONFIG!D7</f>
        <v>CUENTA CORRIENTE</v>
      </c>
      <c r="C14" s="147">
        <f>SUMIFS('FACTURAS EMITIDAS'!$D:$D,'FACTURAS EMITIDAS'!$A:$A,"&lt;="&amp;HASTA,'FACTURAS EMITIDAS'!$A:$A,"&gt;="&amp;DESDE,'FACTURAS EMITIDAS'!$C:$C,"="&amp;INICIO!B14,'FACTURAS EMITIDAS'!$D:$D,"&gt;"&amp;0)</f>
        <v>0</v>
      </c>
      <c r="D14" s="147" t="str">
        <f>MONEDA&amp;" "&amp;TEXT(C14, "#.##0,00")</f>
        <v>Q. .000</v>
      </c>
      <c r="E14" s="127"/>
      <c r="F14" s="141">
        <f t="shared" ca="1" si="0"/>
        <v>46051</v>
      </c>
      <c r="G14" s="141"/>
      <c r="H14" s="142" t="str">
        <f ca="1">MONEDA &amp; " " &amp; TEXT(SUMIF('FACTURAS EMITIDAS'!A:A,F14,'FACTURAS EMITIDAS'!D:D), "#.##0,00")</f>
        <v>Q. .000</v>
      </c>
      <c r="I14" s="127"/>
      <c r="J14" s="143"/>
      <c r="K14" s="144"/>
      <c r="L14" s="127"/>
      <c r="M14" s="127"/>
      <c r="N14" s="127"/>
      <c r="O14" s="127"/>
    </row>
    <row r="15" spans="1:15" s="139" customFormat="1">
      <c r="A15" s="127"/>
      <c r="B15" s="127"/>
      <c r="C15" s="127"/>
      <c r="D15" s="148"/>
      <c r="E15" s="127"/>
      <c r="F15" s="141">
        <f t="shared" ca="1" si="0"/>
        <v>46050</v>
      </c>
      <c r="G15" s="141"/>
      <c r="H15" s="142" t="str">
        <f ca="1">MONEDA &amp; " " &amp; TEXT(SUMIF('FACTURAS EMITIDAS'!A:A,F15,'FACTURAS EMITIDAS'!D:D), "#.##0,00")</f>
        <v>Q. .000</v>
      </c>
      <c r="I15" s="127"/>
      <c r="J15" s="143"/>
      <c r="K15" s="144"/>
      <c r="L15" s="127"/>
      <c r="M15" s="127"/>
      <c r="N15" s="127"/>
      <c r="O15" s="127"/>
    </row>
    <row r="16" spans="1:15" s="154" customFormat="1">
      <c r="A16" s="149"/>
      <c r="B16" s="150" t="s">
        <v>96</v>
      </c>
      <c r="C16" s="151">
        <f>SUMIFS('FACTURAS EMITIDAS'!$D:$D,'FACTURAS EMITIDAS'!$A:$A,"&lt;="&amp;HASTA,'FACTURAS EMITIDAS'!$A:$A,"&gt;="&amp;DESDE,'FACTURAS EMITIDAS'!$D:$D,"&lt;"&amp;0)</f>
        <v>0</v>
      </c>
      <c r="D16" s="152" t="str">
        <f>MONEDA&amp;" "&amp;TEXT(SUMIFS('FACTURAS EMITIDAS'!$D:$D,'FACTURAS EMITIDAS'!$A:$A,"&lt;="&amp;HASTA,'FACTURAS EMITIDAS'!$A:$A,"&gt;="&amp;DESDE,'FACTURAS EMITIDAS'!$D:$D,"&lt;"&amp;0), "#.##0,00")</f>
        <v>Q. .000</v>
      </c>
      <c r="E16" s="153">
        <f>SUMIFS('FACTURAS EMITIDAS'!$D:$D,'FACTURAS EMITIDAS'!$A:$A,"&lt;="&amp;HASTA,'FACTURAS EMITIDAS'!$A:$A,"&gt;="&amp;DESDE,'FACTURAS EMITIDAS'!$D:$D,"&lt;"&amp;0)</f>
        <v>0</v>
      </c>
      <c r="F16" s="141">
        <f t="shared" ca="1" si="0"/>
        <v>46049</v>
      </c>
      <c r="G16" s="141"/>
      <c r="H16" s="142" t="str">
        <f ca="1">MONEDA &amp; " " &amp; TEXT(SUMIF('FACTURAS EMITIDAS'!A:A,F16,'FACTURAS EMITIDAS'!D:D), "#.##0,00")</f>
        <v>Q. .000</v>
      </c>
      <c r="I16" s="149"/>
      <c r="J16" s="143"/>
      <c r="K16" s="144"/>
      <c r="L16" s="149"/>
      <c r="M16" s="149"/>
      <c r="N16" s="149"/>
      <c r="O16" s="149"/>
    </row>
    <row r="17" spans="1:15" s="139" customFormat="1">
      <c r="A17" s="127"/>
      <c r="B17" s="127"/>
      <c r="C17" s="127"/>
      <c r="D17" s="127"/>
      <c r="E17" s="153"/>
      <c r="F17" s="141">
        <f t="shared" ca="1" si="0"/>
        <v>46048</v>
      </c>
      <c r="G17" s="141"/>
      <c r="H17" s="142" t="str">
        <f ca="1">MONEDA &amp; " " &amp; TEXT(SUMIF('FACTURAS EMITIDAS'!A:A,F17,'FACTURAS EMITIDAS'!D:D), "#.##0,00")</f>
        <v>Q. .000</v>
      </c>
      <c r="I17" s="127"/>
      <c r="J17" s="143"/>
      <c r="K17" s="144"/>
      <c r="L17" s="127"/>
      <c r="M17" s="127"/>
      <c r="N17" s="127"/>
      <c r="O17" s="127"/>
    </row>
    <row r="18" spans="1:15" s="139" customFormat="1">
      <c r="A18" s="127"/>
      <c r="B18" s="155" t="s">
        <v>4</v>
      </c>
      <c r="C18" s="155"/>
      <c r="D18" s="156" t="str">
        <f>MONEDA&amp;" "&amp;TEXT(SUM(C11:C17),"#.##0,00")</f>
        <v>Q. .000</v>
      </c>
      <c r="E18" s="127"/>
      <c r="F18" s="141">
        <f t="shared" ca="1" si="0"/>
        <v>46047</v>
      </c>
      <c r="G18" s="141"/>
      <c r="H18" s="142" t="str">
        <f ca="1">MONEDA &amp; " " &amp; TEXT(SUMIF('FACTURAS EMITIDAS'!A:A,F18,'FACTURAS EMITIDAS'!D:D), "#.##0,00")</f>
        <v>Q. .000</v>
      </c>
      <c r="I18" s="127"/>
      <c r="J18" s="143"/>
      <c r="K18" s="144"/>
      <c r="L18" s="127"/>
      <c r="M18" s="127"/>
      <c r="N18" s="127"/>
      <c r="O18" s="127"/>
    </row>
    <row r="19" spans="1:15" s="139" customFormat="1">
      <c r="A19" s="127"/>
      <c r="B19" s="127"/>
      <c r="C19" s="127"/>
      <c r="D19" s="127"/>
      <c r="E19" s="127"/>
      <c r="F19" s="141">
        <f t="shared" ca="1" si="0"/>
        <v>46046</v>
      </c>
      <c r="G19" s="141"/>
      <c r="H19" s="142" t="str">
        <f ca="1">MONEDA &amp; " " &amp; TEXT(SUMIF('FACTURAS EMITIDAS'!A:A,F19,'FACTURAS EMITIDAS'!D:D), "#.##0,00")</f>
        <v>Q. .000</v>
      </c>
      <c r="I19" s="127"/>
      <c r="J19" s="127"/>
      <c r="K19" s="127"/>
      <c r="L19" s="127"/>
      <c r="M19" s="127"/>
      <c r="N19" s="127"/>
      <c r="O19" s="127"/>
    </row>
    <row r="20" spans="1:15" s="139" customFormat="1">
      <c r="A20" s="127"/>
      <c r="B20" s="127"/>
      <c r="C20" s="127"/>
      <c r="D20" s="127"/>
      <c r="E20" s="127"/>
      <c r="F20" s="141">
        <f t="shared" ca="1" si="0"/>
        <v>46045</v>
      </c>
      <c r="G20" s="141"/>
      <c r="H20" s="142" t="str">
        <f ca="1">MONEDA &amp; " " &amp; TEXT(SUMIF('FACTURAS EMITIDAS'!A:A,F20,'FACTURAS EMITIDAS'!D:D), "#.##0,00")</f>
        <v>Q. .000</v>
      </c>
      <c r="I20" s="127"/>
      <c r="J20" s="127"/>
      <c r="K20" s="127"/>
      <c r="L20" s="127"/>
      <c r="M20" s="127"/>
      <c r="N20" s="127"/>
      <c r="O20" s="127"/>
    </row>
    <row r="21" spans="1:15" s="139" customFormat="1">
      <c r="A21" s="127"/>
      <c r="B21" s="127"/>
      <c r="C21" s="127"/>
      <c r="D21" s="127"/>
      <c r="E21" s="127"/>
      <c r="F21" s="141">
        <f t="shared" ca="1" si="0"/>
        <v>46044</v>
      </c>
      <c r="G21" s="141"/>
      <c r="H21" s="142" t="str">
        <f ca="1">MONEDA &amp; " " &amp; TEXT(SUMIF('FACTURAS EMITIDAS'!A:A,F21,'FACTURAS EMITIDAS'!D:D), "#.##0,00")</f>
        <v>Q. .000</v>
      </c>
      <c r="I21" s="127"/>
      <c r="J21" s="127"/>
      <c r="K21" s="127"/>
      <c r="L21" s="127"/>
      <c r="M21" s="127"/>
      <c r="N21" s="127"/>
      <c r="O21" s="127"/>
    </row>
    <row r="22" spans="1:15" s="139" customFormat="1">
      <c r="A22" s="127"/>
      <c r="B22" s="127"/>
      <c r="C22" s="127"/>
      <c r="D22" s="127"/>
      <c r="E22" s="127"/>
      <c r="F22" s="141">
        <f t="shared" ca="1" si="0"/>
        <v>46043</v>
      </c>
      <c r="G22" s="141"/>
      <c r="H22" s="142" t="str">
        <f ca="1">MONEDA &amp; " " &amp; TEXT(SUMIF('FACTURAS EMITIDAS'!A:A,F22,'FACTURAS EMITIDAS'!D:D), "#.##0,00")</f>
        <v>Q. .000</v>
      </c>
      <c r="I22" s="127"/>
      <c r="J22" s="127"/>
      <c r="K22" s="127"/>
      <c r="L22" s="127"/>
      <c r="M22" s="127"/>
      <c r="N22" s="127"/>
      <c r="O22" s="127"/>
    </row>
    <row r="23" spans="1:15" s="139" customFormat="1">
      <c r="A23" s="127"/>
      <c r="B23" s="127"/>
      <c r="C23" s="127"/>
      <c r="D23" s="127"/>
      <c r="E23" s="127"/>
      <c r="F23" s="127"/>
      <c r="G23" s="127"/>
      <c r="H23" s="138"/>
      <c r="I23" s="127"/>
      <c r="J23" s="127"/>
      <c r="K23" s="127"/>
      <c r="L23" s="127"/>
      <c r="M23" s="127"/>
      <c r="N23" s="127"/>
      <c r="O23" s="127"/>
    </row>
    <row r="24" spans="1:15" s="46" customFormat="1">
      <c r="A24" s="53"/>
      <c r="B24" s="53"/>
      <c r="C24" s="53"/>
      <c r="D24" s="53"/>
      <c r="E24" s="53"/>
      <c r="F24" s="53"/>
      <c r="G24" s="53"/>
      <c r="H24" s="134"/>
      <c r="I24" s="53"/>
      <c r="J24" s="53"/>
      <c r="K24" s="53"/>
      <c r="L24" s="53"/>
      <c r="M24" s="53"/>
      <c r="N24" s="53"/>
      <c r="O24" s="53"/>
    </row>
  </sheetData>
  <sheetProtection algorithmName="SHA-512" hashValue="PRnvCwwSn3A2e1gGh+jJP3EVlYxzAmUWN0cShD3m/O8v0lmfb0ToDUHK0aYb/rHWSHaWsD27/GHPx8zQtblzsA==" saltValue="HiMbA+Q93jrbEN1jNk26Vg==" spinCount="100000" sheet="1" objects="1" scenarios="1"/>
  <mergeCells count="3">
    <mergeCell ref="B6:D6"/>
    <mergeCell ref="F6:H6"/>
    <mergeCell ref="J6:K6"/>
  </mergeCells>
  <dataValidations disablePrompts="1" count="1">
    <dataValidation type="date" allowBlank="1" showInputMessage="1" showErrorMessage="1" errorTitle="COLOQUE UNA FECHA VALIDA" error="Las fechas ingresadas no son váilidas. _x000a__x000a_Fecha de ejemplo DD/MM/AAAA (31/12/2023)" sqref="B9:D9" xr:uid="{2F1E0D69-B732-4770-A365-584C3E8AB1E9}">
      <formula1>44927</formula1>
      <formula2>51136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">
                <anchor moveWithCells="1">
                  <from>
                    <xdr:col>1</xdr:col>
                    <xdr:colOff>47625</xdr:colOff>
                    <xdr:row>0</xdr:row>
                    <xdr:rowOff>76200</xdr:rowOff>
                  </from>
                  <to>
                    <xdr:col>1</xdr:col>
                    <xdr:colOff>1095375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63E7-A4E7-4918-A706-5E55146CC5A3}">
  <sheetPr codeName="FACTURA">
    <pageSetUpPr fitToPage="1"/>
  </sheetPr>
  <dimension ref="A1:J6937"/>
  <sheetViews>
    <sheetView showGridLines="0" zoomScale="85" zoomScaleNormal="85" workbookViewId="0">
      <selection activeCell="J13" sqref="J13:J100"/>
    </sheetView>
  </sheetViews>
  <sheetFormatPr baseColWidth="10" defaultColWidth="0" defaultRowHeight="14.25" zeroHeight="1"/>
  <cols>
    <col min="1" max="1" width="1.140625" style="28" customWidth="1"/>
    <col min="2" max="2" width="20.5703125" style="161" customWidth="1"/>
    <col min="3" max="3" width="5.28515625" style="28" hidden="1" customWidth="1"/>
    <col min="4" max="4" width="11.140625" style="98" customWidth="1"/>
    <col min="5" max="5" width="49.140625" style="29" customWidth="1"/>
    <col min="6" max="6" width="14.7109375" style="114" bestFit="1" customWidth="1"/>
    <col min="7" max="7" width="21.28515625" style="32" bestFit="1" customWidth="1"/>
    <col min="8" max="8" width="1.5703125" style="28" customWidth="1"/>
    <col min="9" max="9" width="17.28515625" style="28" hidden="1" customWidth="1"/>
    <col min="10" max="10" width="20.85546875" style="28" hidden="1" customWidth="1"/>
    <col min="11" max="16384" width="14.140625" style="28" hidden="1"/>
  </cols>
  <sheetData>
    <row r="1" spans="1:10" ht="30.6" customHeight="1">
      <c r="B1" s="160" t="str">
        <f>TITULO</f>
        <v>UNIVERSAL PC, SOCIEDAD ANÓNIMA</v>
      </c>
      <c r="D1" s="97"/>
    </row>
    <row r="2" spans="1:10" ht="6" customHeight="1"/>
    <row r="3" spans="1:10" ht="13.9" customHeight="1">
      <c r="B3" s="174" t="str">
        <f>SUBTITULO</f>
        <v>7 AVENIDA 13-01, LOCAL B-8, zona 9, GUATEMALA, GUATEMALA</v>
      </c>
      <c r="C3" s="174"/>
      <c r="D3" s="174"/>
      <c r="E3" s="174"/>
      <c r="F3" s="107"/>
    </row>
    <row r="4" spans="1:10" ht="13.9" customHeight="1">
      <c r="A4" s="33"/>
      <c r="B4" s="162" t="s">
        <v>87</v>
      </c>
      <c r="C4" s="66"/>
      <c r="D4" s="178">
        <f>PARRAFO_1</f>
        <v>112067409</v>
      </c>
      <c r="E4" s="178"/>
    </row>
    <row r="5" spans="1:10" ht="13.9" customHeight="1">
      <c r="B5" s="162" t="s">
        <v>88</v>
      </c>
      <c r="C5" s="66"/>
      <c r="D5" s="178" t="str">
        <f>PARRAFO_2</f>
        <v>4221-2271</v>
      </c>
      <c r="E5" s="178"/>
    </row>
    <row r="6" spans="1:10" ht="13.9" customHeight="1">
      <c r="B6" s="162" t="s">
        <v>48</v>
      </c>
      <c r="C6" s="66"/>
      <c r="D6" s="178" t="str">
        <f>PARRAFO_3</f>
        <v>8:00am - 17:30pm</v>
      </c>
      <c r="E6" s="178"/>
      <c r="G6" s="31"/>
    </row>
    <row r="7" spans="1:10" ht="18.600000000000001" customHeight="1">
      <c r="B7" s="163"/>
      <c r="D7" s="99"/>
      <c r="G7" s="31"/>
    </row>
    <row r="8" spans="1:10" ht="15.6" customHeight="1">
      <c r="B8" s="164" t="s">
        <v>10</v>
      </c>
      <c r="D8" s="177" t="s">
        <v>110</v>
      </c>
      <c r="E8" s="177"/>
    </row>
    <row r="9" spans="1:10" ht="15.6" customHeight="1">
      <c r="B9" s="164" t="s">
        <v>50</v>
      </c>
      <c r="D9" s="176">
        <v>1111</v>
      </c>
      <c r="E9" s="176"/>
      <c r="G9" s="70">
        <f ca="1">NOW()</f>
        <v>46057.384460763889</v>
      </c>
    </row>
    <row r="10" spans="1:10" ht="15.6" customHeight="1">
      <c r="B10" s="164" t="s">
        <v>19</v>
      </c>
      <c r="D10" s="176">
        <v>112154</v>
      </c>
      <c r="E10" s="176"/>
      <c r="G10" s="69" t="str">
        <f>UPPER(PROX_FACTURA)</f>
        <v>00001-00000002</v>
      </c>
    </row>
    <row r="11" spans="1:10" ht="15.6" customHeight="1">
      <c r="B11" s="164" t="s">
        <v>51</v>
      </c>
      <c r="C11" s="43"/>
      <c r="D11" s="176" t="s">
        <v>112</v>
      </c>
      <c r="E11" s="176"/>
    </row>
    <row r="12" spans="1:10" ht="20.45" hidden="1" customHeight="1">
      <c r="E12" s="29" t="str">
        <f>IF(B12="","",IFERROR(VLOOKUP(B12,STOCK!A:H,2,0),""))&amp;IF(I12=2,"("&amp;C12&amp;")Cajas.","")</f>
        <v>()Cajas.</v>
      </c>
      <c r="F12" s="107" t="s">
        <v>82</v>
      </c>
      <c r="G12" s="31"/>
      <c r="I12" s="28">
        <v>2</v>
      </c>
      <c r="J12" s="28">
        <f>IFERROR(VLOOKUP(TEXT(B12,"0"),STOCK!A:H,7,0),1)</f>
        <v>1</v>
      </c>
    </row>
    <row r="13" spans="1:10" ht="20.45" customHeight="1">
      <c r="B13" s="165" t="s">
        <v>0</v>
      </c>
      <c r="C13" s="72"/>
      <c r="D13" s="100" t="s">
        <v>52</v>
      </c>
      <c r="E13" s="73" t="s">
        <v>1</v>
      </c>
      <c r="F13" s="105" t="s">
        <v>34</v>
      </c>
      <c r="G13" s="105" t="s">
        <v>4</v>
      </c>
      <c r="I13" s="35" t="s">
        <v>37</v>
      </c>
      <c r="J13" s="35" t="str">
        <f>IFERROR(VLOOKUP(TEXT(B13,"0"),STOCK!A:H,7,0),1)</f>
        <v>UNIDADES X CAJA</v>
      </c>
    </row>
    <row r="14" spans="1:10" ht="16.899999999999999" customHeight="1">
      <c r="B14" s="166"/>
      <c r="C14" s="75"/>
      <c r="D14" s="101"/>
      <c r="E14" s="76"/>
      <c r="F14" s="106"/>
      <c r="G14" s="106"/>
      <c r="I14" s="28">
        <v>1</v>
      </c>
      <c r="J14" s="28">
        <f>IFERROR(VLOOKUP(TEXT(B14,"0"),STOCK!A:H,7,0),1)</f>
        <v>1</v>
      </c>
    </row>
    <row r="15" spans="1:10" ht="16.899999999999999" customHeight="1">
      <c r="B15" s="166"/>
      <c r="C15" s="75"/>
      <c r="D15" s="101"/>
      <c r="E15" s="76"/>
      <c r="F15" s="106"/>
      <c r="G15" s="106"/>
      <c r="I15" s="28">
        <v>1</v>
      </c>
      <c r="J15" s="28">
        <f>IFERROR(VLOOKUP(TEXT(B15,"0"),STOCK!A:H,7,0),1)</f>
        <v>1</v>
      </c>
    </row>
    <row r="16" spans="1:10" ht="16.899999999999999" customHeight="1">
      <c r="B16" s="166"/>
      <c r="C16" s="75"/>
      <c r="D16" s="101"/>
      <c r="E16" s="76"/>
      <c r="F16" s="106"/>
      <c r="G16" s="106"/>
      <c r="J16" s="28">
        <f>IFERROR(VLOOKUP(TEXT(B16,"0"),STOCK!A:H,7,0),1)</f>
        <v>1</v>
      </c>
    </row>
    <row r="17" spans="2:10" ht="16.899999999999999" customHeight="1">
      <c r="B17" s="166"/>
      <c r="C17" s="75"/>
      <c r="D17" s="101"/>
      <c r="E17" s="76"/>
      <c r="F17" s="106"/>
      <c r="G17" s="106"/>
      <c r="J17" s="28">
        <f>IFERROR(VLOOKUP(TEXT(B17,"0"),STOCK!A:H,7,0),1)</f>
        <v>1</v>
      </c>
    </row>
    <row r="18" spans="2:10" ht="16.899999999999999" customHeight="1">
      <c r="B18" s="166"/>
      <c r="C18" s="75"/>
      <c r="D18" s="101"/>
      <c r="E18" s="76"/>
      <c r="F18" s="106"/>
      <c r="G18" s="106"/>
      <c r="J18" s="28">
        <f>IFERROR(VLOOKUP(TEXT(B18,"0"),STOCK!A:H,7,0),1)</f>
        <v>1</v>
      </c>
    </row>
    <row r="19" spans="2:10" ht="16.899999999999999" customHeight="1">
      <c r="B19" s="166"/>
      <c r="C19" s="75"/>
      <c r="D19" s="101"/>
      <c r="E19" s="76"/>
      <c r="F19" s="106"/>
      <c r="G19" s="106"/>
      <c r="J19" s="28">
        <f>IFERROR(VLOOKUP(TEXT(B19,"0"),STOCK!A:H,7,0),1)</f>
        <v>1</v>
      </c>
    </row>
    <row r="20" spans="2:10" ht="16.899999999999999" customHeight="1">
      <c r="B20" s="166"/>
      <c r="C20" s="75"/>
      <c r="D20" s="101"/>
      <c r="E20" s="76"/>
      <c r="F20" s="106"/>
      <c r="G20" s="106"/>
      <c r="J20" s="28">
        <f>IFERROR(VLOOKUP(TEXT(B20,"0"),STOCK!A:H,7,0),1)</f>
        <v>1</v>
      </c>
    </row>
    <row r="21" spans="2:10" ht="16.899999999999999" customHeight="1">
      <c r="B21" s="166"/>
      <c r="C21" s="75"/>
      <c r="D21" s="101"/>
      <c r="E21" s="76"/>
      <c r="F21" s="106"/>
      <c r="G21" s="106"/>
      <c r="J21" s="28">
        <f>IFERROR(VLOOKUP(TEXT(B21,"0"),STOCK!A:H,7,0),1)</f>
        <v>1</v>
      </c>
    </row>
    <row r="22" spans="2:10" ht="16.899999999999999" customHeight="1">
      <c r="B22" s="166"/>
      <c r="C22" s="75"/>
      <c r="D22" s="101"/>
      <c r="E22" s="76"/>
      <c r="F22" s="106"/>
      <c r="G22" s="106"/>
      <c r="J22" s="28">
        <f>IFERROR(VLOOKUP(TEXT(B22,"0"),STOCK!A:H,7,0),1)</f>
        <v>1</v>
      </c>
    </row>
    <row r="23" spans="2:10" ht="16.899999999999999" customHeight="1">
      <c r="B23" s="166"/>
      <c r="C23" s="75"/>
      <c r="D23" s="101"/>
      <c r="E23" s="76"/>
      <c r="F23" s="106"/>
      <c r="G23" s="106"/>
      <c r="J23" s="28">
        <f>IFERROR(VLOOKUP(TEXT(B23,"0"),STOCK!A:H,7,0),1)</f>
        <v>1</v>
      </c>
    </row>
    <row r="24" spans="2:10" ht="16.899999999999999" customHeight="1">
      <c r="B24" s="166"/>
      <c r="C24" s="75"/>
      <c r="D24" s="101"/>
      <c r="E24" s="76"/>
      <c r="F24" s="106"/>
      <c r="G24" s="106"/>
      <c r="J24" s="28">
        <f>IFERROR(VLOOKUP(TEXT(B24,"0"),STOCK!A:H,7,0),1)</f>
        <v>1</v>
      </c>
    </row>
    <row r="25" spans="2:10" ht="16.899999999999999" customHeight="1">
      <c r="B25" s="166"/>
      <c r="C25" s="75"/>
      <c r="D25" s="101"/>
      <c r="E25" s="76"/>
      <c r="F25" s="106"/>
      <c r="G25" s="106"/>
      <c r="J25" s="28">
        <f>IFERROR(VLOOKUP(TEXT(B25,"0"),STOCK!A:H,7,0),1)</f>
        <v>1</v>
      </c>
    </row>
    <row r="26" spans="2:10" ht="16.899999999999999" customHeight="1">
      <c r="B26" s="166"/>
      <c r="C26" s="75"/>
      <c r="D26" s="101"/>
      <c r="E26" s="76"/>
      <c r="F26" s="106"/>
      <c r="G26" s="106"/>
      <c r="J26" s="28">
        <f>IFERROR(VLOOKUP(TEXT(B26,"0"),STOCK!A:H,7,0),1)</f>
        <v>1</v>
      </c>
    </row>
    <row r="27" spans="2:10" ht="16.899999999999999" customHeight="1">
      <c r="B27" s="166"/>
      <c r="C27" s="75"/>
      <c r="D27" s="101"/>
      <c r="E27" s="76"/>
      <c r="F27" s="106"/>
      <c r="G27" s="106"/>
      <c r="J27" s="28">
        <f>IFERROR(VLOOKUP(TEXT(B27,"0"),STOCK!A:H,7,0),1)</f>
        <v>1</v>
      </c>
    </row>
    <row r="28" spans="2:10" ht="16.899999999999999" customHeight="1">
      <c r="B28" s="166"/>
      <c r="C28" s="75"/>
      <c r="D28" s="101"/>
      <c r="E28" s="76"/>
      <c r="F28" s="106"/>
      <c r="G28" s="106"/>
      <c r="J28" s="28">
        <f>IFERROR(VLOOKUP(TEXT(B28,"0"),STOCK!A:H,7,0),1)</f>
        <v>1</v>
      </c>
    </row>
    <row r="29" spans="2:10" ht="16.899999999999999" customHeight="1">
      <c r="B29" s="166"/>
      <c r="C29" s="75"/>
      <c r="D29" s="101"/>
      <c r="E29" s="76"/>
      <c r="F29" s="106"/>
      <c r="G29" s="106"/>
      <c r="J29" s="28">
        <f>IFERROR(VLOOKUP(TEXT(B29,"0"),STOCK!A:H,7,0),1)</f>
        <v>1</v>
      </c>
    </row>
    <row r="30" spans="2:10" ht="16.899999999999999" customHeight="1">
      <c r="B30" s="166"/>
      <c r="C30" s="75"/>
      <c r="D30" s="101"/>
      <c r="E30" s="76"/>
      <c r="F30" s="106"/>
      <c r="G30" s="106"/>
      <c r="J30" s="28">
        <f>IFERROR(VLOOKUP(TEXT(B30,"0"),STOCK!A:H,7,0),1)</f>
        <v>1</v>
      </c>
    </row>
    <row r="31" spans="2:10" ht="16.899999999999999" customHeight="1">
      <c r="B31" s="166"/>
      <c r="C31" s="75"/>
      <c r="D31" s="101"/>
      <c r="E31" s="76"/>
      <c r="F31" s="106"/>
      <c r="G31" s="106"/>
      <c r="J31" s="28">
        <f>IFERROR(VLOOKUP(TEXT(B31,"0"),STOCK!A:H,7,0),1)</f>
        <v>1</v>
      </c>
    </row>
    <row r="32" spans="2:10" ht="16.899999999999999" customHeight="1">
      <c r="B32" s="166"/>
      <c r="C32" s="75"/>
      <c r="D32" s="101"/>
      <c r="E32" s="76"/>
      <c r="F32" s="106"/>
      <c r="G32" s="106"/>
      <c r="J32" s="28">
        <f>IFERROR(VLOOKUP(TEXT(B32,"0"),STOCK!A:H,7,0),1)</f>
        <v>1</v>
      </c>
    </row>
    <row r="33" spans="2:10" ht="16.899999999999999" customHeight="1">
      <c r="B33" s="166"/>
      <c r="C33" s="75"/>
      <c r="D33" s="101"/>
      <c r="E33" s="76"/>
      <c r="F33" s="106"/>
      <c r="G33" s="106"/>
      <c r="J33" s="28">
        <f>IFERROR(VLOOKUP(TEXT(B33,"0"),STOCK!A:H,7,0),1)</f>
        <v>1</v>
      </c>
    </row>
    <row r="34" spans="2:10" ht="5.45" customHeight="1">
      <c r="D34" s="102"/>
      <c r="F34" s="107"/>
      <c r="G34" s="107"/>
      <c r="J34" s="28">
        <f>IFERROR(VLOOKUP(TEXT(B34,"0"),STOCK!A:H,7,0),1)</f>
        <v>1</v>
      </c>
    </row>
    <row r="35" spans="2:10" ht="24.6" customHeight="1">
      <c r="D35" s="102"/>
      <c r="F35" s="115" t="s">
        <v>2</v>
      </c>
      <c r="G35" s="108">
        <f>SUM(G13:G34)</f>
        <v>0</v>
      </c>
      <c r="J35" s="28">
        <f>IFERROR(VLOOKUP(TEXT(B35,"0"),STOCK!A:H,7,0),1)</f>
        <v>1</v>
      </c>
    </row>
    <row r="36" spans="2:10" ht="3.6" customHeight="1">
      <c r="D36" s="103"/>
      <c r="F36" s="116"/>
      <c r="G36" s="109"/>
      <c r="J36" s="28">
        <f>IFERROR(VLOOKUP(TEXT(B36,"0"),STOCK!A:H,7,0),1)</f>
        <v>1</v>
      </c>
    </row>
    <row r="37" spans="2:10" ht="24.6" customHeight="1">
      <c r="F37" s="115" t="s">
        <v>36</v>
      </c>
      <c r="G37" s="108">
        <v>0</v>
      </c>
      <c r="J37" s="28">
        <f>IFERROR(VLOOKUP(TEXT(B37,"0"),STOCK!A:H,7,0),1)</f>
        <v>1</v>
      </c>
    </row>
    <row r="38" spans="2:10" ht="7.9" customHeight="1">
      <c r="E38" s="41"/>
      <c r="F38" s="117"/>
      <c r="G38" s="110"/>
      <c r="J38" s="28">
        <f>IFERROR(VLOOKUP(TEXT(B38,"0"),STOCK!A:H,7,0),1)</f>
        <v>1</v>
      </c>
    </row>
    <row r="39" spans="2:10" ht="7.9" customHeight="1">
      <c r="E39" s="41"/>
      <c r="F39" s="117"/>
      <c r="G39" s="110"/>
      <c r="J39" s="28">
        <f>IFERROR(VLOOKUP(TEXT(B39,"0"),STOCK!A:H,7,0),1)</f>
        <v>1</v>
      </c>
    </row>
    <row r="40" spans="2:10" ht="7.9" customHeight="1">
      <c r="E40" s="41"/>
      <c r="F40" s="117"/>
      <c r="G40" s="110"/>
      <c r="J40" s="28">
        <f>IFERROR(VLOOKUP(TEXT(B40,"0"),STOCK!A:H,7,0),1)</f>
        <v>1</v>
      </c>
    </row>
    <row r="41" spans="2:10" ht="7.9" customHeight="1">
      <c r="E41" s="41"/>
      <c r="F41" s="117"/>
      <c r="G41" s="110"/>
      <c r="J41" s="28">
        <f>IFERROR(VLOOKUP(TEXT(B41,"0"),STOCK!A:H,7,0),1)</f>
        <v>1</v>
      </c>
    </row>
    <row r="42" spans="2:10" ht="27" customHeight="1">
      <c r="B42" s="167"/>
      <c r="C42" s="59"/>
      <c r="D42" s="104"/>
      <c r="E42" s="175" t="s">
        <v>53</v>
      </c>
      <c r="F42" s="175"/>
      <c r="G42" s="111">
        <f>TOTAL-DESCUENTO</f>
        <v>0</v>
      </c>
      <c r="J42" s="28">
        <f>IFERROR(VLOOKUP(TEXT(B42,"0"),STOCK!A:H,7,0),1)</f>
        <v>1</v>
      </c>
    </row>
    <row r="43" spans="2:10" ht="7.9" customHeight="1">
      <c r="F43" s="107"/>
      <c r="G43" s="107"/>
      <c r="J43" s="28">
        <f>IFERROR(VLOOKUP(TEXT(B43,"0"),STOCK!A:H,7,0),1)</f>
        <v>1</v>
      </c>
    </row>
    <row r="44" spans="2:10" ht="24.6" customHeight="1">
      <c r="F44" s="168" t="s">
        <v>55</v>
      </c>
      <c r="G44" s="108">
        <v>0</v>
      </c>
      <c r="J44" s="28">
        <f>IFERROR(VLOOKUP(TEXT(B44,"0"),STOCK!A:H,7,0),1)</f>
        <v>1</v>
      </c>
    </row>
    <row r="45" spans="2:10" ht="7.15" customHeight="1">
      <c r="F45" s="118"/>
      <c r="G45" s="109"/>
      <c r="J45" s="28">
        <f>IFERROR(VLOOKUP(TEXT(B45,"0"),STOCK!A:H,7,0),1)</f>
        <v>1</v>
      </c>
    </row>
    <row r="46" spans="2:10" ht="24.6" customHeight="1">
      <c r="F46" s="168" t="s">
        <v>56</v>
      </c>
      <c r="G46" s="112">
        <f>TOTAL_FINAL-SENA</f>
        <v>0</v>
      </c>
      <c r="J46" s="28">
        <f>IFERROR(VLOOKUP(TEXT(B46,"0"),STOCK!A:H,7,0),1)</f>
        <v>1</v>
      </c>
    </row>
    <row r="47" spans="2:10" ht="10.15" customHeight="1">
      <c r="G47" s="113"/>
      <c r="J47" s="28">
        <f>IFERROR(VLOOKUP(TEXT(B47,"0"),STOCK!A:H,7,0),1)</f>
        <v>1</v>
      </c>
    </row>
    <row r="48" spans="2:10" ht="35.450000000000003" hidden="1" customHeight="1">
      <c r="G48" s="113"/>
      <c r="J48" s="28">
        <f>IFERROR(VLOOKUP(TEXT(B48,"0"),STOCK!A:H,7,0),1)</f>
        <v>1</v>
      </c>
    </row>
    <row r="49" spans="7:10" ht="35.450000000000003" hidden="1" customHeight="1">
      <c r="G49" s="113"/>
      <c r="J49" s="28">
        <f>IFERROR(VLOOKUP(TEXT(B49,"0"),STOCK!A:H,7,0),1)</f>
        <v>1</v>
      </c>
    </row>
    <row r="50" spans="7:10" ht="35.450000000000003" hidden="1" customHeight="1">
      <c r="G50" s="113"/>
      <c r="J50" s="28">
        <f>IFERROR(VLOOKUP(TEXT(B50,"0"),STOCK!A:H,7,0),1)</f>
        <v>1</v>
      </c>
    </row>
    <row r="51" spans="7:10" ht="35.450000000000003" hidden="1" customHeight="1">
      <c r="G51" s="113"/>
      <c r="J51" s="28">
        <f>IFERROR(VLOOKUP(TEXT(B51,"0"),STOCK!A:H,7,0),1)</f>
        <v>1</v>
      </c>
    </row>
    <row r="52" spans="7:10" ht="35.450000000000003" hidden="1" customHeight="1">
      <c r="G52" s="113"/>
      <c r="J52" s="28">
        <f>IFERROR(VLOOKUP(TEXT(B52,"0"),STOCK!A:H,7,0),1)</f>
        <v>1</v>
      </c>
    </row>
    <row r="53" spans="7:10" ht="35.450000000000003" hidden="1" customHeight="1">
      <c r="G53" s="113"/>
      <c r="J53" s="28">
        <f>IFERROR(VLOOKUP(TEXT(B53,"0"),STOCK!A:H,7,0),1)</f>
        <v>1</v>
      </c>
    </row>
    <row r="54" spans="7:10" ht="35.450000000000003" hidden="1" customHeight="1">
      <c r="G54" s="113"/>
      <c r="J54" s="28">
        <f>IFERROR(VLOOKUP(TEXT(B54,"0"),STOCK!A:H,7,0),1)</f>
        <v>1</v>
      </c>
    </row>
    <row r="55" spans="7:10" ht="35.450000000000003" hidden="1" customHeight="1">
      <c r="G55" s="113"/>
      <c r="J55" s="28">
        <f>IFERROR(VLOOKUP(TEXT(B55,"0"),STOCK!A:H,7,0),1)</f>
        <v>1</v>
      </c>
    </row>
    <row r="56" spans="7:10" ht="35.450000000000003" hidden="1" customHeight="1">
      <c r="G56" s="113"/>
      <c r="J56" s="28">
        <f>IFERROR(VLOOKUP(TEXT(B56,"0"),STOCK!A:H,7,0),1)</f>
        <v>1</v>
      </c>
    </row>
    <row r="57" spans="7:10" ht="35.450000000000003" hidden="1" customHeight="1">
      <c r="G57" s="113"/>
      <c r="J57" s="28">
        <f>IFERROR(VLOOKUP(TEXT(B57,"0"),STOCK!A:H,7,0),1)</f>
        <v>1</v>
      </c>
    </row>
    <row r="58" spans="7:10" ht="35.450000000000003" hidden="1" customHeight="1">
      <c r="G58" s="113"/>
      <c r="J58" s="28">
        <f>IFERROR(VLOOKUP(TEXT(B58,"0"),STOCK!A:H,7,0),1)</f>
        <v>1</v>
      </c>
    </row>
    <row r="59" spans="7:10" ht="35.450000000000003" hidden="1" customHeight="1">
      <c r="G59" s="113"/>
      <c r="J59" s="28">
        <f>IFERROR(VLOOKUP(TEXT(B59,"0"),STOCK!A:H,7,0),1)</f>
        <v>1</v>
      </c>
    </row>
    <row r="60" spans="7:10" ht="35.450000000000003" hidden="1" customHeight="1">
      <c r="G60" s="113"/>
      <c r="J60" s="28">
        <f>IFERROR(VLOOKUP(TEXT(B60,"0"),STOCK!A:H,7,0),1)</f>
        <v>1</v>
      </c>
    </row>
    <row r="61" spans="7:10" ht="35.450000000000003" hidden="1" customHeight="1">
      <c r="G61" s="113"/>
      <c r="J61" s="28">
        <f>IFERROR(VLOOKUP(TEXT(B61,"0"),STOCK!A:H,7,0),1)</f>
        <v>1</v>
      </c>
    </row>
    <row r="62" spans="7:10" ht="35.450000000000003" hidden="1" customHeight="1">
      <c r="G62" s="113"/>
      <c r="J62" s="28">
        <f>IFERROR(VLOOKUP(TEXT(B62,"0"),STOCK!A:H,7,0),1)</f>
        <v>1</v>
      </c>
    </row>
    <row r="63" spans="7:10" ht="35.450000000000003" hidden="1" customHeight="1">
      <c r="G63" s="113"/>
      <c r="J63" s="28">
        <f>IFERROR(VLOOKUP(TEXT(B63,"0"),STOCK!A:H,7,0),1)</f>
        <v>1</v>
      </c>
    </row>
    <row r="64" spans="7:10" ht="35.450000000000003" hidden="1" customHeight="1">
      <c r="G64" s="113"/>
      <c r="J64" s="28">
        <f>IFERROR(VLOOKUP(TEXT(B64,"0"),STOCK!A:H,7,0),1)</f>
        <v>1</v>
      </c>
    </row>
    <row r="65" spans="7:10" ht="35.450000000000003" hidden="1" customHeight="1">
      <c r="G65" s="113"/>
      <c r="J65" s="28">
        <f>IFERROR(VLOOKUP(TEXT(B65,"0"),STOCK!A:H,7,0),1)</f>
        <v>1</v>
      </c>
    </row>
    <row r="66" spans="7:10" ht="35.450000000000003" hidden="1" customHeight="1">
      <c r="G66" s="113"/>
      <c r="J66" s="28">
        <f>IFERROR(VLOOKUP(TEXT(B66,"0"),STOCK!A:H,7,0),1)</f>
        <v>1</v>
      </c>
    </row>
    <row r="67" spans="7:10" ht="35.450000000000003" hidden="1" customHeight="1">
      <c r="G67" s="113"/>
      <c r="J67" s="28">
        <f>IFERROR(VLOOKUP(TEXT(B67,"0"),STOCK!A:H,7,0),1)</f>
        <v>1</v>
      </c>
    </row>
    <row r="68" spans="7:10" ht="35.450000000000003" hidden="1" customHeight="1">
      <c r="G68" s="113"/>
      <c r="J68" s="28">
        <f>IFERROR(VLOOKUP(TEXT(B68,"0"),STOCK!A:H,7,0),1)</f>
        <v>1</v>
      </c>
    </row>
    <row r="69" spans="7:10" ht="35.450000000000003" hidden="1" customHeight="1">
      <c r="G69" s="113"/>
      <c r="J69" s="28">
        <f>IFERROR(VLOOKUP(TEXT(B69,"0"),STOCK!A:H,7,0),1)</f>
        <v>1</v>
      </c>
    </row>
    <row r="70" spans="7:10" ht="35.450000000000003" hidden="1" customHeight="1">
      <c r="G70" s="113"/>
      <c r="J70" s="28">
        <f>IFERROR(VLOOKUP(TEXT(B70,"0"),STOCK!A:H,7,0),1)</f>
        <v>1</v>
      </c>
    </row>
    <row r="71" spans="7:10" ht="35.450000000000003" hidden="1" customHeight="1">
      <c r="G71" s="113"/>
      <c r="J71" s="28">
        <f>IFERROR(VLOOKUP(TEXT(B71,"0"),STOCK!A:H,7,0),1)</f>
        <v>1</v>
      </c>
    </row>
    <row r="72" spans="7:10" ht="35.450000000000003" hidden="1" customHeight="1">
      <c r="G72" s="113"/>
      <c r="J72" s="28">
        <f>IFERROR(VLOOKUP(TEXT(B72,"0"),STOCK!A:H,7,0),1)</f>
        <v>1</v>
      </c>
    </row>
    <row r="73" spans="7:10" ht="35.450000000000003" hidden="1" customHeight="1">
      <c r="G73" s="113"/>
      <c r="J73" s="28">
        <f>IFERROR(VLOOKUP(TEXT(B73,"0"),STOCK!A:H,7,0),1)</f>
        <v>1</v>
      </c>
    </row>
    <row r="74" spans="7:10" ht="35.450000000000003" hidden="1" customHeight="1">
      <c r="G74" s="113"/>
      <c r="J74" s="28">
        <f>IFERROR(VLOOKUP(TEXT(B74,"0"),STOCK!A:H,7,0),1)</f>
        <v>1</v>
      </c>
    </row>
    <row r="75" spans="7:10" ht="35.450000000000003" hidden="1" customHeight="1">
      <c r="G75" s="113"/>
      <c r="J75" s="28">
        <f>IFERROR(VLOOKUP(TEXT(B75,"0"),STOCK!A:H,7,0),1)</f>
        <v>1</v>
      </c>
    </row>
    <row r="76" spans="7:10" ht="35.450000000000003" hidden="1" customHeight="1">
      <c r="G76" s="113"/>
      <c r="J76" s="28">
        <f>IFERROR(VLOOKUP(TEXT(B76,"0"),STOCK!A:H,7,0),1)</f>
        <v>1</v>
      </c>
    </row>
    <row r="77" spans="7:10" ht="35.450000000000003" hidden="1" customHeight="1">
      <c r="G77" s="113"/>
      <c r="J77" s="28">
        <f>IFERROR(VLOOKUP(TEXT(B77,"0"),STOCK!A:H,7,0),1)</f>
        <v>1</v>
      </c>
    </row>
    <row r="78" spans="7:10" ht="35.450000000000003" hidden="1" customHeight="1">
      <c r="G78" s="113"/>
      <c r="J78" s="28">
        <f>IFERROR(VLOOKUP(TEXT(B78,"0"),STOCK!A:H,7,0),1)</f>
        <v>1</v>
      </c>
    </row>
    <row r="79" spans="7:10" ht="35.450000000000003" hidden="1" customHeight="1">
      <c r="G79" s="113"/>
      <c r="J79" s="28">
        <f>IFERROR(VLOOKUP(TEXT(B79,"0"),STOCK!A:H,7,0),1)</f>
        <v>1</v>
      </c>
    </row>
    <row r="80" spans="7:10" ht="35.450000000000003" hidden="1" customHeight="1">
      <c r="G80" s="113"/>
      <c r="J80" s="28">
        <f>IFERROR(VLOOKUP(TEXT(B80,"0"),STOCK!A:H,7,0),1)</f>
        <v>1</v>
      </c>
    </row>
    <row r="81" spans="7:10" ht="35.450000000000003" hidden="1" customHeight="1">
      <c r="G81" s="113"/>
      <c r="J81" s="28">
        <f>IFERROR(VLOOKUP(TEXT(B81,"0"),STOCK!A:H,7,0),1)</f>
        <v>1</v>
      </c>
    </row>
    <row r="82" spans="7:10" ht="35.450000000000003" hidden="1" customHeight="1">
      <c r="G82" s="113"/>
      <c r="J82" s="28">
        <f>IFERROR(VLOOKUP(TEXT(B82,"0"),STOCK!A:H,7,0),1)</f>
        <v>1</v>
      </c>
    </row>
    <row r="83" spans="7:10" ht="35.450000000000003" hidden="1" customHeight="1">
      <c r="G83" s="113"/>
      <c r="J83" s="28">
        <f>IFERROR(VLOOKUP(TEXT(B83,"0"),STOCK!A:H,7,0),1)</f>
        <v>1</v>
      </c>
    </row>
    <row r="84" spans="7:10" ht="35.450000000000003" hidden="1" customHeight="1">
      <c r="G84" s="113"/>
      <c r="J84" s="28">
        <f>IFERROR(VLOOKUP(TEXT(B84,"0"),STOCK!A:H,7,0),1)</f>
        <v>1</v>
      </c>
    </row>
    <row r="85" spans="7:10" ht="35.450000000000003" hidden="1" customHeight="1">
      <c r="G85" s="113"/>
      <c r="J85" s="28">
        <f>IFERROR(VLOOKUP(TEXT(B85,"0"),STOCK!A:H,7,0),1)</f>
        <v>1</v>
      </c>
    </row>
    <row r="86" spans="7:10" ht="35.450000000000003" hidden="1" customHeight="1">
      <c r="G86" s="113"/>
      <c r="J86" s="28">
        <f>IFERROR(VLOOKUP(TEXT(B86,"0"),STOCK!A:H,7,0),1)</f>
        <v>1</v>
      </c>
    </row>
    <row r="87" spans="7:10" ht="35.450000000000003" hidden="1" customHeight="1">
      <c r="G87" s="113"/>
      <c r="J87" s="28">
        <f>IFERROR(VLOOKUP(TEXT(B87,"0"),STOCK!A:H,7,0),1)</f>
        <v>1</v>
      </c>
    </row>
    <row r="88" spans="7:10" ht="35.450000000000003" hidden="1" customHeight="1">
      <c r="G88" s="113"/>
      <c r="J88" s="28">
        <f>IFERROR(VLOOKUP(TEXT(B88,"0"),STOCK!A:H,7,0),1)</f>
        <v>1</v>
      </c>
    </row>
    <row r="89" spans="7:10" ht="35.450000000000003" hidden="1" customHeight="1">
      <c r="G89" s="113"/>
      <c r="J89" s="28">
        <f>IFERROR(VLOOKUP(TEXT(B89,"0"),STOCK!A:H,7,0),1)</f>
        <v>1</v>
      </c>
    </row>
    <row r="90" spans="7:10" ht="35.450000000000003" hidden="1" customHeight="1">
      <c r="G90" s="113"/>
      <c r="J90" s="28">
        <f>IFERROR(VLOOKUP(TEXT(B90,"0"),STOCK!A:H,7,0),1)</f>
        <v>1</v>
      </c>
    </row>
    <row r="91" spans="7:10" ht="35.450000000000003" hidden="1" customHeight="1">
      <c r="G91" s="113"/>
      <c r="J91" s="28">
        <f>IFERROR(VLOOKUP(TEXT(B91,"0"),STOCK!A:H,7,0),1)</f>
        <v>1</v>
      </c>
    </row>
    <row r="92" spans="7:10" ht="35.450000000000003" hidden="1" customHeight="1">
      <c r="G92" s="113"/>
      <c r="J92" s="28">
        <f>IFERROR(VLOOKUP(TEXT(B92,"0"),STOCK!A:H,7,0),1)</f>
        <v>1</v>
      </c>
    </row>
    <row r="93" spans="7:10" ht="35.450000000000003" hidden="1" customHeight="1">
      <c r="G93" s="113"/>
      <c r="J93" s="28">
        <f>IFERROR(VLOOKUP(TEXT(B93,"0"),STOCK!A:H,7,0),1)</f>
        <v>1</v>
      </c>
    </row>
    <row r="94" spans="7:10" ht="35.450000000000003" hidden="1" customHeight="1">
      <c r="G94" s="113"/>
      <c r="J94" s="28">
        <f>IFERROR(VLOOKUP(TEXT(B94,"0"),STOCK!A:H,7,0),1)</f>
        <v>1</v>
      </c>
    </row>
    <row r="95" spans="7:10" ht="35.450000000000003" hidden="1" customHeight="1">
      <c r="G95" s="113"/>
      <c r="J95" s="28">
        <f>IFERROR(VLOOKUP(TEXT(B95,"0"),STOCK!A:H,7,0),1)</f>
        <v>1</v>
      </c>
    </row>
    <row r="96" spans="7:10" ht="35.450000000000003" hidden="1" customHeight="1">
      <c r="G96" s="113"/>
      <c r="J96" s="28">
        <f>IFERROR(VLOOKUP(TEXT(B96,"0"),STOCK!A:H,7,0),1)</f>
        <v>1</v>
      </c>
    </row>
    <row r="97" spans="7:10" ht="35.450000000000003" hidden="1" customHeight="1">
      <c r="G97" s="113"/>
      <c r="J97" s="28">
        <f>IFERROR(VLOOKUP(TEXT(B97,"0"),STOCK!A:H,7,0),1)</f>
        <v>1</v>
      </c>
    </row>
    <row r="98" spans="7:10" ht="35.450000000000003" hidden="1" customHeight="1">
      <c r="G98" s="113"/>
      <c r="J98" s="28">
        <f>IFERROR(VLOOKUP(TEXT(B98,"0"),STOCK!A:H,7,0),1)</f>
        <v>1</v>
      </c>
    </row>
    <row r="99" spans="7:10" ht="35.450000000000003" hidden="1" customHeight="1">
      <c r="G99" s="113"/>
      <c r="J99" s="28">
        <f>IFERROR(VLOOKUP(TEXT(B99,"0"),STOCK!A:H,7,0),1)</f>
        <v>1</v>
      </c>
    </row>
    <row r="100" spans="7:10" ht="35.450000000000003" hidden="1" customHeight="1">
      <c r="G100" s="113"/>
      <c r="J100" s="28">
        <f>IFERROR(VLOOKUP(TEXT(B100,"0"),STOCK!A:H,7,0),1)</f>
        <v>1</v>
      </c>
    </row>
    <row r="101" spans="7:10" ht="35.450000000000003" hidden="1" customHeight="1">
      <c r="G101" s="113"/>
      <c r="J101" s="28">
        <f>IFERROR(VLOOKUP(TEXT(B101,"0"),STOCK!A:H,7,0),1)</f>
        <v>1</v>
      </c>
    </row>
    <row r="102" spans="7:10" ht="35.450000000000003" hidden="1" customHeight="1">
      <c r="G102" s="113"/>
      <c r="J102" s="28">
        <f>IFERROR(VLOOKUP(TEXT(B102,"0"),STOCK!A:H,7,0),1)</f>
        <v>1</v>
      </c>
    </row>
    <row r="103" spans="7:10" ht="35.450000000000003" hidden="1" customHeight="1">
      <c r="G103" s="113"/>
      <c r="J103" s="28">
        <f>IFERROR(VLOOKUP(TEXT(B103,"0"),STOCK!A:H,7,0),1)</f>
        <v>1</v>
      </c>
    </row>
    <row r="104" spans="7:10" ht="35.450000000000003" hidden="1" customHeight="1">
      <c r="G104" s="113"/>
      <c r="J104" s="28">
        <f>IFERROR(VLOOKUP(TEXT(B104,"0"),STOCK!A:H,7,0),1)</f>
        <v>1</v>
      </c>
    </row>
    <row r="105" spans="7:10" ht="35.450000000000003" hidden="1" customHeight="1">
      <c r="G105" s="113"/>
      <c r="J105" s="28">
        <f>IFERROR(VLOOKUP(TEXT(B105,"0"),STOCK!A:H,7,0),1)</f>
        <v>1</v>
      </c>
    </row>
    <row r="106" spans="7:10" ht="35.450000000000003" hidden="1" customHeight="1">
      <c r="G106" s="113"/>
      <c r="J106" s="28">
        <f>IFERROR(VLOOKUP(TEXT(B106,"0"),STOCK!A:H,7,0),1)</f>
        <v>1</v>
      </c>
    </row>
    <row r="107" spans="7:10" ht="35.450000000000003" hidden="1" customHeight="1">
      <c r="G107" s="113"/>
      <c r="J107" s="28">
        <f>IFERROR(VLOOKUP(TEXT(B107,"0"),STOCK!A:H,7,0),1)</f>
        <v>1</v>
      </c>
    </row>
    <row r="108" spans="7:10" ht="35.450000000000003" hidden="1" customHeight="1">
      <c r="G108" s="113"/>
      <c r="J108" s="28">
        <f>IFERROR(VLOOKUP(TEXT(B108,"0"),STOCK!A:H,7,0),1)</f>
        <v>1</v>
      </c>
    </row>
    <row r="109" spans="7:10" ht="35.450000000000003" hidden="1" customHeight="1">
      <c r="G109" s="113"/>
      <c r="J109" s="28">
        <f>IFERROR(VLOOKUP(TEXT(B109,"0"),STOCK!A:H,7,0),1)</f>
        <v>1</v>
      </c>
    </row>
    <row r="110" spans="7:10" ht="35.450000000000003" hidden="1" customHeight="1">
      <c r="G110" s="113"/>
      <c r="J110" s="28">
        <f>IFERROR(VLOOKUP(TEXT(B110,"0"),STOCK!A:H,7,0),1)</f>
        <v>1</v>
      </c>
    </row>
    <row r="111" spans="7:10" ht="35.450000000000003" hidden="1" customHeight="1">
      <c r="G111" s="113"/>
      <c r="J111" s="28">
        <f>IFERROR(VLOOKUP(TEXT(B111,"0"),STOCK!A:H,7,0),1)</f>
        <v>1</v>
      </c>
    </row>
    <row r="112" spans="7:10" ht="35.450000000000003" hidden="1" customHeight="1">
      <c r="G112" s="113"/>
      <c r="J112" s="28">
        <f>IFERROR(VLOOKUP(TEXT(B112,"0"),STOCK!A:H,7,0),1)</f>
        <v>1</v>
      </c>
    </row>
    <row r="113" spans="7:10" ht="35.450000000000003" hidden="1" customHeight="1">
      <c r="G113" s="113"/>
      <c r="J113" s="28">
        <f>IFERROR(VLOOKUP(TEXT(B113,"0"),STOCK!A:H,7,0),1)</f>
        <v>1</v>
      </c>
    </row>
    <row r="114" spans="7:10" ht="35.450000000000003" hidden="1" customHeight="1">
      <c r="G114" s="113"/>
      <c r="J114" s="28">
        <f>IFERROR(VLOOKUP(TEXT(B114,"0"),STOCK!A:H,7,0),1)</f>
        <v>1</v>
      </c>
    </row>
    <row r="115" spans="7:10" ht="35.450000000000003" hidden="1" customHeight="1">
      <c r="G115" s="113"/>
      <c r="J115" s="28">
        <f>IFERROR(VLOOKUP(TEXT(B115,"0"),STOCK!A:H,7,0),1)</f>
        <v>1</v>
      </c>
    </row>
    <row r="116" spans="7:10" ht="35.450000000000003" hidden="1" customHeight="1">
      <c r="G116" s="113"/>
      <c r="J116" s="28">
        <f>IFERROR(VLOOKUP(TEXT(B116,"0"),STOCK!A:H,7,0),1)</f>
        <v>1</v>
      </c>
    </row>
    <row r="117" spans="7:10" ht="35.450000000000003" hidden="1" customHeight="1">
      <c r="G117" s="113"/>
      <c r="J117" s="28">
        <f>IFERROR(VLOOKUP(TEXT(B117,"0"),STOCK!A:H,7,0),1)</f>
        <v>1</v>
      </c>
    </row>
    <row r="118" spans="7:10" ht="35.450000000000003" hidden="1" customHeight="1">
      <c r="G118" s="113"/>
      <c r="J118" s="28">
        <f>IFERROR(VLOOKUP(TEXT(B118,"0"),STOCK!A:H,7,0),1)</f>
        <v>1</v>
      </c>
    </row>
    <row r="119" spans="7:10" ht="35.450000000000003" hidden="1" customHeight="1">
      <c r="G119" s="113"/>
      <c r="J119" s="28">
        <f>IFERROR(VLOOKUP(TEXT(B119,"0"),STOCK!A:H,7,0),1)</f>
        <v>1</v>
      </c>
    </row>
    <row r="120" spans="7:10" ht="35.450000000000003" hidden="1" customHeight="1">
      <c r="G120" s="113"/>
      <c r="J120" s="28">
        <f>IFERROR(VLOOKUP(TEXT(B120,"0"),STOCK!A:H,7,0),1)</f>
        <v>1</v>
      </c>
    </row>
    <row r="121" spans="7:10" ht="35.450000000000003" hidden="1" customHeight="1">
      <c r="G121" s="113"/>
      <c r="J121" s="28">
        <f>IFERROR(VLOOKUP(TEXT(B121,"0"),STOCK!A:H,7,0),1)</f>
        <v>1</v>
      </c>
    </row>
    <row r="122" spans="7:10" ht="35.450000000000003" hidden="1" customHeight="1">
      <c r="G122" s="113"/>
      <c r="J122" s="28">
        <f>IFERROR(VLOOKUP(TEXT(B122,"0"),STOCK!A:H,7,0),1)</f>
        <v>1</v>
      </c>
    </row>
    <row r="123" spans="7:10" ht="35.450000000000003" hidden="1" customHeight="1">
      <c r="G123" s="113"/>
      <c r="J123" s="28">
        <f>IFERROR(VLOOKUP(TEXT(B123,"0"),STOCK!A:H,7,0),1)</f>
        <v>1</v>
      </c>
    </row>
    <row r="124" spans="7:10" ht="35.450000000000003" hidden="1" customHeight="1">
      <c r="G124" s="113"/>
      <c r="J124" s="28">
        <f>IFERROR(VLOOKUP(TEXT(B124,"0"),STOCK!A:H,7,0),1)</f>
        <v>1</v>
      </c>
    </row>
    <row r="125" spans="7:10" ht="35.450000000000003" hidden="1" customHeight="1">
      <c r="G125" s="113"/>
      <c r="J125" s="28">
        <f>IFERROR(VLOOKUP(TEXT(B125,"0"),STOCK!A:H,7,0),1)</f>
        <v>1</v>
      </c>
    </row>
    <row r="126" spans="7:10" ht="35.450000000000003" hidden="1" customHeight="1">
      <c r="G126" s="113"/>
      <c r="J126" s="28">
        <f>IFERROR(VLOOKUP(TEXT(B126,"0"),STOCK!A:H,7,0),1)</f>
        <v>1</v>
      </c>
    </row>
    <row r="127" spans="7:10" ht="35.450000000000003" hidden="1" customHeight="1">
      <c r="G127" s="113"/>
      <c r="J127" s="28">
        <f>IFERROR(VLOOKUP(TEXT(B127,"0"),STOCK!A:H,7,0),1)</f>
        <v>1</v>
      </c>
    </row>
    <row r="128" spans="7:10" ht="35.450000000000003" hidden="1" customHeight="1">
      <c r="G128" s="113"/>
      <c r="J128" s="28">
        <f>IFERROR(VLOOKUP(TEXT(B128,"0"),STOCK!A:H,7,0),1)</f>
        <v>1</v>
      </c>
    </row>
    <row r="129" spans="7:10" ht="35.450000000000003" hidden="1" customHeight="1">
      <c r="G129" s="113"/>
      <c r="J129" s="28">
        <f>IFERROR(VLOOKUP(TEXT(B129,"0"),STOCK!A:H,7,0),1)</f>
        <v>1</v>
      </c>
    </row>
    <row r="130" spans="7:10" ht="35.450000000000003" hidden="1" customHeight="1">
      <c r="G130" s="113"/>
      <c r="J130" s="28">
        <f>IFERROR(VLOOKUP(TEXT(B130,"0"),STOCK!A:H,7,0),1)</f>
        <v>1</v>
      </c>
    </row>
    <row r="131" spans="7:10" ht="35.450000000000003" hidden="1" customHeight="1">
      <c r="G131" s="113"/>
      <c r="J131" s="28">
        <f>IFERROR(VLOOKUP(TEXT(B131,"0"),STOCK!A:H,7,0),1)</f>
        <v>1</v>
      </c>
    </row>
    <row r="132" spans="7:10" ht="35.450000000000003" hidden="1" customHeight="1">
      <c r="G132" s="113"/>
      <c r="J132" s="28">
        <f>IFERROR(VLOOKUP(TEXT(B132,"0"),STOCK!A:H,7,0),1)</f>
        <v>1</v>
      </c>
    </row>
    <row r="133" spans="7:10" ht="35.450000000000003" hidden="1" customHeight="1">
      <c r="G133" s="113"/>
      <c r="J133" s="28">
        <f>IFERROR(VLOOKUP(TEXT(B133,"0"),STOCK!A:H,7,0),1)</f>
        <v>1</v>
      </c>
    </row>
    <row r="134" spans="7:10" ht="35.450000000000003" hidden="1" customHeight="1">
      <c r="G134" s="113"/>
      <c r="J134" s="28">
        <f>IFERROR(VLOOKUP(TEXT(B134,"0"),STOCK!A:H,7,0),1)</f>
        <v>1</v>
      </c>
    </row>
    <row r="135" spans="7:10" ht="35.450000000000003" hidden="1" customHeight="1">
      <c r="G135" s="113"/>
      <c r="J135" s="28">
        <f>IFERROR(VLOOKUP(TEXT(B135,"0"),STOCK!A:H,7,0),1)</f>
        <v>1</v>
      </c>
    </row>
    <row r="136" spans="7:10" ht="35.450000000000003" hidden="1" customHeight="1">
      <c r="G136" s="113"/>
      <c r="J136" s="28">
        <f>IFERROR(VLOOKUP(TEXT(B136,"0"),STOCK!A:H,7,0),1)</f>
        <v>1</v>
      </c>
    </row>
    <row r="137" spans="7:10" ht="35.450000000000003" hidden="1" customHeight="1">
      <c r="G137" s="113"/>
      <c r="J137" s="28">
        <f>IFERROR(VLOOKUP(TEXT(B137,"0"),STOCK!A:H,7,0),1)</f>
        <v>1</v>
      </c>
    </row>
    <row r="138" spans="7:10" ht="35.450000000000003" hidden="1" customHeight="1">
      <c r="G138" s="113"/>
      <c r="J138" s="28">
        <f>IFERROR(VLOOKUP(TEXT(B138,"0"),STOCK!A:H,7,0),1)</f>
        <v>1</v>
      </c>
    </row>
    <row r="139" spans="7:10" ht="35.450000000000003" hidden="1" customHeight="1">
      <c r="G139" s="113"/>
      <c r="J139" s="28">
        <f>IFERROR(VLOOKUP(TEXT(B139,"0"),STOCK!A:H,7,0),1)</f>
        <v>1</v>
      </c>
    </row>
    <row r="140" spans="7:10" ht="35.450000000000003" hidden="1" customHeight="1">
      <c r="G140" s="113"/>
      <c r="J140" s="28">
        <f>IFERROR(VLOOKUP(TEXT(B140,"0"),STOCK!A:H,7,0),1)</f>
        <v>1</v>
      </c>
    </row>
    <row r="141" spans="7:10" ht="35.450000000000003" hidden="1" customHeight="1">
      <c r="G141" s="113"/>
      <c r="J141" s="28">
        <f>IFERROR(VLOOKUP(TEXT(B141,"0"),STOCK!A:H,7,0),1)</f>
        <v>1</v>
      </c>
    </row>
    <row r="142" spans="7:10" ht="35.450000000000003" hidden="1" customHeight="1">
      <c r="G142" s="113"/>
      <c r="J142" s="28">
        <f>IFERROR(VLOOKUP(TEXT(B142,"0"),STOCK!A:H,7,0),1)</f>
        <v>1</v>
      </c>
    </row>
    <row r="143" spans="7:10" ht="35.450000000000003" hidden="1" customHeight="1">
      <c r="G143" s="113"/>
      <c r="J143" s="28">
        <f>IFERROR(VLOOKUP(TEXT(B143,"0"),STOCK!A:H,7,0),1)</f>
        <v>1</v>
      </c>
    </row>
    <row r="144" spans="7:10" ht="35.450000000000003" hidden="1" customHeight="1">
      <c r="G144" s="113"/>
      <c r="J144" s="28">
        <f>IFERROR(VLOOKUP(TEXT(B144,"0"),STOCK!A:H,7,0),1)</f>
        <v>1</v>
      </c>
    </row>
    <row r="145" spans="7:10" ht="35.450000000000003" hidden="1" customHeight="1">
      <c r="G145" s="113"/>
      <c r="J145" s="28">
        <f>IFERROR(VLOOKUP(TEXT(B145,"0"),STOCK!A:H,7,0),1)</f>
        <v>1</v>
      </c>
    </row>
    <row r="146" spans="7:10" ht="35.450000000000003" hidden="1" customHeight="1">
      <c r="G146" s="113"/>
      <c r="J146" s="28">
        <f>IFERROR(VLOOKUP(TEXT(B146,"0"),STOCK!A:H,7,0),1)</f>
        <v>1</v>
      </c>
    </row>
    <row r="147" spans="7:10" ht="35.450000000000003" hidden="1" customHeight="1">
      <c r="G147" s="113"/>
      <c r="J147" s="28">
        <f>IFERROR(VLOOKUP(TEXT(B147,"0"),STOCK!A:H,7,0),1)</f>
        <v>1</v>
      </c>
    </row>
    <row r="148" spans="7:10" ht="35.450000000000003" hidden="1" customHeight="1">
      <c r="G148" s="113"/>
      <c r="J148" s="28">
        <f>IFERROR(VLOOKUP(TEXT(B148,"0"),STOCK!A:H,7,0),1)</f>
        <v>1</v>
      </c>
    </row>
    <row r="149" spans="7:10" ht="35.450000000000003" hidden="1" customHeight="1">
      <c r="G149" s="113"/>
      <c r="J149" s="28">
        <f>IFERROR(VLOOKUP(TEXT(B149,"0"),STOCK!A:H,7,0),1)</f>
        <v>1</v>
      </c>
    </row>
    <row r="150" spans="7:10" ht="35.450000000000003" hidden="1" customHeight="1">
      <c r="G150" s="113"/>
      <c r="J150" s="28">
        <f>IFERROR(VLOOKUP(TEXT(B150,"0"),STOCK!A:H,7,0),1)</f>
        <v>1</v>
      </c>
    </row>
    <row r="151" spans="7:10" ht="35.450000000000003" hidden="1" customHeight="1">
      <c r="G151" s="113"/>
      <c r="J151" s="28">
        <f>IFERROR(VLOOKUP(TEXT(B151,"0"),STOCK!A:H,7,0),1)</f>
        <v>1</v>
      </c>
    </row>
    <row r="152" spans="7:10" ht="35.450000000000003" hidden="1" customHeight="1">
      <c r="G152" s="113"/>
      <c r="J152" s="28">
        <f>IFERROR(VLOOKUP(TEXT(B152,"0"),STOCK!A:H,7,0),1)</f>
        <v>1</v>
      </c>
    </row>
    <row r="153" spans="7:10" ht="35.450000000000003" hidden="1" customHeight="1">
      <c r="G153" s="113"/>
      <c r="J153" s="28">
        <f>IFERROR(VLOOKUP(TEXT(B153,"0"),STOCK!A:H,7,0),1)</f>
        <v>1</v>
      </c>
    </row>
    <row r="154" spans="7:10" ht="35.450000000000003" hidden="1" customHeight="1">
      <c r="G154" s="113"/>
      <c r="J154" s="28">
        <f>IFERROR(VLOOKUP(TEXT(B154,"0"),STOCK!A:H,7,0),1)</f>
        <v>1</v>
      </c>
    </row>
    <row r="155" spans="7:10" ht="35.450000000000003" hidden="1" customHeight="1">
      <c r="G155" s="113"/>
      <c r="J155" s="28">
        <f>IFERROR(VLOOKUP(TEXT(B155,"0"),STOCK!A:H,7,0),1)</f>
        <v>1</v>
      </c>
    </row>
    <row r="156" spans="7:10" ht="35.450000000000003" hidden="1" customHeight="1">
      <c r="G156" s="113"/>
      <c r="J156" s="28">
        <f>IFERROR(VLOOKUP(TEXT(B156,"0"),STOCK!A:H,7,0),1)</f>
        <v>1</v>
      </c>
    </row>
    <row r="157" spans="7:10" ht="35.450000000000003" hidden="1" customHeight="1">
      <c r="G157" s="113"/>
      <c r="J157" s="28">
        <f>IFERROR(VLOOKUP(TEXT(B157,"0"),STOCK!A:H,7,0),1)</f>
        <v>1</v>
      </c>
    </row>
    <row r="158" spans="7:10" ht="35.450000000000003" hidden="1" customHeight="1">
      <c r="G158" s="113"/>
      <c r="J158" s="28">
        <f>IFERROR(VLOOKUP(TEXT(B158,"0"),STOCK!A:H,7,0),1)</f>
        <v>1</v>
      </c>
    </row>
    <row r="159" spans="7:10" ht="35.450000000000003" hidden="1" customHeight="1">
      <c r="G159" s="113"/>
      <c r="J159" s="28">
        <f>IFERROR(VLOOKUP(TEXT(B159,"0"),STOCK!A:H,7,0),1)</f>
        <v>1</v>
      </c>
    </row>
    <row r="160" spans="7:10" ht="35.450000000000003" hidden="1" customHeight="1">
      <c r="G160" s="113"/>
      <c r="J160" s="28">
        <f>IFERROR(VLOOKUP(TEXT(B160,"0"),STOCK!A:H,7,0),1)</f>
        <v>1</v>
      </c>
    </row>
    <row r="161" spans="7:10" ht="35.450000000000003" hidden="1" customHeight="1">
      <c r="G161" s="113"/>
      <c r="J161" s="28">
        <f>IFERROR(VLOOKUP(TEXT(B161,"0"),STOCK!A:H,7,0),1)</f>
        <v>1</v>
      </c>
    </row>
    <row r="162" spans="7:10" ht="35.450000000000003" hidden="1" customHeight="1">
      <c r="G162" s="113"/>
      <c r="J162" s="28">
        <f>IFERROR(VLOOKUP(TEXT(B162,"0"),STOCK!A:H,7,0),1)</f>
        <v>1</v>
      </c>
    </row>
    <row r="163" spans="7:10" ht="35.450000000000003" hidden="1" customHeight="1">
      <c r="G163" s="113"/>
      <c r="J163" s="28">
        <f>IFERROR(VLOOKUP(TEXT(B163,"0"),STOCK!A:H,7,0),1)</f>
        <v>1</v>
      </c>
    </row>
    <row r="164" spans="7:10" ht="35.450000000000003" hidden="1" customHeight="1">
      <c r="G164" s="113"/>
      <c r="J164" s="28">
        <f>IFERROR(VLOOKUP(TEXT(B164,"0"),STOCK!A:H,7,0),1)</f>
        <v>1</v>
      </c>
    </row>
    <row r="165" spans="7:10" ht="35.450000000000003" hidden="1" customHeight="1">
      <c r="G165" s="113"/>
      <c r="J165" s="28">
        <f>IFERROR(VLOOKUP(TEXT(B165,"0"),STOCK!A:H,7,0),1)</f>
        <v>1</v>
      </c>
    </row>
    <row r="166" spans="7:10" ht="35.450000000000003" hidden="1" customHeight="1">
      <c r="G166" s="113"/>
      <c r="J166" s="28">
        <f>IFERROR(VLOOKUP(TEXT(B166,"0"),STOCK!A:H,7,0),1)</f>
        <v>1</v>
      </c>
    </row>
    <row r="167" spans="7:10" ht="35.450000000000003" hidden="1" customHeight="1">
      <c r="G167" s="113"/>
      <c r="J167" s="28">
        <f>IFERROR(VLOOKUP(TEXT(B167,"0"),STOCK!A:H,7,0),1)</f>
        <v>1</v>
      </c>
    </row>
    <row r="168" spans="7:10" ht="35.450000000000003" hidden="1" customHeight="1">
      <c r="G168" s="113"/>
      <c r="J168" s="28">
        <f>IFERROR(VLOOKUP(TEXT(B168,"0"),STOCK!A:H,7,0),1)</f>
        <v>1</v>
      </c>
    </row>
    <row r="169" spans="7:10" ht="35.450000000000003" hidden="1" customHeight="1">
      <c r="G169" s="113"/>
      <c r="J169" s="28">
        <f>IFERROR(VLOOKUP(TEXT(B169,"0"),STOCK!A:H,7,0),1)</f>
        <v>1</v>
      </c>
    </row>
    <row r="170" spans="7:10" ht="35.450000000000003" hidden="1" customHeight="1">
      <c r="G170" s="113"/>
      <c r="J170" s="28">
        <f>IFERROR(VLOOKUP(TEXT(B170,"0"),STOCK!A:H,7,0),1)</f>
        <v>1</v>
      </c>
    </row>
    <row r="171" spans="7:10" ht="35.450000000000003" hidden="1" customHeight="1">
      <c r="G171" s="113"/>
      <c r="J171" s="28">
        <f>IFERROR(VLOOKUP(TEXT(B171,"0"),STOCK!A:H,7,0),1)</f>
        <v>1</v>
      </c>
    </row>
    <row r="172" spans="7:10" ht="35.450000000000003" hidden="1" customHeight="1">
      <c r="G172" s="113"/>
      <c r="J172" s="28">
        <f>IFERROR(VLOOKUP(TEXT(B172,"0"),STOCK!A:H,7,0),1)</f>
        <v>1</v>
      </c>
    </row>
    <row r="173" spans="7:10" ht="35.450000000000003" hidden="1" customHeight="1">
      <c r="G173" s="113"/>
      <c r="J173" s="28">
        <f>IFERROR(VLOOKUP(TEXT(B173,"0"),STOCK!A:H,7,0),1)</f>
        <v>1</v>
      </c>
    </row>
    <row r="174" spans="7:10" ht="35.450000000000003" hidden="1" customHeight="1">
      <c r="G174" s="113"/>
      <c r="J174" s="28">
        <f>IFERROR(VLOOKUP(TEXT(B174,"0"),STOCK!A:H,7,0),1)</f>
        <v>1</v>
      </c>
    </row>
    <row r="175" spans="7:10" ht="35.450000000000003" hidden="1" customHeight="1">
      <c r="G175" s="113"/>
      <c r="J175" s="28">
        <f>IFERROR(VLOOKUP(TEXT(B175,"0"),STOCK!A:H,7,0),1)</f>
        <v>1</v>
      </c>
    </row>
    <row r="176" spans="7:10" ht="35.450000000000003" hidden="1" customHeight="1">
      <c r="G176" s="113"/>
      <c r="J176" s="28">
        <f>IFERROR(VLOOKUP(TEXT(B176,"0"),STOCK!A:H,7,0),1)</f>
        <v>1</v>
      </c>
    </row>
    <row r="177" spans="7:10" ht="35.450000000000003" hidden="1" customHeight="1">
      <c r="G177" s="113"/>
      <c r="J177" s="28">
        <f>IFERROR(VLOOKUP(TEXT(B177,"0"),STOCK!A:H,7,0),1)</f>
        <v>1</v>
      </c>
    </row>
    <row r="178" spans="7:10" ht="35.450000000000003" hidden="1" customHeight="1">
      <c r="G178" s="113"/>
      <c r="J178" s="28">
        <f>IFERROR(VLOOKUP(TEXT(B178,"0"),STOCK!A:H,7,0),1)</f>
        <v>1</v>
      </c>
    </row>
    <row r="179" spans="7:10" ht="35.450000000000003" hidden="1" customHeight="1">
      <c r="G179" s="113"/>
      <c r="J179" s="28">
        <f>IFERROR(VLOOKUP(TEXT(B179,"0"),STOCK!A:H,7,0),1)</f>
        <v>1</v>
      </c>
    </row>
    <row r="180" spans="7:10" ht="35.450000000000003" hidden="1" customHeight="1">
      <c r="G180" s="113"/>
      <c r="J180" s="28">
        <f>IFERROR(VLOOKUP(TEXT(B180,"0"),STOCK!A:H,7,0),1)</f>
        <v>1</v>
      </c>
    </row>
    <row r="181" spans="7:10" ht="35.450000000000003" hidden="1" customHeight="1">
      <c r="G181" s="113"/>
      <c r="J181" s="28">
        <f>IFERROR(VLOOKUP(TEXT(B181,"0"),STOCK!A:H,7,0),1)</f>
        <v>1</v>
      </c>
    </row>
    <row r="182" spans="7:10" ht="35.450000000000003" hidden="1" customHeight="1">
      <c r="G182" s="113"/>
      <c r="J182" s="28">
        <f>IFERROR(VLOOKUP(TEXT(B182,"0"),STOCK!A:H,7,0),1)</f>
        <v>1</v>
      </c>
    </row>
    <row r="183" spans="7:10" ht="35.450000000000003" hidden="1" customHeight="1">
      <c r="G183" s="113"/>
      <c r="J183" s="28">
        <f>IFERROR(VLOOKUP(TEXT(B183,"0"),STOCK!A:H,7,0),1)</f>
        <v>1</v>
      </c>
    </row>
    <row r="184" spans="7:10" ht="35.450000000000003" hidden="1" customHeight="1">
      <c r="G184" s="113"/>
      <c r="J184" s="28">
        <f>IFERROR(VLOOKUP(TEXT(B184,"0"),STOCK!A:H,7,0),1)</f>
        <v>1</v>
      </c>
    </row>
    <row r="185" spans="7:10" ht="35.450000000000003" hidden="1" customHeight="1">
      <c r="G185" s="113"/>
      <c r="J185" s="28">
        <f>IFERROR(VLOOKUP(TEXT(B185,"0"),STOCK!A:H,7,0),1)</f>
        <v>1</v>
      </c>
    </row>
    <row r="186" spans="7:10" ht="35.450000000000003" hidden="1" customHeight="1">
      <c r="G186" s="113"/>
      <c r="J186" s="28">
        <f>IFERROR(VLOOKUP(TEXT(B186,"0"),STOCK!A:H,7,0),1)</f>
        <v>1</v>
      </c>
    </row>
    <row r="187" spans="7:10" ht="35.450000000000003" hidden="1" customHeight="1">
      <c r="G187" s="113"/>
      <c r="J187" s="28">
        <f>IFERROR(VLOOKUP(TEXT(B187,"0"),STOCK!A:H,7,0),1)</f>
        <v>1</v>
      </c>
    </row>
    <row r="188" spans="7:10" ht="35.450000000000003" hidden="1" customHeight="1">
      <c r="G188" s="113"/>
      <c r="J188" s="28">
        <f>IFERROR(VLOOKUP(TEXT(B188,"0"),STOCK!A:H,7,0),1)</f>
        <v>1</v>
      </c>
    </row>
    <row r="189" spans="7:10" ht="35.450000000000003" hidden="1" customHeight="1">
      <c r="G189" s="113"/>
      <c r="J189" s="28">
        <f>IFERROR(VLOOKUP(TEXT(B189,"0"),STOCK!A:H,7,0),1)</f>
        <v>1</v>
      </c>
    </row>
    <row r="190" spans="7:10" ht="35.450000000000003" hidden="1" customHeight="1">
      <c r="G190" s="113"/>
      <c r="J190" s="28">
        <f>IFERROR(VLOOKUP(TEXT(B190,"0"),STOCK!A:H,7,0),1)</f>
        <v>1</v>
      </c>
    </row>
    <row r="191" spans="7:10" ht="35.450000000000003" hidden="1" customHeight="1">
      <c r="G191" s="113"/>
      <c r="J191" s="28">
        <f>IFERROR(VLOOKUP(TEXT(B191,"0"),STOCK!A:H,7,0),1)</f>
        <v>1</v>
      </c>
    </row>
    <row r="192" spans="7:10" ht="35.450000000000003" hidden="1" customHeight="1">
      <c r="G192" s="113"/>
      <c r="J192" s="28">
        <f>IFERROR(VLOOKUP(TEXT(B192,"0"),STOCK!A:H,7,0),1)</f>
        <v>1</v>
      </c>
    </row>
    <row r="193" spans="7:10" ht="35.450000000000003" hidden="1" customHeight="1">
      <c r="G193" s="113"/>
      <c r="J193" s="28">
        <f>IFERROR(VLOOKUP(TEXT(B193,"0"),STOCK!A:H,7,0),1)</f>
        <v>1</v>
      </c>
    </row>
    <row r="194" spans="7:10" ht="35.450000000000003" hidden="1" customHeight="1">
      <c r="G194" s="113"/>
      <c r="J194" s="28">
        <f>IFERROR(VLOOKUP(TEXT(B194,"0"),STOCK!A:H,7,0),1)</f>
        <v>1</v>
      </c>
    </row>
    <row r="195" spans="7:10" ht="35.450000000000003" hidden="1" customHeight="1">
      <c r="G195" s="113"/>
      <c r="J195" s="28">
        <f>IFERROR(VLOOKUP(TEXT(B195,"0"),STOCK!A:H,7,0),1)</f>
        <v>1</v>
      </c>
    </row>
    <row r="196" spans="7:10" ht="35.450000000000003" hidden="1" customHeight="1">
      <c r="G196" s="113"/>
      <c r="J196" s="28">
        <f>IFERROR(VLOOKUP(TEXT(B196,"0"),STOCK!A:H,7,0),1)</f>
        <v>1</v>
      </c>
    </row>
    <row r="197" spans="7:10" ht="35.450000000000003" hidden="1" customHeight="1">
      <c r="G197" s="113"/>
      <c r="J197" s="28">
        <f>IFERROR(VLOOKUP(TEXT(B197,"0"),STOCK!A:H,7,0),1)</f>
        <v>1</v>
      </c>
    </row>
    <row r="198" spans="7:10" ht="35.450000000000003" hidden="1" customHeight="1">
      <c r="G198" s="113"/>
      <c r="J198" s="28">
        <f>IFERROR(VLOOKUP(TEXT(B198,"0"),STOCK!A:H,7,0),1)</f>
        <v>1</v>
      </c>
    </row>
    <row r="199" spans="7:10" ht="35.450000000000003" hidden="1" customHeight="1">
      <c r="G199" s="113"/>
      <c r="J199" s="28">
        <f>IFERROR(VLOOKUP(TEXT(B199,"0"),STOCK!A:H,7,0),1)</f>
        <v>1</v>
      </c>
    </row>
    <row r="200" spans="7:10" ht="35.450000000000003" hidden="1" customHeight="1">
      <c r="G200" s="113"/>
      <c r="J200" s="28">
        <f>IFERROR(VLOOKUP(TEXT(B200,"0"),STOCK!A:H,7,0),1)</f>
        <v>1</v>
      </c>
    </row>
    <row r="201" spans="7:10" ht="35.450000000000003" hidden="1" customHeight="1">
      <c r="G201" s="113"/>
      <c r="J201" s="28">
        <f>IFERROR(VLOOKUP(TEXT(B201,"0"),STOCK!A:H,7,0),1)</f>
        <v>1</v>
      </c>
    </row>
    <row r="202" spans="7:10" ht="35.450000000000003" hidden="1" customHeight="1">
      <c r="G202" s="113"/>
      <c r="J202" s="28">
        <f>IFERROR(VLOOKUP(TEXT(B202,"0"),STOCK!A:H,7,0),1)</f>
        <v>1</v>
      </c>
    </row>
    <row r="203" spans="7:10" ht="35.450000000000003" hidden="1" customHeight="1">
      <c r="G203" s="113"/>
      <c r="J203" s="28">
        <f>IFERROR(VLOOKUP(TEXT(B203,"0"),STOCK!A:H,7,0),1)</f>
        <v>1</v>
      </c>
    </row>
    <row r="204" spans="7:10" ht="35.450000000000003" hidden="1" customHeight="1">
      <c r="G204" s="113"/>
      <c r="J204" s="28">
        <f>IFERROR(VLOOKUP(TEXT(B204,"0"),STOCK!A:H,7,0),1)</f>
        <v>1</v>
      </c>
    </row>
    <row r="205" spans="7:10" ht="35.450000000000003" hidden="1" customHeight="1">
      <c r="G205" s="113"/>
      <c r="J205" s="28">
        <f>IFERROR(VLOOKUP(TEXT(B205,"0"),STOCK!A:H,7,0),1)</f>
        <v>1</v>
      </c>
    </row>
    <row r="206" spans="7:10" ht="35.450000000000003" hidden="1" customHeight="1">
      <c r="G206" s="113"/>
      <c r="J206" s="28">
        <f>IFERROR(VLOOKUP(TEXT(B206,"0"),STOCK!A:H,7,0),1)</f>
        <v>1</v>
      </c>
    </row>
    <row r="207" spans="7:10" ht="35.450000000000003" hidden="1" customHeight="1">
      <c r="G207" s="113"/>
      <c r="J207" s="28">
        <f>IFERROR(VLOOKUP(TEXT(B207,"0"),STOCK!A:H,7,0),1)</f>
        <v>1</v>
      </c>
    </row>
    <row r="208" spans="7:10" ht="35.450000000000003" hidden="1" customHeight="1">
      <c r="G208" s="113"/>
      <c r="J208" s="28">
        <f>IFERROR(VLOOKUP(TEXT(B208,"0"),STOCK!A:H,7,0),1)</f>
        <v>1</v>
      </c>
    </row>
    <row r="209" spans="7:10" ht="35.450000000000003" hidden="1" customHeight="1">
      <c r="G209" s="113"/>
      <c r="J209" s="28">
        <f>IFERROR(VLOOKUP(TEXT(B209,"0"),STOCK!A:H,7,0),1)</f>
        <v>1</v>
      </c>
    </row>
    <row r="210" spans="7:10" ht="35.450000000000003" hidden="1" customHeight="1">
      <c r="G210" s="113"/>
      <c r="J210" s="28">
        <f>IFERROR(VLOOKUP(TEXT(B210,"0"),STOCK!A:H,7,0),1)</f>
        <v>1</v>
      </c>
    </row>
    <row r="211" spans="7:10" ht="35.450000000000003" hidden="1" customHeight="1">
      <c r="G211" s="113"/>
      <c r="J211" s="28">
        <f>IFERROR(VLOOKUP(TEXT(B211,"0"),STOCK!A:H,7,0),1)</f>
        <v>1</v>
      </c>
    </row>
    <row r="212" spans="7:10" ht="35.450000000000003" hidden="1" customHeight="1">
      <c r="G212" s="113"/>
      <c r="J212" s="28">
        <f>IFERROR(VLOOKUP(TEXT(B212,"0"),STOCK!A:H,7,0),1)</f>
        <v>1</v>
      </c>
    </row>
    <row r="213" spans="7:10" ht="35.450000000000003" hidden="1" customHeight="1">
      <c r="G213" s="113"/>
      <c r="J213" s="28">
        <f>IFERROR(VLOOKUP(TEXT(B213,"0"),STOCK!A:H,7,0),1)</f>
        <v>1</v>
      </c>
    </row>
    <row r="214" spans="7:10" ht="35.450000000000003" hidden="1" customHeight="1">
      <c r="G214" s="113"/>
      <c r="J214" s="28">
        <f>IFERROR(VLOOKUP(TEXT(B214,"0"),STOCK!A:H,7,0),1)</f>
        <v>1</v>
      </c>
    </row>
    <row r="215" spans="7:10" ht="35.450000000000003" hidden="1" customHeight="1">
      <c r="G215" s="113"/>
      <c r="J215" s="28">
        <f>IFERROR(VLOOKUP(TEXT(B215,"0"),STOCK!A:H,7,0),1)</f>
        <v>1</v>
      </c>
    </row>
    <row r="216" spans="7:10" ht="35.450000000000003" hidden="1" customHeight="1">
      <c r="G216" s="113"/>
      <c r="J216" s="28">
        <f>IFERROR(VLOOKUP(TEXT(B216,"0"),STOCK!A:H,7,0),1)</f>
        <v>1</v>
      </c>
    </row>
    <row r="217" spans="7:10" ht="35.450000000000003" hidden="1" customHeight="1">
      <c r="G217" s="113"/>
      <c r="J217" s="28">
        <f>IFERROR(VLOOKUP(TEXT(B217,"0"),STOCK!A:H,7,0),1)</f>
        <v>1</v>
      </c>
    </row>
    <row r="218" spans="7:10" ht="35.450000000000003" hidden="1" customHeight="1">
      <c r="G218" s="113"/>
      <c r="J218" s="28">
        <f>IFERROR(VLOOKUP(TEXT(B218,"0"),STOCK!A:H,7,0),1)</f>
        <v>1</v>
      </c>
    </row>
    <row r="219" spans="7:10" ht="35.450000000000003" hidden="1" customHeight="1">
      <c r="G219" s="113"/>
      <c r="J219" s="28">
        <f>IFERROR(VLOOKUP(TEXT(B219,"0"),STOCK!A:H,7,0),1)</f>
        <v>1</v>
      </c>
    </row>
    <row r="220" spans="7:10" ht="35.450000000000003" hidden="1" customHeight="1">
      <c r="G220" s="113"/>
      <c r="J220" s="28">
        <f>IFERROR(VLOOKUP(TEXT(B220,"0"),STOCK!A:H,7,0),1)</f>
        <v>1</v>
      </c>
    </row>
    <row r="221" spans="7:10" ht="35.450000000000003" hidden="1" customHeight="1">
      <c r="G221" s="113"/>
      <c r="J221" s="28">
        <f>IFERROR(VLOOKUP(TEXT(B221,"0"),STOCK!A:H,7,0),1)</f>
        <v>1</v>
      </c>
    </row>
    <row r="222" spans="7:10" ht="35.450000000000003" hidden="1" customHeight="1">
      <c r="G222" s="113"/>
      <c r="J222" s="28">
        <f>IFERROR(VLOOKUP(TEXT(B222,"0"),STOCK!A:H,7,0),1)</f>
        <v>1</v>
      </c>
    </row>
    <row r="223" spans="7:10" ht="35.450000000000003" hidden="1" customHeight="1">
      <c r="G223" s="113"/>
      <c r="J223" s="28">
        <f>IFERROR(VLOOKUP(TEXT(B223,"0"),STOCK!A:H,7,0),1)</f>
        <v>1</v>
      </c>
    </row>
    <row r="224" spans="7:10" ht="35.450000000000003" hidden="1" customHeight="1">
      <c r="G224" s="113"/>
      <c r="J224" s="28">
        <f>IFERROR(VLOOKUP(TEXT(B224,"0"),STOCK!A:H,7,0),1)</f>
        <v>1</v>
      </c>
    </row>
    <row r="225" spans="7:10" ht="35.450000000000003" hidden="1" customHeight="1">
      <c r="G225" s="113"/>
      <c r="J225" s="28">
        <f>IFERROR(VLOOKUP(TEXT(B225,"0"),STOCK!A:H,7,0),1)</f>
        <v>1</v>
      </c>
    </row>
    <row r="226" spans="7:10" ht="35.450000000000003" hidden="1" customHeight="1">
      <c r="G226" s="113"/>
      <c r="J226" s="28">
        <f>IFERROR(VLOOKUP(TEXT(B226,"0"),STOCK!A:H,7,0),1)</f>
        <v>1</v>
      </c>
    </row>
    <row r="227" spans="7:10" ht="35.450000000000003" hidden="1" customHeight="1">
      <c r="G227" s="113"/>
      <c r="J227" s="28">
        <f>IFERROR(VLOOKUP(TEXT(B227,"0"),STOCK!A:H,7,0),1)</f>
        <v>1</v>
      </c>
    </row>
    <row r="228" spans="7:10" ht="35.450000000000003" hidden="1" customHeight="1">
      <c r="G228" s="113"/>
      <c r="J228" s="28">
        <f>IFERROR(VLOOKUP(TEXT(B228,"0"),STOCK!A:H,7,0),1)</f>
        <v>1</v>
      </c>
    </row>
    <row r="229" spans="7:10" ht="35.450000000000003" hidden="1" customHeight="1">
      <c r="G229" s="113"/>
      <c r="J229" s="28">
        <f>IFERROR(VLOOKUP(TEXT(B229,"0"),STOCK!A:H,7,0),1)</f>
        <v>1</v>
      </c>
    </row>
    <row r="230" spans="7:10" ht="35.450000000000003" hidden="1" customHeight="1">
      <c r="G230" s="113"/>
      <c r="J230" s="28">
        <f>IFERROR(VLOOKUP(TEXT(B230,"0"),STOCK!A:H,7,0),1)</f>
        <v>1</v>
      </c>
    </row>
    <row r="231" spans="7:10" ht="35.450000000000003" hidden="1" customHeight="1">
      <c r="G231" s="113"/>
      <c r="J231" s="28">
        <f>IFERROR(VLOOKUP(TEXT(B231,"0"),STOCK!A:H,7,0),1)</f>
        <v>1</v>
      </c>
    </row>
    <row r="232" spans="7:10" ht="35.450000000000003" hidden="1" customHeight="1">
      <c r="G232" s="113"/>
      <c r="J232" s="28">
        <f>IFERROR(VLOOKUP(TEXT(B232,"0"),STOCK!A:H,7,0),1)</f>
        <v>1</v>
      </c>
    </row>
    <row r="233" spans="7:10" ht="35.450000000000003" hidden="1" customHeight="1">
      <c r="G233" s="113"/>
      <c r="J233" s="28">
        <f>IFERROR(VLOOKUP(TEXT(B233,"0"),STOCK!A:H,7,0),1)</f>
        <v>1</v>
      </c>
    </row>
    <row r="234" spans="7:10" ht="35.450000000000003" hidden="1" customHeight="1">
      <c r="G234" s="113"/>
      <c r="J234" s="28">
        <f>IFERROR(VLOOKUP(TEXT(B234,"0"),STOCK!A:H,7,0),1)</f>
        <v>1</v>
      </c>
    </row>
    <row r="235" spans="7:10" ht="35.450000000000003" hidden="1" customHeight="1">
      <c r="G235" s="113"/>
      <c r="J235" s="28">
        <f>IFERROR(VLOOKUP(TEXT(B235,"0"),STOCK!A:H,7,0),1)</f>
        <v>1</v>
      </c>
    </row>
    <row r="236" spans="7:10" ht="35.450000000000003" hidden="1" customHeight="1">
      <c r="G236" s="113"/>
      <c r="J236" s="28">
        <f>IFERROR(VLOOKUP(TEXT(B236,"0"),STOCK!A:H,7,0),1)</f>
        <v>1</v>
      </c>
    </row>
    <row r="237" spans="7:10" ht="35.450000000000003" hidden="1" customHeight="1">
      <c r="G237" s="113"/>
      <c r="J237" s="28">
        <f>IFERROR(VLOOKUP(TEXT(B237,"0"),STOCK!A:H,7,0),1)</f>
        <v>1</v>
      </c>
    </row>
    <row r="238" spans="7:10" ht="35.450000000000003" hidden="1" customHeight="1">
      <c r="G238" s="113"/>
      <c r="J238" s="28">
        <f>IFERROR(VLOOKUP(TEXT(B238,"0"),STOCK!A:H,7,0),1)</f>
        <v>1</v>
      </c>
    </row>
    <row r="239" spans="7:10" ht="35.450000000000003" hidden="1" customHeight="1">
      <c r="G239" s="113"/>
      <c r="J239" s="28">
        <f>IFERROR(VLOOKUP(TEXT(B239,"0"),STOCK!A:H,7,0),1)</f>
        <v>1</v>
      </c>
    </row>
    <row r="240" spans="7:10" ht="35.450000000000003" hidden="1" customHeight="1">
      <c r="G240" s="113"/>
      <c r="J240" s="28">
        <f>IFERROR(VLOOKUP(TEXT(B240,"0"),STOCK!A:H,7,0),1)</f>
        <v>1</v>
      </c>
    </row>
    <row r="241" spans="7:10" ht="35.450000000000003" hidden="1" customHeight="1">
      <c r="G241" s="113"/>
      <c r="J241" s="28">
        <f>IFERROR(VLOOKUP(TEXT(B241,"0"),STOCK!A:H,7,0),1)</f>
        <v>1</v>
      </c>
    </row>
    <row r="242" spans="7:10" ht="35.450000000000003" hidden="1" customHeight="1">
      <c r="G242" s="113"/>
      <c r="J242" s="28">
        <f>IFERROR(VLOOKUP(TEXT(B242,"0"),STOCK!A:H,7,0),1)</f>
        <v>1</v>
      </c>
    </row>
    <row r="243" spans="7:10" ht="35.450000000000003" hidden="1" customHeight="1">
      <c r="G243" s="113"/>
      <c r="J243" s="28">
        <f>IFERROR(VLOOKUP(TEXT(B243,"0"),STOCK!A:H,7,0),1)</f>
        <v>1</v>
      </c>
    </row>
    <row r="244" spans="7:10" ht="35.450000000000003" hidden="1" customHeight="1">
      <c r="G244" s="113"/>
      <c r="J244" s="28">
        <f>IFERROR(VLOOKUP(TEXT(B244,"0"),STOCK!A:H,7,0),1)</f>
        <v>1</v>
      </c>
    </row>
    <row r="245" spans="7:10" ht="35.450000000000003" hidden="1" customHeight="1">
      <c r="G245" s="113"/>
      <c r="J245" s="28">
        <f>IFERROR(VLOOKUP(TEXT(B245,"0"),STOCK!A:H,7,0),1)</f>
        <v>1</v>
      </c>
    </row>
    <row r="246" spans="7:10" ht="35.450000000000003" hidden="1" customHeight="1">
      <c r="G246" s="113"/>
      <c r="J246" s="28">
        <f>IFERROR(VLOOKUP(TEXT(B246,"0"),STOCK!A:H,7,0),1)</f>
        <v>1</v>
      </c>
    </row>
    <row r="247" spans="7:10" ht="35.450000000000003" hidden="1" customHeight="1">
      <c r="G247" s="113"/>
      <c r="J247" s="28">
        <f>IFERROR(VLOOKUP(TEXT(B247,"0"),STOCK!A:H,7,0),1)</f>
        <v>1</v>
      </c>
    </row>
    <row r="248" spans="7:10" ht="35.450000000000003" hidden="1" customHeight="1">
      <c r="G248" s="113"/>
      <c r="J248" s="28">
        <f>IFERROR(VLOOKUP(TEXT(B248,"0"),STOCK!A:H,7,0),1)</f>
        <v>1</v>
      </c>
    </row>
    <row r="249" spans="7:10" ht="35.450000000000003" hidden="1" customHeight="1">
      <c r="G249" s="113"/>
      <c r="J249" s="28">
        <f>IFERROR(VLOOKUP(TEXT(B249,"0"),STOCK!A:H,7,0),1)</f>
        <v>1</v>
      </c>
    </row>
    <row r="250" spans="7:10" ht="35.450000000000003" hidden="1" customHeight="1">
      <c r="G250" s="113"/>
      <c r="J250" s="28">
        <f>IFERROR(VLOOKUP(TEXT(B250,"0"),STOCK!A:H,7,0),1)</f>
        <v>1</v>
      </c>
    </row>
    <row r="251" spans="7:10" ht="35.450000000000003" hidden="1" customHeight="1">
      <c r="G251" s="113"/>
      <c r="J251" s="28">
        <f>IFERROR(VLOOKUP(TEXT(B251,"0"),STOCK!A:H,7,0),1)</f>
        <v>1</v>
      </c>
    </row>
    <row r="252" spans="7:10" ht="35.450000000000003" hidden="1" customHeight="1">
      <c r="G252" s="113"/>
      <c r="J252" s="28">
        <f>IFERROR(VLOOKUP(TEXT(B252,"0"),STOCK!A:H,7,0),1)</f>
        <v>1</v>
      </c>
    </row>
    <row r="253" spans="7:10" ht="35.450000000000003" hidden="1" customHeight="1">
      <c r="G253" s="113"/>
      <c r="J253" s="28">
        <f>IFERROR(VLOOKUP(TEXT(B253,"0"),STOCK!A:H,7,0),1)</f>
        <v>1</v>
      </c>
    </row>
    <row r="254" spans="7:10" ht="35.450000000000003" hidden="1" customHeight="1">
      <c r="G254" s="113"/>
      <c r="J254" s="28">
        <f>IFERROR(VLOOKUP(TEXT(B254,"0"),STOCK!A:H,7,0),1)</f>
        <v>1</v>
      </c>
    </row>
    <row r="255" spans="7:10" ht="35.450000000000003" hidden="1" customHeight="1">
      <c r="G255" s="113"/>
      <c r="J255" s="28">
        <f>IFERROR(VLOOKUP(TEXT(B255,"0"),STOCK!A:H,7,0),1)</f>
        <v>1</v>
      </c>
    </row>
    <row r="256" spans="7:10" ht="35.450000000000003" hidden="1" customHeight="1">
      <c r="G256" s="113"/>
      <c r="J256" s="28">
        <f>IFERROR(VLOOKUP(TEXT(B256,"0"),STOCK!A:H,7,0),1)</f>
        <v>1</v>
      </c>
    </row>
    <row r="257" spans="7:10" ht="35.450000000000003" hidden="1" customHeight="1">
      <c r="G257" s="113"/>
      <c r="J257" s="28">
        <f>IFERROR(VLOOKUP(TEXT(B257,"0"),STOCK!A:H,7,0),1)</f>
        <v>1</v>
      </c>
    </row>
    <row r="258" spans="7:10" ht="35.450000000000003" hidden="1" customHeight="1">
      <c r="G258" s="113"/>
      <c r="J258" s="28">
        <f>IFERROR(VLOOKUP(TEXT(B258,"0"),STOCK!A:H,7,0),1)</f>
        <v>1</v>
      </c>
    </row>
    <row r="259" spans="7:10" ht="35.450000000000003" hidden="1" customHeight="1">
      <c r="G259" s="113"/>
      <c r="J259" s="28">
        <f>IFERROR(VLOOKUP(TEXT(B259,"0"),STOCK!A:H,7,0),1)</f>
        <v>1</v>
      </c>
    </row>
    <row r="260" spans="7:10" ht="35.450000000000003" hidden="1" customHeight="1">
      <c r="G260" s="113"/>
      <c r="J260" s="28">
        <f>IFERROR(VLOOKUP(TEXT(B260,"0"),STOCK!A:H,7,0),1)</f>
        <v>1</v>
      </c>
    </row>
    <row r="261" spans="7:10" ht="35.450000000000003" hidden="1" customHeight="1">
      <c r="G261" s="113"/>
      <c r="J261" s="28">
        <f>IFERROR(VLOOKUP(TEXT(B261,"0"),STOCK!A:H,7,0),1)</f>
        <v>1</v>
      </c>
    </row>
    <row r="262" spans="7:10" ht="35.450000000000003" hidden="1" customHeight="1">
      <c r="G262" s="113"/>
      <c r="J262" s="28">
        <f>IFERROR(VLOOKUP(TEXT(B262,"0"),STOCK!A:H,7,0),1)</f>
        <v>1</v>
      </c>
    </row>
    <row r="263" spans="7:10" ht="35.450000000000003" hidden="1" customHeight="1">
      <c r="G263" s="113"/>
      <c r="J263" s="28">
        <f>IFERROR(VLOOKUP(TEXT(B263,"0"),STOCK!A:H,7,0),1)</f>
        <v>1</v>
      </c>
    </row>
    <row r="264" spans="7:10" ht="35.450000000000003" hidden="1" customHeight="1">
      <c r="G264" s="113"/>
      <c r="J264" s="28">
        <f>IFERROR(VLOOKUP(TEXT(B264,"0"),STOCK!A:H,7,0),1)</f>
        <v>1</v>
      </c>
    </row>
    <row r="265" spans="7:10" ht="35.450000000000003" hidden="1" customHeight="1">
      <c r="G265" s="113"/>
      <c r="J265" s="28">
        <f>IFERROR(VLOOKUP(TEXT(B265,"0"),STOCK!A:H,7,0),1)</f>
        <v>1</v>
      </c>
    </row>
    <row r="266" spans="7:10" ht="35.450000000000003" hidden="1" customHeight="1">
      <c r="G266" s="113"/>
      <c r="J266" s="28">
        <f>IFERROR(VLOOKUP(TEXT(B266,"0"),STOCK!A:H,7,0),1)</f>
        <v>1</v>
      </c>
    </row>
    <row r="267" spans="7:10" ht="35.450000000000003" hidden="1" customHeight="1">
      <c r="G267" s="113"/>
      <c r="J267" s="28">
        <f>IFERROR(VLOOKUP(TEXT(B267,"0"),STOCK!A:H,7,0),1)</f>
        <v>1</v>
      </c>
    </row>
    <row r="268" spans="7:10" ht="35.450000000000003" hidden="1" customHeight="1">
      <c r="G268" s="113"/>
      <c r="J268" s="28">
        <f>IFERROR(VLOOKUP(TEXT(B268,"0"),STOCK!A:H,7,0),1)</f>
        <v>1</v>
      </c>
    </row>
    <row r="269" spans="7:10" ht="35.450000000000003" hidden="1" customHeight="1">
      <c r="G269" s="113"/>
      <c r="J269" s="28">
        <f>IFERROR(VLOOKUP(TEXT(B269,"0"),STOCK!A:H,7,0),1)</f>
        <v>1</v>
      </c>
    </row>
    <row r="270" spans="7:10" ht="35.450000000000003" hidden="1" customHeight="1">
      <c r="G270" s="113"/>
      <c r="J270" s="28">
        <f>IFERROR(VLOOKUP(TEXT(B270,"0"),STOCK!A:H,7,0),1)</f>
        <v>1</v>
      </c>
    </row>
    <row r="271" spans="7:10" ht="35.450000000000003" hidden="1" customHeight="1">
      <c r="G271" s="113"/>
      <c r="J271" s="28">
        <f>IFERROR(VLOOKUP(TEXT(B271,"0"),STOCK!A:H,7,0),1)</f>
        <v>1</v>
      </c>
    </row>
    <row r="272" spans="7:10" ht="35.450000000000003" hidden="1" customHeight="1">
      <c r="G272" s="113"/>
      <c r="J272" s="28">
        <f>IFERROR(VLOOKUP(TEXT(B272,"0"),STOCK!A:H,7,0),1)</f>
        <v>1</v>
      </c>
    </row>
    <row r="273" spans="7:10" ht="35.450000000000003" hidden="1" customHeight="1">
      <c r="G273" s="113"/>
      <c r="J273" s="28">
        <f>IFERROR(VLOOKUP(TEXT(B273,"0"),STOCK!A:H,7,0),1)</f>
        <v>1</v>
      </c>
    </row>
    <row r="274" spans="7:10" ht="35.450000000000003" hidden="1" customHeight="1">
      <c r="G274" s="113"/>
      <c r="J274" s="28">
        <f>IFERROR(VLOOKUP(TEXT(B274,"0"),STOCK!A:H,7,0),1)</f>
        <v>1</v>
      </c>
    </row>
    <row r="275" spans="7:10" ht="35.450000000000003" hidden="1" customHeight="1">
      <c r="G275" s="113"/>
      <c r="J275" s="28">
        <f>IFERROR(VLOOKUP(TEXT(B275,"0"),STOCK!A:H,7,0),1)</f>
        <v>1</v>
      </c>
    </row>
    <row r="276" spans="7:10" ht="35.450000000000003" hidden="1" customHeight="1">
      <c r="G276" s="113"/>
      <c r="J276" s="28">
        <f>IFERROR(VLOOKUP(TEXT(B276,"0"),STOCK!A:H,7,0),1)</f>
        <v>1</v>
      </c>
    </row>
    <row r="277" spans="7:10" ht="35.450000000000003" hidden="1" customHeight="1">
      <c r="G277" s="113"/>
      <c r="J277" s="28">
        <f>IFERROR(VLOOKUP(TEXT(B277,"0"),STOCK!A:H,7,0),1)</f>
        <v>1</v>
      </c>
    </row>
    <row r="278" spans="7:10" ht="35.450000000000003" hidden="1" customHeight="1">
      <c r="G278" s="113"/>
      <c r="J278" s="28">
        <f>IFERROR(VLOOKUP(TEXT(B278,"0"),STOCK!A:H,7,0),1)</f>
        <v>1</v>
      </c>
    </row>
    <row r="279" spans="7:10" ht="35.450000000000003" hidden="1" customHeight="1">
      <c r="G279" s="113"/>
      <c r="J279" s="28">
        <f>IFERROR(VLOOKUP(TEXT(B279,"0"),STOCK!A:H,7,0),1)</f>
        <v>1</v>
      </c>
    </row>
    <row r="280" spans="7:10" ht="35.450000000000003" hidden="1" customHeight="1">
      <c r="G280" s="113"/>
      <c r="J280" s="28">
        <f>IFERROR(VLOOKUP(TEXT(B280,"0"),STOCK!A:H,7,0),1)</f>
        <v>1</v>
      </c>
    </row>
    <row r="281" spans="7:10" ht="35.450000000000003" hidden="1" customHeight="1">
      <c r="G281" s="113"/>
      <c r="J281" s="28">
        <f>IFERROR(VLOOKUP(TEXT(B281,"0"),STOCK!A:H,7,0),1)</f>
        <v>1</v>
      </c>
    </row>
    <row r="282" spans="7:10" ht="35.450000000000003" hidden="1" customHeight="1">
      <c r="G282" s="113"/>
      <c r="J282" s="28">
        <f>IFERROR(VLOOKUP(TEXT(B282,"0"),STOCK!A:H,7,0),1)</f>
        <v>1</v>
      </c>
    </row>
    <row r="283" spans="7:10" ht="35.450000000000003" hidden="1" customHeight="1">
      <c r="G283" s="113"/>
      <c r="J283" s="28">
        <f>IFERROR(VLOOKUP(TEXT(B283,"0"),STOCK!A:H,7,0),1)</f>
        <v>1</v>
      </c>
    </row>
    <row r="284" spans="7:10" ht="35.450000000000003" hidden="1" customHeight="1">
      <c r="G284" s="113"/>
      <c r="J284" s="28">
        <f>IFERROR(VLOOKUP(TEXT(B284,"0"),STOCK!A:H,7,0),1)</f>
        <v>1</v>
      </c>
    </row>
    <row r="285" spans="7:10" ht="35.450000000000003" hidden="1" customHeight="1">
      <c r="G285" s="113"/>
      <c r="J285" s="28">
        <f>IFERROR(VLOOKUP(TEXT(B285,"0"),STOCK!A:H,7,0),1)</f>
        <v>1</v>
      </c>
    </row>
    <row r="286" spans="7:10" ht="35.450000000000003" hidden="1" customHeight="1">
      <c r="G286" s="113"/>
      <c r="J286" s="28">
        <f>IFERROR(VLOOKUP(TEXT(B286,"0"),STOCK!A:H,7,0),1)</f>
        <v>1</v>
      </c>
    </row>
    <row r="287" spans="7:10" ht="35.450000000000003" hidden="1" customHeight="1">
      <c r="G287" s="113"/>
      <c r="J287" s="28">
        <f>IFERROR(VLOOKUP(TEXT(B287,"0"),STOCK!A:H,7,0),1)</f>
        <v>1</v>
      </c>
    </row>
    <row r="288" spans="7:10" ht="35.450000000000003" hidden="1" customHeight="1">
      <c r="G288" s="113"/>
      <c r="J288" s="28">
        <f>IFERROR(VLOOKUP(TEXT(B288,"0"),STOCK!A:H,7,0),1)</f>
        <v>1</v>
      </c>
    </row>
    <row r="289" spans="7:10" ht="35.450000000000003" hidden="1" customHeight="1">
      <c r="G289" s="113"/>
      <c r="J289" s="28">
        <f>IFERROR(VLOOKUP(TEXT(B289,"0"),STOCK!A:H,7,0),1)</f>
        <v>1</v>
      </c>
    </row>
    <row r="290" spans="7:10" ht="35.450000000000003" hidden="1" customHeight="1">
      <c r="G290" s="113"/>
      <c r="J290" s="28">
        <f>IFERROR(VLOOKUP(TEXT(B290,"0"),STOCK!A:H,7,0),1)</f>
        <v>1</v>
      </c>
    </row>
    <row r="291" spans="7:10" ht="35.450000000000003" hidden="1" customHeight="1">
      <c r="G291" s="113"/>
      <c r="J291" s="28">
        <f>IFERROR(VLOOKUP(TEXT(B291,"0"),STOCK!A:H,7,0),1)</f>
        <v>1</v>
      </c>
    </row>
    <row r="292" spans="7:10" ht="35.450000000000003" hidden="1" customHeight="1">
      <c r="G292" s="113"/>
      <c r="J292" s="28">
        <f>IFERROR(VLOOKUP(TEXT(B292,"0"),STOCK!A:H,7,0),1)</f>
        <v>1</v>
      </c>
    </row>
    <row r="293" spans="7:10" ht="35.450000000000003" hidden="1" customHeight="1">
      <c r="G293" s="113"/>
      <c r="J293" s="28">
        <f>IFERROR(VLOOKUP(TEXT(B293,"0"),STOCK!A:H,7,0),1)</f>
        <v>1</v>
      </c>
    </row>
    <row r="294" spans="7:10" ht="35.450000000000003" hidden="1" customHeight="1">
      <c r="G294" s="113"/>
      <c r="J294" s="28">
        <f>IFERROR(VLOOKUP(TEXT(B294,"0"),STOCK!A:H,7,0),1)</f>
        <v>1</v>
      </c>
    </row>
    <row r="295" spans="7:10" ht="35.450000000000003" hidden="1" customHeight="1">
      <c r="G295" s="113"/>
      <c r="J295" s="28">
        <f>IFERROR(VLOOKUP(TEXT(B295,"0"),STOCK!A:H,7,0),1)</f>
        <v>1</v>
      </c>
    </row>
    <row r="296" spans="7:10" ht="35.450000000000003" hidden="1" customHeight="1">
      <c r="G296" s="113"/>
      <c r="J296" s="28">
        <f>IFERROR(VLOOKUP(TEXT(B296,"0"),STOCK!A:H,7,0),1)</f>
        <v>1</v>
      </c>
    </row>
    <row r="297" spans="7:10" ht="35.450000000000003" hidden="1" customHeight="1">
      <c r="G297" s="113"/>
      <c r="J297" s="28">
        <f>IFERROR(VLOOKUP(TEXT(B297,"0"),STOCK!A:H,7,0),1)</f>
        <v>1</v>
      </c>
    </row>
    <row r="298" spans="7:10" ht="35.450000000000003" hidden="1" customHeight="1">
      <c r="G298" s="113"/>
      <c r="J298" s="28">
        <f>IFERROR(VLOOKUP(TEXT(B298,"0"),STOCK!A:H,7,0),1)</f>
        <v>1</v>
      </c>
    </row>
    <row r="299" spans="7:10" ht="35.450000000000003" hidden="1" customHeight="1">
      <c r="G299" s="113"/>
      <c r="J299" s="28">
        <f>IFERROR(VLOOKUP(TEXT(B299,"0"),STOCK!A:H,7,0),1)</f>
        <v>1</v>
      </c>
    </row>
    <row r="300" spans="7:10" ht="35.450000000000003" hidden="1" customHeight="1">
      <c r="G300" s="113"/>
      <c r="J300" s="28">
        <f>IFERROR(VLOOKUP(TEXT(B300,"0"),STOCK!A:H,7,0),1)</f>
        <v>1</v>
      </c>
    </row>
    <row r="301" spans="7:10" ht="35.450000000000003" hidden="1" customHeight="1">
      <c r="G301" s="113"/>
      <c r="J301" s="28">
        <f>IFERROR(VLOOKUP(TEXT(B301,"0"),STOCK!A:H,7,0),1)</f>
        <v>1</v>
      </c>
    </row>
    <row r="302" spans="7:10" ht="35.450000000000003" hidden="1" customHeight="1">
      <c r="G302" s="113"/>
      <c r="J302" s="28">
        <f>IFERROR(VLOOKUP(TEXT(B302,"0"),STOCK!A:H,7,0),1)</f>
        <v>1</v>
      </c>
    </row>
    <row r="303" spans="7:10" ht="35.450000000000003" hidden="1" customHeight="1">
      <c r="G303" s="113"/>
      <c r="J303" s="28">
        <f>IFERROR(VLOOKUP(TEXT(B303,"0"),STOCK!A:H,7,0),1)</f>
        <v>1</v>
      </c>
    </row>
    <row r="304" spans="7:10" ht="35.450000000000003" hidden="1" customHeight="1">
      <c r="G304" s="113"/>
      <c r="J304" s="28">
        <f>IFERROR(VLOOKUP(TEXT(B304,"0"),STOCK!A:H,7,0),1)</f>
        <v>1</v>
      </c>
    </row>
    <row r="305" spans="7:10" ht="35.450000000000003" hidden="1" customHeight="1">
      <c r="G305" s="113"/>
      <c r="J305" s="28">
        <f>IFERROR(VLOOKUP(TEXT(B305,"0"),STOCK!A:H,7,0),1)</f>
        <v>1</v>
      </c>
    </row>
    <row r="306" spans="7:10" ht="35.450000000000003" hidden="1" customHeight="1">
      <c r="G306" s="113"/>
      <c r="J306" s="28">
        <f>IFERROR(VLOOKUP(TEXT(B306,"0"),STOCK!A:H,7,0),1)</f>
        <v>1</v>
      </c>
    </row>
    <row r="307" spans="7:10" ht="35.450000000000003" hidden="1" customHeight="1">
      <c r="G307" s="113"/>
      <c r="J307" s="28">
        <f>IFERROR(VLOOKUP(TEXT(B307,"0"),STOCK!A:H,7,0),1)</f>
        <v>1</v>
      </c>
    </row>
    <row r="308" spans="7:10" ht="35.450000000000003" hidden="1" customHeight="1">
      <c r="G308" s="113"/>
      <c r="J308" s="28">
        <f>IFERROR(VLOOKUP(TEXT(B308,"0"),STOCK!A:H,7,0),1)</f>
        <v>1</v>
      </c>
    </row>
    <row r="309" spans="7:10" ht="35.450000000000003" hidden="1" customHeight="1">
      <c r="G309" s="113"/>
      <c r="J309" s="28">
        <f>IFERROR(VLOOKUP(TEXT(B309,"0"),STOCK!A:H,7,0),1)</f>
        <v>1</v>
      </c>
    </row>
    <row r="310" spans="7:10" ht="35.450000000000003" hidden="1" customHeight="1">
      <c r="G310" s="113"/>
      <c r="J310" s="28">
        <f>IFERROR(VLOOKUP(TEXT(B310,"0"),STOCK!A:H,7,0),1)</f>
        <v>1</v>
      </c>
    </row>
    <row r="311" spans="7:10" ht="35.450000000000003" hidden="1" customHeight="1">
      <c r="G311" s="113"/>
      <c r="J311" s="28">
        <f>IFERROR(VLOOKUP(TEXT(B311,"0"),STOCK!A:H,7,0),1)</f>
        <v>1</v>
      </c>
    </row>
    <row r="312" spans="7:10" ht="35.450000000000003" hidden="1" customHeight="1">
      <c r="G312" s="113"/>
      <c r="J312" s="28">
        <f>IFERROR(VLOOKUP(TEXT(B312,"0"),STOCK!A:H,7,0),1)</f>
        <v>1</v>
      </c>
    </row>
    <row r="313" spans="7:10" ht="35.450000000000003" hidden="1" customHeight="1">
      <c r="G313" s="113"/>
      <c r="J313" s="28">
        <f>IFERROR(VLOOKUP(TEXT(B313,"0"),STOCK!A:H,7,0),1)</f>
        <v>1</v>
      </c>
    </row>
    <row r="314" spans="7:10" ht="35.450000000000003" hidden="1" customHeight="1">
      <c r="G314" s="113"/>
      <c r="J314" s="28">
        <f>IFERROR(VLOOKUP(TEXT(B314,"0"),STOCK!A:H,7,0),1)</f>
        <v>1</v>
      </c>
    </row>
    <row r="315" spans="7:10" ht="35.450000000000003" hidden="1" customHeight="1">
      <c r="G315" s="113"/>
      <c r="J315" s="28">
        <f>IFERROR(VLOOKUP(TEXT(B315,"0"),STOCK!A:H,7,0),1)</f>
        <v>1</v>
      </c>
    </row>
    <row r="316" spans="7:10" ht="35.450000000000003" hidden="1" customHeight="1">
      <c r="G316" s="113"/>
      <c r="J316" s="28">
        <f>IFERROR(VLOOKUP(TEXT(B316,"0"),STOCK!A:H,7,0),1)</f>
        <v>1</v>
      </c>
    </row>
    <row r="317" spans="7:10" ht="35.450000000000003" hidden="1" customHeight="1">
      <c r="G317" s="113"/>
      <c r="J317" s="28">
        <f>IFERROR(VLOOKUP(TEXT(B317,"0"),STOCK!A:H,7,0),1)</f>
        <v>1</v>
      </c>
    </row>
    <row r="318" spans="7:10" ht="35.450000000000003" hidden="1" customHeight="1">
      <c r="G318" s="113"/>
      <c r="J318" s="28">
        <f>IFERROR(VLOOKUP(TEXT(B318,"0"),STOCK!A:H,7,0),1)</f>
        <v>1</v>
      </c>
    </row>
    <row r="319" spans="7:10" ht="35.450000000000003" hidden="1" customHeight="1">
      <c r="G319" s="113"/>
      <c r="J319" s="28">
        <f>IFERROR(VLOOKUP(TEXT(B319,"0"),STOCK!A:H,7,0),1)</f>
        <v>1</v>
      </c>
    </row>
    <row r="320" spans="7:10" ht="35.450000000000003" hidden="1" customHeight="1">
      <c r="G320" s="113"/>
      <c r="J320" s="28">
        <f>IFERROR(VLOOKUP(TEXT(B320,"0"),STOCK!A:H,7,0),1)</f>
        <v>1</v>
      </c>
    </row>
    <row r="321" spans="7:10" ht="35.450000000000003" hidden="1" customHeight="1">
      <c r="G321" s="113"/>
      <c r="J321" s="28">
        <f>IFERROR(VLOOKUP(TEXT(B321,"0"),STOCK!A:H,7,0),1)</f>
        <v>1</v>
      </c>
    </row>
    <row r="322" spans="7:10" ht="35.450000000000003" hidden="1" customHeight="1">
      <c r="G322" s="113"/>
      <c r="J322" s="28">
        <f>IFERROR(VLOOKUP(TEXT(B322,"0"),STOCK!A:H,7,0),1)</f>
        <v>1</v>
      </c>
    </row>
    <row r="323" spans="7:10" ht="35.450000000000003" hidden="1" customHeight="1">
      <c r="G323" s="113"/>
      <c r="J323" s="28">
        <f>IFERROR(VLOOKUP(TEXT(B323,"0"),STOCK!A:H,7,0),1)</f>
        <v>1</v>
      </c>
    </row>
    <row r="324" spans="7:10" ht="35.450000000000003" hidden="1" customHeight="1">
      <c r="G324" s="113"/>
      <c r="J324" s="28">
        <f>IFERROR(VLOOKUP(TEXT(B324,"0"),STOCK!A:H,7,0),1)</f>
        <v>1</v>
      </c>
    </row>
    <row r="325" spans="7:10" ht="35.450000000000003" hidden="1" customHeight="1">
      <c r="G325" s="113"/>
      <c r="J325" s="28">
        <f>IFERROR(VLOOKUP(TEXT(B325,"0"),STOCK!A:H,7,0),1)</f>
        <v>1</v>
      </c>
    </row>
    <row r="326" spans="7:10" ht="35.450000000000003" hidden="1" customHeight="1">
      <c r="G326" s="113"/>
      <c r="J326" s="28">
        <f>IFERROR(VLOOKUP(TEXT(B326,"0"),STOCK!A:H,7,0),1)</f>
        <v>1</v>
      </c>
    </row>
    <row r="327" spans="7:10" ht="35.450000000000003" hidden="1" customHeight="1">
      <c r="G327" s="113"/>
      <c r="J327" s="28">
        <f>IFERROR(VLOOKUP(TEXT(B327,"0"),STOCK!A:H,7,0),1)</f>
        <v>1</v>
      </c>
    </row>
    <row r="328" spans="7:10" ht="35.450000000000003" hidden="1" customHeight="1">
      <c r="G328" s="113"/>
      <c r="J328" s="28">
        <f>IFERROR(VLOOKUP(TEXT(B328,"0"),STOCK!A:H,7,0),1)</f>
        <v>1</v>
      </c>
    </row>
    <row r="329" spans="7:10" ht="35.450000000000003" hidden="1" customHeight="1">
      <c r="G329" s="113"/>
      <c r="J329" s="28">
        <f>IFERROR(VLOOKUP(TEXT(B329,"0"),STOCK!A:H,7,0),1)</f>
        <v>1</v>
      </c>
    </row>
    <row r="330" spans="7:10" ht="35.450000000000003" hidden="1" customHeight="1">
      <c r="G330" s="113"/>
      <c r="J330" s="28">
        <f>IFERROR(VLOOKUP(TEXT(B330,"0"),STOCK!A:H,7,0),1)</f>
        <v>1</v>
      </c>
    </row>
    <row r="331" spans="7:10" ht="35.450000000000003" hidden="1" customHeight="1">
      <c r="G331" s="113"/>
      <c r="J331" s="28">
        <f>IFERROR(VLOOKUP(TEXT(B331,"0"),STOCK!A:H,7,0),1)</f>
        <v>1</v>
      </c>
    </row>
    <row r="332" spans="7:10" ht="35.450000000000003" hidden="1" customHeight="1">
      <c r="G332" s="113"/>
      <c r="J332" s="28">
        <f>IFERROR(VLOOKUP(TEXT(B332,"0"),STOCK!A:H,7,0),1)</f>
        <v>1</v>
      </c>
    </row>
    <row r="333" spans="7:10" ht="35.450000000000003" hidden="1" customHeight="1">
      <c r="G333" s="113"/>
      <c r="J333" s="28">
        <f>IFERROR(VLOOKUP(TEXT(B333,"0"),STOCK!A:H,7,0),1)</f>
        <v>1</v>
      </c>
    </row>
    <row r="334" spans="7:10" ht="35.450000000000003" hidden="1" customHeight="1">
      <c r="G334" s="113"/>
      <c r="J334" s="28">
        <f>IFERROR(VLOOKUP(TEXT(B334,"0"),STOCK!A:H,7,0),1)</f>
        <v>1</v>
      </c>
    </row>
    <row r="335" spans="7:10" ht="35.450000000000003" hidden="1" customHeight="1">
      <c r="G335" s="113"/>
      <c r="J335" s="28">
        <f>IFERROR(VLOOKUP(TEXT(B335,"0"),STOCK!A:H,7,0),1)</f>
        <v>1</v>
      </c>
    </row>
    <row r="336" spans="7:10" ht="35.450000000000003" hidden="1" customHeight="1">
      <c r="G336" s="113"/>
      <c r="J336" s="28">
        <f>IFERROR(VLOOKUP(TEXT(B336,"0"),STOCK!A:H,7,0),1)</f>
        <v>1</v>
      </c>
    </row>
    <row r="337" spans="7:10" ht="35.450000000000003" hidden="1" customHeight="1">
      <c r="G337" s="113"/>
      <c r="J337" s="28">
        <f>IFERROR(VLOOKUP(TEXT(B337,"0"),STOCK!A:H,7,0),1)</f>
        <v>1</v>
      </c>
    </row>
    <row r="338" spans="7:10" ht="35.450000000000003" hidden="1" customHeight="1">
      <c r="G338" s="113"/>
      <c r="J338" s="28">
        <f>IFERROR(VLOOKUP(TEXT(B338,"0"),STOCK!A:H,7,0),1)</f>
        <v>1</v>
      </c>
    </row>
    <row r="339" spans="7:10" ht="35.450000000000003" hidden="1" customHeight="1">
      <c r="G339" s="113"/>
      <c r="J339" s="28">
        <f>IFERROR(VLOOKUP(TEXT(B339,"0"),STOCK!A:H,7,0),1)</f>
        <v>1</v>
      </c>
    </row>
    <row r="340" spans="7:10" ht="35.450000000000003" hidden="1" customHeight="1">
      <c r="G340" s="113"/>
      <c r="J340" s="28">
        <f>IFERROR(VLOOKUP(TEXT(B340,"0"),STOCK!A:H,7,0),1)</f>
        <v>1</v>
      </c>
    </row>
    <row r="341" spans="7:10" ht="35.450000000000003" hidden="1" customHeight="1">
      <c r="G341" s="113"/>
      <c r="J341" s="28">
        <f>IFERROR(VLOOKUP(TEXT(B341,"0"),STOCK!A:H,7,0),1)</f>
        <v>1</v>
      </c>
    </row>
    <row r="342" spans="7:10" ht="35.450000000000003" hidden="1" customHeight="1">
      <c r="G342" s="113"/>
      <c r="J342" s="28">
        <f>IFERROR(VLOOKUP(TEXT(B342,"0"),STOCK!A:H,7,0),1)</f>
        <v>1</v>
      </c>
    </row>
    <row r="343" spans="7:10" ht="35.450000000000003" hidden="1" customHeight="1">
      <c r="G343" s="113"/>
      <c r="J343" s="28">
        <f>IFERROR(VLOOKUP(TEXT(B343,"0"),STOCK!A:H,7,0),1)</f>
        <v>1</v>
      </c>
    </row>
    <row r="344" spans="7:10" ht="35.450000000000003" hidden="1" customHeight="1">
      <c r="G344" s="113"/>
      <c r="J344" s="28">
        <f>IFERROR(VLOOKUP(TEXT(B344,"0"),STOCK!A:H,7,0),1)</f>
        <v>1</v>
      </c>
    </row>
    <row r="345" spans="7:10" ht="35.450000000000003" hidden="1" customHeight="1">
      <c r="G345" s="113"/>
      <c r="J345" s="28">
        <f>IFERROR(VLOOKUP(TEXT(B345,"0"),STOCK!A:H,7,0),1)</f>
        <v>1</v>
      </c>
    </row>
    <row r="346" spans="7:10" ht="35.450000000000003" hidden="1" customHeight="1">
      <c r="G346" s="113"/>
      <c r="J346" s="28">
        <f>IFERROR(VLOOKUP(TEXT(B346,"0"),STOCK!A:H,7,0),1)</f>
        <v>1</v>
      </c>
    </row>
    <row r="347" spans="7:10" ht="35.450000000000003" hidden="1" customHeight="1">
      <c r="G347" s="113"/>
      <c r="J347" s="28">
        <f>IFERROR(VLOOKUP(TEXT(B347,"0"),STOCK!A:H,7,0),1)</f>
        <v>1</v>
      </c>
    </row>
    <row r="348" spans="7:10" ht="35.450000000000003" hidden="1" customHeight="1">
      <c r="G348" s="113"/>
      <c r="J348" s="28">
        <f>IFERROR(VLOOKUP(TEXT(B348,"0"),STOCK!A:H,7,0),1)</f>
        <v>1</v>
      </c>
    </row>
    <row r="349" spans="7:10" ht="35.450000000000003" hidden="1" customHeight="1">
      <c r="G349" s="113"/>
      <c r="J349" s="28">
        <f>IFERROR(VLOOKUP(TEXT(B349,"0"),STOCK!A:H,7,0),1)</f>
        <v>1</v>
      </c>
    </row>
    <row r="350" spans="7:10" ht="35.450000000000003" hidden="1" customHeight="1">
      <c r="G350" s="113"/>
      <c r="J350" s="28">
        <f>IFERROR(VLOOKUP(TEXT(B350,"0"),STOCK!A:H,7,0),1)</f>
        <v>1</v>
      </c>
    </row>
    <row r="351" spans="7:10" ht="35.450000000000003" hidden="1" customHeight="1">
      <c r="G351" s="113"/>
      <c r="J351" s="28">
        <f>IFERROR(VLOOKUP(TEXT(B351,"0"),STOCK!A:H,7,0),1)</f>
        <v>1</v>
      </c>
    </row>
    <row r="352" spans="7:10" ht="35.450000000000003" hidden="1" customHeight="1">
      <c r="G352" s="113"/>
      <c r="J352" s="28">
        <f>IFERROR(VLOOKUP(TEXT(B352,"0"),STOCK!A:H,7,0),1)</f>
        <v>1</v>
      </c>
    </row>
    <row r="353" spans="7:10" ht="35.450000000000003" hidden="1" customHeight="1">
      <c r="G353" s="113"/>
      <c r="J353" s="28">
        <f>IFERROR(VLOOKUP(TEXT(B353,"0"),STOCK!A:H,7,0),1)</f>
        <v>1</v>
      </c>
    </row>
    <row r="354" spans="7:10" ht="35.450000000000003" hidden="1" customHeight="1">
      <c r="G354" s="113"/>
      <c r="J354" s="28">
        <f>IFERROR(VLOOKUP(TEXT(B354,"0"),STOCK!A:H,7,0),1)</f>
        <v>1</v>
      </c>
    </row>
    <row r="355" spans="7:10" ht="35.450000000000003" hidden="1" customHeight="1">
      <c r="G355" s="113"/>
      <c r="J355" s="28">
        <f>IFERROR(VLOOKUP(TEXT(B355,"0"),STOCK!A:H,7,0),1)</f>
        <v>1</v>
      </c>
    </row>
    <row r="356" spans="7:10" ht="35.450000000000003" hidden="1" customHeight="1">
      <c r="G356" s="113"/>
      <c r="J356" s="28">
        <f>IFERROR(VLOOKUP(TEXT(B356,"0"),STOCK!A:H,7,0),1)</f>
        <v>1</v>
      </c>
    </row>
    <row r="357" spans="7:10" ht="35.450000000000003" hidden="1" customHeight="1">
      <c r="G357" s="113"/>
      <c r="J357" s="28">
        <f>IFERROR(VLOOKUP(TEXT(B357,"0"),STOCK!A:H,7,0),1)</f>
        <v>1</v>
      </c>
    </row>
    <row r="358" spans="7:10" ht="35.450000000000003" hidden="1" customHeight="1">
      <c r="G358" s="113"/>
      <c r="J358" s="28">
        <f>IFERROR(VLOOKUP(TEXT(B358,"0"),STOCK!A:H,7,0),1)</f>
        <v>1</v>
      </c>
    </row>
    <row r="359" spans="7:10" ht="35.450000000000003" hidden="1" customHeight="1">
      <c r="G359" s="113"/>
      <c r="J359" s="28">
        <f>IFERROR(VLOOKUP(TEXT(B359,"0"),STOCK!A:H,7,0),1)</f>
        <v>1</v>
      </c>
    </row>
    <row r="360" spans="7:10" ht="35.450000000000003" hidden="1" customHeight="1">
      <c r="G360" s="113"/>
      <c r="J360" s="28">
        <f>IFERROR(VLOOKUP(TEXT(B360,"0"),STOCK!A:H,7,0),1)</f>
        <v>1</v>
      </c>
    </row>
    <row r="361" spans="7:10" ht="35.450000000000003" hidden="1" customHeight="1">
      <c r="G361" s="113"/>
      <c r="J361" s="28">
        <f>IFERROR(VLOOKUP(TEXT(B361,"0"),STOCK!A:H,7,0),1)</f>
        <v>1</v>
      </c>
    </row>
    <row r="362" spans="7:10" ht="35.450000000000003" hidden="1" customHeight="1">
      <c r="G362" s="113"/>
      <c r="J362" s="28">
        <f>IFERROR(VLOOKUP(TEXT(B362,"0"),STOCK!A:H,7,0),1)</f>
        <v>1</v>
      </c>
    </row>
    <row r="363" spans="7:10" ht="35.450000000000003" hidden="1" customHeight="1">
      <c r="G363" s="113"/>
      <c r="J363" s="28">
        <f>IFERROR(VLOOKUP(TEXT(B363,"0"),STOCK!A:H,7,0),1)</f>
        <v>1</v>
      </c>
    </row>
    <row r="364" spans="7:10" ht="35.450000000000003" hidden="1" customHeight="1">
      <c r="G364" s="113"/>
      <c r="J364" s="28">
        <f>IFERROR(VLOOKUP(TEXT(B364,"0"),STOCK!A:H,7,0),1)</f>
        <v>1</v>
      </c>
    </row>
    <row r="365" spans="7:10" ht="35.450000000000003" hidden="1" customHeight="1">
      <c r="G365" s="113"/>
      <c r="J365" s="28">
        <f>IFERROR(VLOOKUP(TEXT(B365,"0"),STOCK!A:H,7,0),1)</f>
        <v>1</v>
      </c>
    </row>
    <row r="366" spans="7:10" ht="35.450000000000003" hidden="1" customHeight="1">
      <c r="G366" s="113"/>
      <c r="J366" s="28">
        <f>IFERROR(VLOOKUP(TEXT(B366,"0"),STOCK!A:H,7,0),1)</f>
        <v>1</v>
      </c>
    </row>
    <row r="367" spans="7:10" ht="35.450000000000003" hidden="1" customHeight="1">
      <c r="G367" s="113"/>
      <c r="J367" s="28">
        <f>IFERROR(VLOOKUP(TEXT(B367,"0"),STOCK!A:H,7,0),1)</f>
        <v>1</v>
      </c>
    </row>
    <row r="368" spans="7:10" ht="35.450000000000003" hidden="1" customHeight="1">
      <c r="G368" s="113"/>
      <c r="J368" s="28">
        <f>IFERROR(VLOOKUP(TEXT(B368,"0"),STOCK!A:H,7,0),1)</f>
        <v>1</v>
      </c>
    </row>
    <row r="369" spans="7:10" ht="35.450000000000003" hidden="1" customHeight="1">
      <c r="G369" s="113"/>
      <c r="J369" s="28">
        <f>IFERROR(VLOOKUP(TEXT(B369,"0"),STOCK!A:H,7,0),1)</f>
        <v>1</v>
      </c>
    </row>
    <row r="370" spans="7:10" ht="35.450000000000003" hidden="1" customHeight="1">
      <c r="G370" s="113"/>
      <c r="J370" s="28">
        <f>IFERROR(VLOOKUP(TEXT(B370,"0"),STOCK!A:H,7,0),1)</f>
        <v>1</v>
      </c>
    </row>
    <row r="371" spans="7:10" ht="35.450000000000003" hidden="1" customHeight="1">
      <c r="G371" s="113"/>
      <c r="J371" s="28">
        <f>IFERROR(VLOOKUP(TEXT(B371,"0"),STOCK!A:H,7,0),1)</f>
        <v>1</v>
      </c>
    </row>
    <row r="372" spans="7:10" ht="35.450000000000003" hidden="1" customHeight="1">
      <c r="G372" s="113"/>
      <c r="J372" s="28">
        <f>IFERROR(VLOOKUP(TEXT(B372,"0"),STOCK!A:H,7,0),1)</f>
        <v>1</v>
      </c>
    </row>
    <row r="373" spans="7:10" ht="35.450000000000003" hidden="1" customHeight="1">
      <c r="G373" s="113"/>
      <c r="J373" s="28">
        <f>IFERROR(VLOOKUP(TEXT(B373,"0"),STOCK!A:H,7,0),1)</f>
        <v>1</v>
      </c>
    </row>
    <row r="374" spans="7:10" ht="35.450000000000003" hidden="1" customHeight="1">
      <c r="G374" s="113"/>
      <c r="J374" s="28">
        <f>IFERROR(VLOOKUP(TEXT(B374,"0"),STOCK!A:H,7,0),1)</f>
        <v>1</v>
      </c>
    </row>
    <row r="375" spans="7:10" ht="35.450000000000003" hidden="1" customHeight="1">
      <c r="G375" s="113"/>
      <c r="J375" s="28">
        <f>IFERROR(VLOOKUP(TEXT(B375,"0"),STOCK!A:H,7,0),1)</f>
        <v>1</v>
      </c>
    </row>
    <row r="376" spans="7:10" ht="35.450000000000003" hidden="1" customHeight="1">
      <c r="G376" s="113"/>
      <c r="J376" s="28">
        <f>IFERROR(VLOOKUP(TEXT(B376,"0"),STOCK!A:H,7,0),1)</f>
        <v>1</v>
      </c>
    </row>
    <row r="377" spans="7:10" ht="35.450000000000003" hidden="1" customHeight="1">
      <c r="G377" s="113"/>
      <c r="J377" s="28">
        <f>IFERROR(VLOOKUP(TEXT(B377,"0"),STOCK!A:H,7,0),1)</f>
        <v>1</v>
      </c>
    </row>
    <row r="378" spans="7:10" ht="35.450000000000003" hidden="1" customHeight="1">
      <c r="G378" s="113"/>
      <c r="J378" s="28">
        <f>IFERROR(VLOOKUP(TEXT(B378,"0"),STOCK!A:H,7,0),1)</f>
        <v>1</v>
      </c>
    </row>
    <row r="379" spans="7:10" ht="35.450000000000003" hidden="1" customHeight="1">
      <c r="G379" s="113"/>
      <c r="J379" s="28">
        <f>IFERROR(VLOOKUP(TEXT(B379,"0"),STOCK!A:H,7,0),1)</f>
        <v>1</v>
      </c>
    </row>
    <row r="380" spans="7:10" ht="35.450000000000003" hidden="1" customHeight="1">
      <c r="G380" s="113"/>
      <c r="J380" s="28">
        <f>IFERROR(VLOOKUP(TEXT(B380,"0"),STOCK!A:H,7,0),1)</f>
        <v>1</v>
      </c>
    </row>
    <row r="381" spans="7:10" ht="35.450000000000003" hidden="1" customHeight="1">
      <c r="G381" s="113"/>
      <c r="J381" s="28">
        <f>IFERROR(VLOOKUP(TEXT(B381,"0"),STOCK!A:H,7,0),1)</f>
        <v>1</v>
      </c>
    </row>
    <row r="382" spans="7:10" ht="35.450000000000003" hidden="1" customHeight="1">
      <c r="G382" s="113"/>
      <c r="J382" s="28">
        <f>IFERROR(VLOOKUP(TEXT(B382,"0"),STOCK!A:H,7,0),1)</f>
        <v>1</v>
      </c>
    </row>
    <row r="383" spans="7:10" ht="35.450000000000003" hidden="1" customHeight="1">
      <c r="G383" s="113"/>
      <c r="J383" s="28">
        <f>IFERROR(VLOOKUP(TEXT(B383,"0"),STOCK!A:H,7,0),1)</f>
        <v>1</v>
      </c>
    </row>
    <row r="384" spans="7:10" ht="35.450000000000003" hidden="1" customHeight="1">
      <c r="G384" s="113"/>
      <c r="J384" s="28">
        <f>IFERROR(VLOOKUP(TEXT(B384,"0"),STOCK!A:H,7,0),1)</f>
        <v>1</v>
      </c>
    </row>
    <row r="385" spans="7:10" ht="35.450000000000003" hidden="1" customHeight="1">
      <c r="G385" s="113"/>
      <c r="J385" s="28">
        <f>IFERROR(VLOOKUP(TEXT(B385,"0"),STOCK!A:H,7,0),1)</f>
        <v>1</v>
      </c>
    </row>
    <row r="386" spans="7:10" ht="35.450000000000003" hidden="1" customHeight="1">
      <c r="G386" s="113"/>
      <c r="J386" s="28">
        <f>IFERROR(VLOOKUP(TEXT(B386,"0"),STOCK!A:H,7,0),1)</f>
        <v>1</v>
      </c>
    </row>
    <row r="387" spans="7:10" ht="35.450000000000003" hidden="1" customHeight="1">
      <c r="G387" s="113"/>
      <c r="J387" s="28">
        <f>IFERROR(VLOOKUP(TEXT(B387,"0"),STOCK!A:H,7,0),1)</f>
        <v>1</v>
      </c>
    </row>
    <row r="388" spans="7:10" ht="35.450000000000003" hidden="1" customHeight="1">
      <c r="G388" s="113"/>
      <c r="J388" s="28">
        <f>IFERROR(VLOOKUP(TEXT(B388,"0"),STOCK!A:H,7,0),1)</f>
        <v>1</v>
      </c>
    </row>
    <row r="389" spans="7:10" ht="35.450000000000003" hidden="1" customHeight="1">
      <c r="G389" s="113"/>
      <c r="J389" s="28">
        <f>IFERROR(VLOOKUP(TEXT(B389,"0"),STOCK!A:H,7,0),1)</f>
        <v>1</v>
      </c>
    </row>
    <row r="390" spans="7:10" ht="35.450000000000003" hidden="1" customHeight="1">
      <c r="G390" s="113"/>
      <c r="J390" s="28">
        <f>IFERROR(VLOOKUP(TEXT(B390,"0"),STOCK!A:H,7,0),1)</f>
        <v>1</v>
      </c>
    </row>
    <row r="391" spans="7:10" ht="35.450000000000003" hidden="1" customHeight="1">
      <c r="G391" s="113"/>
      <c r="J391" s="28">
        <f>IFERROR(VLOOKUP(TEXT(B391,"0"),STOCK!A:H,7,0),1)</f>
        <v>1</v>
      </c>
    </row>
    <row r="392" spans="7:10" ht="35.450000000000003" hidden="1" customHeight="1">
      <c r="G392" s="113"/>
      <c r="J392" s="28">
        <f>IFERROR(VLOOKUP(TEXT(B392,"0"),STOCK!A:H,7,0),1)</f>
        <v>1</v>
      </c>
    </row>
    <row r="393" spans="7:10" ht="35.450000000000003" hidden="1" customHeight="1">
      <c r="G393" s="113"/>
      <c r="J393" s="28">
        <f>IFERROR(VLOOKUP(TEXT(B393,"0"),STOCK!A:H,7,0),1)</f>
        <v>1</v>
      </c>
    </row>
    <row r="394" spans="7:10" ht="35.450000000000003" hidden="1" customHeight="1">
      <c r="G394" s="113"/>
      <c r="J394" s="28">
        <f>IFERROR(VLOOKUP(TEXT(B394,"0"),STOCK!A:H,7,0),1)</f>
        <v>1</v>
      </c>
    </row>
    <row r="395" spans="7:10" ht="35.450000000000003" hidden="1" customHeight="1">
      <c r="G395" s="113"/>
      <c r="J395" s="28">
        <f>IFERROR(VLOOKUP(TEXT(B395,"0"),STOCK!A:H,7,0),1)</f>
        <v>1</v>
      </c>
    </row>
    <row r="396" spans="7:10" ht="35.450000000000003" hidden="1" customHeight="1">
      <c r="G396" s="113"/>
      <c r="J396" s="28">
        <f>IFERROR(VLOOKUP(TEXT(B396,"0"),STOCK!A:H,7,0),1)</f>
        <v>1</v>
      </c>
    </row>
    <row r="397" spans="7:10" ht="35.450000000000003" hidden="1" customHeight="1">
      <c r="G397" s="113"/>
      <c r="J397" s="28">
        <f>IFERROR(VLOOKUP(TEXT(B397,"0"),STOCK!A:H,7,0),1)</f>
        <v>1</v>
      </c>
    </row>
    <row r="398" spans="7:10" ht="35.450000000000003" hidden="1" customHeight="1">
      <c r="G398" s="113"/>
      <c r="J398" s="28">
        <f>IFERROR(VLOOKUP(TEXT(B398,"0"),STOCK!A:H,7,0),1)</f>
        <v>1</v>
      </c>
    </row>
    <row r="399" spans="7:10" ht="35.450000000000003" hidden="1" customHeight="1">
      <c r="G399" s="113"/>
      <c r="J399" s="28">
        <f>IFERROR(VLOOKUP(TEXT(B399,"0"),STOCK!A:H,7,0),1)</f>
        <v>1</v>
      </c>
    </row>
    <row r="400" spans="7:10" ht="35.450000000000003" hidden="1" customHeight="1">
      <c r="G400" s="113"/>
      <c r="J400" s="28">
        <f>IFERROR(VLOOKUP(TEXT(B400,"0"),STOCK!A:H,7,0),1)</f>
        <v>1</v>
      </c>
    </row>
    <row r="401" spans="7:10" ht="35.450000000000003" hidden="1" customHeight="1">
      <c r="G401" s="113"/>
      <c r="J401" s="28">
        <f>IFERROR(VLOOKUP(TEXT(B401,"0"),STOCK!A:H,7,0),1)</f>
        <v>1</v>
      </c>
    </row>
    <row r="402" spans="7:10" ht="35.450000000000003" hidden="1" customHeight="1">
      <c r="G402" s="113"/>
      <c r="J402" s="28">
        <f>IFERROR(VLOOKUP(TEXT(B402,"0"),STOCK!A:H,7,0),1)</f>
        <v>1</v>
      </c>
    </row>
    <row r="403" spans="7:10" ht="35.450000000000003" hidden="1" customHeight="1">
      <c r="G403" s="113"/>
      <c r="J403" s="28">
        <f>IFERROR(VLOOKUP(TEXT(B403,"0"),STOCK!A:H,7,0),1)</f>
        <v>1</v>
      </c>
    </row>
    <row r="404" spans="7:10" ht="35.450000000000003" hidden="1" customHeight="1">
      <c r="G404" s="113"/>
      <c r="J404" s="28">
        <f>IFERROR(VLOOKUP(TEXT(B404,"0"),STOCK!A:H,7,0),1)</f>
        <v>1</v>
      </c>
    </row>
    <row r="405" spans="7:10" ht="35.450000000000003" hidden="1" customHeight="1">
      <c r="G405" s="113"/>
      <c r="J405" s="28">
        <f>IFERROR(VLOOKUP(TEXT(B405,"0"),STOCK!A:H,7,0),1)</f>
        <v>1</v>
      </c>
    </row>
    <row r="406" spans="7:10" ht="35.450000000000003" hidden="1" customHeight="1">
      <c r="G406" s="113"/>
      <c r="J406" s="28">
        <f>IFERROR(VLOOKUP(TEXT(B406,"0"),STOCK!A:H,7,0),1)</f>
        <v>1</v>
      </c>
    </row>
    <row r="407" spans="7:10" ht="35.450000000000003" hidden="1" customHeight="1">
      <c r="G407" s="113"/>
      <c r="J407" s="28">
        <f>IFERROR(VLOOKUP(TEXT(B407,"0"),STOCK!A:H,7,0),1)</f>
        <v>1</v>
      </c>
    </row>
    <row r="408" spans="7:10" ht="35.450000000000003" hidden="1" customHeight="1">
      <c r="G408" s="113"/>
      <c r="J408" s="28">
        <f>IFERROR(VLOOKUP(TEXT(B408,"0"),STOCK!A:H,7,0),1)</f>
        <v>1</v>
      </c>
    </row>
    <row r="409" spans="7:10" ht="35.450000000000003" hidden="1" customHeight="1">
      <c r="G409" s="113"/>
      <c r="J409" s="28">
        <f>IFERROR(VLOOKUP(TEXT(B409,"0"),STOCK!A:H,7,0),1)</f>
        <v>1</v>
      </c>
    </row>
    <row r="410" spans="7:10" ht="35.450000000000003" hidden="1" customHeight="1">
      <c r="G410" s="113"/>
      <c r="J410" s="28">
        <f>IFERROR(VLOOKUP(TEXT(B410,"0"),STOCK!A:H,7,0),1)</f>
        <v>1</v>
      </c>
    </row>
    <row r="411" spans="7:10" ht="35.450000000000003" hidden="1" customHeight="1">
      <c r="G411" s="113"/>
      <c r="J411" s="28">
        <f>IFERROR(VLOOKUP(TEXT(B411,"0"),STOCK!A:H,7,0),1)</f>
        <v>1</v>
      </c>
    </row>
    <row r="412" spans="7:10" ht="35.450000000000003" hidden="1" customHeight="1">
      <c r="G412" s="113"/>
      <c r="J412" s="28">
        <f>IFERROR(VLOOKUP(TEXT(B412,"0"),STOCK!A:H,7,0),1)</f>
        <v>1</v>
      </c>
    </row>
    <row r="413" spans="7:10" ht="35.450000000000003" hidden="1" customHeight="1">
      <c r="G413" s="113"/>
      <c r="J413" s="28">
        <f>IFERROR(VLOOKUP(TEXT(B413,"0"),STOCK!A:H,7,0),1)</f>
        <v>1</v>
      </c>
    </row>
    <row r="414" spans="7:10" ht="35.450000000000003" hidden="1" customHeight="1">
      <c r="G414" s="113"/>
      <c r="J414" s="28">
        <f>IFERROR(VLOOKUP(TEXT(B414,"0"),STOCK!A:H,7,0),1)</f>
        <v>1</v>
      </c>
    </row>
    <row r="415" spans="7:10" ht="35.450000000000003" hidden="1" customHeight="1">
      <c r="G415" s="113"/>
      <c r="J415" s="28">
        <f>IFERROR(VLOOKUP(TEXT(B415,"0"),STOCK!A:H,7,0),1)</f>
        <v>1</v>
      </c>
    </row>
    <row r="416" spans="7:10" ht="35.450000000000003" hidden="1" customHeight="1">
      <c r="G416" s="113"/>
      <c r="J416" s="28">
        <f>IFERROR(VLOOKUP(TEXT(B416,"0"),STOCK!A:H,7,0),1)</f>
        <v>1</v>
      </c>
    </row>
    <row r="417" spans="7:10" ht="35.450000000000003" hidden="1" customHeight="1">
      <c r="G417" s="113"/>
      <c r="J417" s="28">
        <f>IFERROR(VLOOKUP(TEXT(B417,"0"),STOCK!A:H,7,0),1)</f>
        <v>1</v>
      </c>
    </row>
    <row r="418" spans="7:10" ht="35.450000000000003" hidden="1" customHeight="1">
      <c r="G418" s="113"/>
      <c r="J418" s="28">
        <f>IFERROR(VLOOKUP(TEXT(B418,"0"),STOCK!A:H,7,0),1)</f>
        <v>1</v>
      </c>
    </row>
    <row r="419" spans="7:10" ht="35.450000000000003" hidden="1" customHeight="1">
      <c r="G419" s="113"/>
      <c r="J419" s="28">
        <f>IFERROR(VLOOKUP(TEXT(B419,"0"),STOCK!A:H,7,0),1)</f>
        <v>1</v>
      </c>
    </row>
    <row r="420" spans="7:10" ht="35.450000000000003" hidden="1" customHeight="1">
      <c r="G420" s="113"/>
      <c r="J420" s="28">
        <f>IFERROR(VLOOKUP(TEXT(B420,"0"),STOCK!A:H,7,0),1)</f>
        <v>1</v>
      </c>
    </row>
    <row r="421" spans="7:10" ht="35.450000000000003" hidden="1" customHeight="1">
      <c r="G421" s="113"/>
      <c r="J421" s="28">
        <f>IFERROR(VLOOKUP(TEXT(B421,"0"),STOCK!A:H,7,0),1)</f>
        <v>1</v>
      </c>
    </row>
    <row r="422" spans="7:10" ht="35.450000000000003" hidden="1" customHeight="1">
      <c r="G422" s="113"/>
      <c r="J422" s="28">
        <f>IFERROR(VLOOKUP(TEXT(B422,"0"),STOCK!A:H,7,0),1)</f>
        <v>1</v>
      </c>
    </row>
    <row r="423" spans="7:10" ht="35.450000000000003" hidden="1" customHeight="1">
      <c r="G423" s="113"/>
      <c r="J423" s="28">
        <f>IFERROR(VLOOKUP(TEXT(B423,"0"),STOCK!A:H,7,0),1)</f>
        <v>1</v>
      </c>
    </row>
    <row r="424" spans="7:10" ht="35.450000000000003" hidden="1" customHeight="1">
      <c r="G424" s="113"/>
      <c r="J424" s="28">
        <f>IFERROR(VLOOKUP(TEXT(B424,"0"),STOCK!A:H,7,0),1)</f>
        <v>1</v>
      </c>
    </row>
    <row r="425" spans="7:10" ht="35.450000000000003" hidden="1" customHeight="1">
      <c r="G425" s="113"/>
      <c r="J425" s="28">
        <f>IFERROR(VLOOKUP(TEXT(B425,"0"),STOCK!A:H,7,0),1)</f>
        <v>1</v>
      </c>
    </row>
    <row r="426" spans="7:10" ht="35.450000000000003" hidden="1" customHeight="1">
      <c r="G426" s="113"/>
      <c r="J426" s="28">
        <f>IFERROR(VLOOKUP(TEXT(B426,"0"),STOCK!A:H,7,0),1)</f>
        <v>1</v>
      </c>
    </row>
    <row r="427" spans="7:10" ht="35.450000000000003" hidden="1" customHeight="1">
      <c r="G427" s="113"/>
      <c r="J427" s="28">
        <f>IFERROR(VLOOKUP(TEXT(B427,"0"),STOCK!A:H,7,0),1)</f>
        <v>1</v>
      </c>
    </row>
    <row r="428" spans="7:10" ht="35.450000000000003" hidden="1" customHeight="1">
      <c r="G428" s="113"/>
      <c r="J428" s="28">
        <f>IFERROR(VLOOKUP(TEXT(B428,"0"),STOCK!A:H,7,0),1)</f>
        <v>1</v>
      </c>
    </row>
    <row r="429" spans="7:10" ht="35.450000000000003" hidden="1" customHeight="1">
      <c r="G429" s="113"/>
      <c r="J429" s="28">
        <f>IFERROR(VLOOKUP(TEXT(B429,"0"),STOCK!A:H,7,0),1)</f>
        <v>1</v>
      </c>
    </row>
    <row r="430" spans="7:10" ht="35.450000000000003" hidden="1" customHeight="1">
      <c r="G430" s="113"/>
      <c r="J430" s="28">
        <f>IFERROR(VLOOKUP(TEXT(B430,"0"),STOCK!A:H,7,0),1)</f>
        <v>1</v>
      </c>
    </row>
    <row r="431" spans="7:10" ht="35.450000000000003" hidden="1" customHeight="1">
      <c r="G431" s="113"/>
      <c r="J431" s="28">
        <f>IFERROR(VLOOKUP(TEXT(B431,"0"),STOCK!A:H,7,0),1)</f>
        <v>1</v>
      </c>
    </row>
    <row r="432" spans="7:10" ht="35.450000000000003" hidden="1" customHeight="1">
      <c r="G432" s="113"/>
      <c r="J432" s="28">
        <f>IFERROR(VLOOKUP(TEXT(B432,"0"),STOCK!A:H,7,0),1)</f>
        <v>1</v>
      </c>
    </row>
    <row r="433" spans="7:10" ht="35.450000000000003" hidden="1" customHeight="1">
      <c r="G433" s="113"/>
      <c r="J433" s="28">
        <f>IFERROR(VLOOKUP(TEXT(B433,"0"),STOCK!A:H,7,0),1)</f>
        <v>1</v>
      </c>
    </row>
    <row r="434" spans="7:10" ht="35.450000000000003" hidden="1" customHeight="1">
      <c r="G434" s="113"/>
      <c r="J434" s="28">
        <f>IFERROR(VLOOKUP(TEXT(B434,"0"),STOCK!A:H,7,0),1)</f>
        <v>1</v>
      </c>
    </row>
    <row r="435" spans="7:10" ht="35.450000000000003" hidden="1" customHeight="1">
      <c r="G435" s="113"/>
      <c r="J435" s="28">
        <f>IFERROR(VLOOKUP(TEXT(B435,"0"),STOCK!A:H,7,0),1)</f>
        <v>1</v>
      </c>
    </row>
    <row r="436" spans="7:10" ht="35.450000000000003" hidden="1" customHeight="1">
      <c r="G436" s="113"/>
      <c r="J436" s="28">
        <f>IFERROR(VLOOKUP(TEXT(B436,"0"),STOCK!A:H,7,0),1)</f>
        <v>1</v>
      </c>
    </row>
    <row r="437" spans="7:10" ht="35.450000000000003" hidden="1" customHeight="1">
      <c r="G437" s="113"/>
      <c r="J437" s="28">
        <f>IFERROR(VLOOKUP(TEXT(B437,"0"),STOCK!A:H,7,0),1)</f>
        <v>1</v>
      </c>
    </row>
    <row r="438" spans="7:10" ht="35.450000000000003" hidden="1" customHeight="1">
      <c r="G438" s="113"/>
      <c r="J438" s="28">
        <f>IFERROR(VLOOKUP(TEXT(B438,"0"),STOCK!A:H,7,0),1)</f>
        <v>1</v>
      </c>
    </row>
    <row r="439" spans="7:10" ht="35.450000000000003" hidden="1" customHeight="1">
      <c r="G439" s="113"/>
      <c r="J439" s="28">
        <f>IFERROR(VLOOKUP(TEXT(B439,"0"),STOCK!A:H,7,0),1)</f>
        <v>1</v>
      </c>
    </row>
    <row r="440" spans="7:10" ht="35.450000000000003" hidden="1" customHeight="1">
      <c r="G440" s="113"/>
      <c r="J440" s="28">
        <f>IFERROR(VLOOKUP(TEXT(B440,"0"),STOCK!A:H,7,0),1)</f>
        <v>1</v>
      </c>
    </row>
    <row r="441" spans="7:10" ht="35.450000000000003" hidden="1" customHeight="1">
      <c r="G441" s="113"/>
      <c r="J441" s="28">
        <f>IFERROR(VLOOKUP(TEXT(B441,"0"),STOCK!A:H,7,0),1)</f>
        <v>1</v>
      </c>
    </row>
    <row r="442" spans="7:10" ht="35.450000000000003" hidden="1" customHeight="1">
      <c r="G442" s="113"/>
      <c r="J442" s="28">
        <f>IFERROR(VLOOKUP(TEXT(B442,"0"),STOCK!A:H,7,0),1)</f>
        <v>1</v>
      </c>
    </row>
    <row r="443" spans="7:10" ht="35.450000000000003" hidden="1" customHeight="1">
      <c r="G443" s="113"/>
      <c r="J443" s="28">
        <f>IFERROR(VLOOKUP(TEXT(B443,"0"),STOCK!A:H,7,0),1)</f>
        <v>1</v>
      </c>
    </row>
    <row r="444" spans="7:10" ht="35.450000000000003" hidden="1" customHeight="1">
      <c r="G444" s="113"/>
      <c r="J444" s="28">
        <f>IFERROR(VLOOKUP(TEXT(B444,"0"),STOCK!A:H,7,0),1)</f>
        <v>1</v>
      </c>
    </row>
    <row r="445" spans="7:10" ht="35.450000000000003" hidden="1" customHeight="1">
      <c r="G445" s="113"/>
      <c r="J445" s="28">
        <f>IFERROR(VLOOKUP(TEXT(B445,"0"),STOCK!A:H,7,0),1)</f>
        <v>1</v>
      </c>
    </row>
    <row r="446" spans="7:10" ht="35.450000000000003" hidden="1" customHeight="1">
      <c r="G446" s="113"/>
      <c r="J446" s="28">
        <f>IFERROR(VLOOKUP(TEXT(B446,"0"),STOCK!A:H,7,0),1)</f>
        <v>1</v>
      </c>
    </row>
    <row r="447" spans="7:10" ht="35.450000000000003" hidden="1" customHeight="1">
      <c r="G447" s="113"/>
      <c r="J447" s="28">
        <f>IFERROR(VLOOKUP(TEXT(B447,"0"),STOCK!A:H,7,0),1)</f>
        <v>1</v>
      </c>
    </row>
    <row r="448" spans="7:10" ht="35.450000000000003" hidden="1" customHeight="1">
      <c r="G448" s="113"/>
      <c r="J448" s="28">
        <f>IFERROR(VLOOKUP(TEXT(B448,"0"),STOCK!A:H,7,0),1)</f>
        <v>1</v>
      </c>
    </row>
    <row r="449" spans="7:10" ht="35.450000000000003" hidden="1" customHeight="1">
      <c r="G449" s="113"/>
      <c r="J449" s="28">
        <f>IFERROR(VLOOKUP(TEXT(B449,"0"),STOCK!A:H,7,0),1)</f>
        <v>1</v>
      </c>
    </row>
    <row r="450" spans="7:10" ht="35.450000000000003" hidden="1" customHeight="1">
      <c r="G450" s="113"/>
      <c r="J450" s="28">
        <f>IFERROR(VLOOKUP(TEXT(B450,"0"),STOCK!A:H,7,0),1)</f>
        <v>1</v>
      </c>
    </row>
    <row r="451" spans="7:10" ht="35.450000000000003" hidden="1" customHeight="1">
      <c r="G451" s="113"/>
      <c r="J451" s="28">
        <f>IFERROR(VLOOKUP(TEXT(B451,"0"),STOCK!A:H,7,0),1)</f>
        <v>1</v>
      </c>
    </row>
    <row r="452" spans="7:10" ht="35.450000000000003" hidden="1" customHeight="1">
      <c r="G452" s="113"/>
      <c r="J452" s="28">
        <f>IFERROR(VLOOKUP(TEXT(B452,"0"),STOCK!A:H,7,0),1)</f>
        <v>1</v>
      </c>
    </row>
    <row r="453" spans="7:10" ht="35.450000000000003" hidden="1" customHeight="1">
      <c r="G453" s="113"/>
      <c r="J453" s="28">
        <f>IFERROR(VLOOKUP(TEXT(B453,"0"),STOCK!A:H,7,0),1)</f>
        <v>1</v>
      </c>
    </row>
    <row r="454" spans="7:10" ht="35.450000000000003" hidden="1" customHeight="1">
      <c r="G454" s="113"/>
      <c r="J454" s="28">
        <f>IFERROR(VLOOKUP(TEXT(B454,"0"),STOCK!A:H,7,0),1)</f>
        <v>1</v>
      </c>
    </row>
    <row r="455" spans="7:10" ht="35.450000000000003" hidden="1" customHeight="1">
      <c r="G455" s="113"/>
      <c r="J455" s="28">
        <f>IFERROR(VLOOKUP(TEXT(B455,"0"),STOCK!A:H,7,0),1)</f>
        <v>1</v>
      </c>
    </row>
    <row r="456" spans="7:10" ht="35.450000000000003" hidden="1" customHeight="1">
      <c r="G456" s="113"/>
      <c r="J456" s="28">
        <f>IFERROR(VLOOKUP(TEXT(B456,"0"),STOCK!A:H,7,0),1)</f>
        <v>1</v>
      </c>
    </row>
    <row r="457" spans="7:10" ht="35.450000000000003" hidden="1" customHeight="1">
      <c r="G457" s="113"/>
      <c r="J457" s="28">
        <f>IFERROR(VLOOKUP(TEXT(B457,"0"),STOCK!A:H,7,0),1)</f>
        <v>1</v>
      </c>
    </row>
    <row r="458" spans="7:10" ht="35.450000000000003" hidden="1" customHeight="1">
      <c r="G458" s="113"/>
      <c r="J458" s="28">
        <f>IFERROR(VLOOKUP(TEXT(B458,"0"),STOCK!A:H,7,0),1)</f>
        <v>1</v>
      </c>
    </row>
    <row r="459" spans="7:10" ht="35.450000000000003" hidden="1" customHeight="1">
      <c r="G459" s="113"/>
      <c r="J459" s="28">
        <f>IFERROR(VLOOKUP(TEXT(B459,"0"),STOCK!A:H,7,0),1)</f>
        <v>1</v>
      </c>
    </row>
    <row r="460" spans="7:10" ht="35.450000000000003" hidden="1" customHeight="1">
      <c r="G460" s="113"/>
      <c r="J460" s="28">
        <f>IFERROR(VLOOKUP(TEXT(B460,"0"),STOCK!A:H,7,0),1)</f>
        <v>1</v>
      </c>
    </row>
    <row r="461" spans="7:10" ht="35.450000000000003" hidden="1" customHeight="1">
      <c r="G461" s="113"/>
      <c r="J461" s="28">
        <f>IFERROR(VLOOKUP(TEXT(B461,"0"),STOCK!A:H,7,0),1)</f>
        <v>1</v>
      </c>
    </row>
    <row r="462" spans="7:10" ht="35.450000000000003" hidden="1" customHeight="1">
      <c r="G462" s="113"/>
      <c r="J462" s="28">
        <f>IFERROR(VLOOKUP(TEXT(B462,"0"),STOCK!A:H,7,0),1)</f>
        <v>1</v>
      </c>
    </row>
    <row r="463" spans="7:10" ht="35.450000000000003" hidden="1" customHeight="1">
      <c r="G463" s="113"/>
      <c r="J463" s="28">
        <f>IFERROR(VLOOKUP(TEXT(B463,"0"),STOCK!A:H,7,0),1)</f>
        <v>1</v>
      </c>
    </row>
    <row r="464" spans="7:10" ht="35.450000000000003" hidden="1" customHeight="1">
      <c r="G464" s="113"/>
      <c r="J464" s="28">
        <f>IFERROR(VLOOKUP(TEXT(B464,"0"),STOCK!A:H,7,0),1)</f>
        <v>1</v>
      </c>
    </row>
    <row r="465" spans="7:10" ht="35.450000000000003" hidden="1" customHeight="1">
      <c r="G465" s="113"/>
      <c r="J465" s="28">
        <f>IFERROR(VLOOKUP(TEXT(B465,"0"),STOCK!A:H,7,0),1)</f>
        <v>1</v>
      </c>
    </row>
    <row r="466" spans="7:10" ht="35.450000000000003" hidden="1" customHeight="1">
      <c r="G466" s="113"/>
      <c r="J466" s="28">
        <f>IFERROR(VLOOKUP(TEXT(B466,"0"),STOCK!A:H,7,0),1)</f>
        <v>1</v>
      </c>
    </row>
    <row r="467" spans="7:10" ht="35.450000000000003" hidden="1" customHeight="1">
      <c r="G467" s="113"/>
      <c r="J467" s="28">
        <f>IFERROR(VLOOKUP(TEXT(B467,"0"),STOCK!A:H,7,0),1)</f>
        <v>1</v>
      </c>
    </row>
    <row r="468" spans="7:10" ht="35.450000000000003" hidden="1" customHeight="1">
      <c r="G468" s="113"/>
      <c r="J468" s="28">
        <f>IFERROR(VLOOKUP(TEXT(B468,"0"),STOCK!A:H,7,0),1)</f>
        <v>1</v>
      </c>
    </row>
    <row r="469" spans="7:10" ht="35.450000000000003" hidden="1" customHeight="1">
      <c r="G469" s="113"/>
      <c r="J469" s="28">
        <f>IFERROR(VLOOKUP(TEXT(B469,"0"),STOCK!A:H,7,0),1)</f>
        <v>1</v>
      </c>
    </row>
    <row r="470" spans="7:10" ht="35.450000000000003" hidden="1" customHeight="1">
      <c r="G470" s="113"/>
      <c r="J470" s="28">
        <f>IFERROR(VLOOKUP(TEXT(B470,"0"),STOCK!A:H,7,0),1)</f>
        <v>1</v>
      </c>
    </row>
    <row r="471" spans="7:10" ht="35.450000000000003" hidden="1" customHeight="1">
      <c r="G471" s="113"/>
      <c r="J471" s="28">
        <f>IFERROR(VLOOKUP(TEXT(B471,"0"),STOCK!A:H,7,0),1)</f>
        <v>1</v>
      </c>
    </row>
    <row r="472" spans="7:10" ht="35.450000000000003" hidden="1" customHeight="1">
      <c r="G472" s="113"/>
      <c r="J472" s="28">
        <f>IFERROR(VLOOKUP(TEXT(B472,"0"),STOCK!A:H,7,0),1)</f>
        <v>1</v>
      </c>
    </row>
    <row r="473" spans="7:10" ht="35.450000000000003" hidden="1" customHeight="1">
      <c r="G473" s="113"/>
      <c r="J473" s="28">
        <f>IFERROR(VLOOKUP(TEXT(B473,"0"),STOCK!A:H,7,0),1)</f>
        <v>1</v>
      </c>
    </row>
    <row r="474" spans="7:10" ht="35.450000000000003" hidden="1" customHeight="1">
      <c r="G474" s="113"/>
      <c r="J474" s="28">
        <f>IFERROR(VLOOKUP(TEXT(B474,"0"),STOCK!A:H,7,0),1)</f>
        <v>1</v>
      </c>
    </row>
    <row r="475" spans="7:10" ht="35.450000000000003" hidden="1" customHeight="1">
      <c r="G475" s="113"/>
      <c r="J475" s="28">
        <f>IFERROR(VLOOKUP(TEXT(B475,"0"),STOCK!A:H,7,0),1)</f>
        <v>1</v>
      </c>
    </row>
    <row r="476" spans="7:10" ht="35.450000000000003" hidden="1" customHeight="1">
      <c r="G476" s="113"/>
      <c r="J476" s="28">
        <f>IFERROR(VLOOKUP(TEXT(B476,"0"),STOCK!A:H,7,0),1)</f>
        <v>1</v>
      </c>
    </row>
    <row r="477" spans="7:10" ht="35.450000000000003" hidden="1" customHeight="1">
      <c r="G477" s="113"/>
      <c r="J477" s="28">
        <f>IFERROR(VLOOKUP(TEXT(B477,"0"),STOCK!A:H,7,0),1)</f>
        <v>1</v>
      </c>
    </row>
    <row r="478" spans="7:10" ht="35.450000000000003" hidden="1" customHeight="1">
      <c r="G478" s="113"/>
      <c r="J478" s="28">
        <f>IFERROR(VLOOKUP(TEXT(B478,"0"),STOCK!A:H,7,0),1)</f>
        <v>1</v>
      </c>
    </row>
    <row r="479" spans="7:10" ht="35.450000000000003" hidden="1" customHeight="1">
      <c r="G479" s="113"/>
      <c r="J479" s="28">
        <f>IFERROR(VLOOKUP(TEXT(B479,"0"),STOCK!A:H,7,0),1)</f>
        <v>1</v>
      </c>
    </row>
    <row r="480" spans="7:10" ht="35.450000000000003" hidden="1" customHeight="1">
      <c r="G480" s="113"/>
      <c r="J480" s="28">
        <f>IFERROR(VLOOKUP(TEXT(B480,"0"),STOCK!A:H,7,0),1)</f>
        <v>1</v>
      </c>
    </row>
    <row r="481" spans="7:10" ht="35.450000000000003" hidden="1" customHeight="1">
      <c r="G481" s="113"/>
      <c r="J481" s="28">
        <f>IFERROR(VLOOKUP(TEXT(B481,"0"),STOCK!A:H,7,0),1)</f>
        <v>1</v>
      </c>
    </row>
    <row r="482" spans="7:10" ht="35.450000000000003" hidden="1" customHeight="1">
      <c r="G482" s="113"/>
      <c r="J482" s="28">
        <f>IFERROR(VLOOKUP(TEXT(B482,"0"),STOCK!A:H,7,0),1)</f>
        <v>1</v>
      </c>
    </row>
    <row r="483" spans="7:10" ht="35.450000000000003" hidden="1" customHeight="1">
      <c r="G483" s="113"/>
      <c r="J483" s="28">
        <f>IFERROR(VLOOKUP(TEXT(B483,"0"),STOCK!A:H,7,0),1)</f>
        <v>1</v>
      </c>
    </row>
    <row r="484" spans="7:10" ht="35.450000000000003" hidden="1" customHeight="1">
      <c r="G484" s="113"/>
      <c r="J484" s="28">
        <f>IFERROR(VLOOKUP(TEXT(B484,"0"),STOCK!A:H,7,0),1)</f>
        <v>1</v>
      </c>
    </row>
    <row r="485" spans="7:10" ht="35.450000000000003" hidden="1" customHeight="1">
      <c r="G485" s="113"/>
      <c r="J485" s="28">
        <f>IFERROR(VLOOKUP(TEXT(B485,"0"),STOCK!A:H,7,0),1)</f>
        <v>1</v>
      </c>
    </row>
    <row r="486" spans="7:10" ht="35.450000000000003" hidden="1" customHeight="1">
      <c r="G486" s="113"/>
      <c r="J486" s="28">
        <f>IFERROR(VLOOKUP(TEXT(B486,"0"),STOCK!A:H,7,0),1)</f>
        <v>1</v>
      </c>
    </row>
    <row r="487" spans="7:10" ht="35.450000000000003" hidden="1" customHeight="1">
      <c r="G487" s="113"/>
      <c r="J487" s="28">
        <f>IFERROR(VLOOKUP(TEXT(B487,"0"),STOCK!A:H,7,0),1)</f>
        <v>1</v>
      </c>
    </row>
    <row r="488" spans="7:10" ht="35.450000000000003" hidden="1" customHeight="1">
      <c r="G488" s="113"/>
      <c r="J488" s="28">
        <f>IFERROR(VLOOKUP(TEXT(B488,"0"),STOCK!A:H,7,0),1)</f>
        <v>1</v>
      </c>
    </row>
    <row r="489" spans="7:10" ht="35.450000000000003" hidden="1" customHeight="1">
      <c r="G489" s="113"/>
      <c r="J489" s="28">
        <f>IFERROR(VLOOKUP(TEXT(B489,"0"),STOCK!A:H,7,0),1)</f>
        <v>1</v>
      </c>
    </row>
    <row r="490" spans="7:10" ht="35.450000000000003" hidden="1" customHeight="1">
      <c r="G490" s="113"/>
      <c r="J490" s="28">
        <f>IFERROR(VLOOKUP(TEXT(B490,"0"),STOCK!A:H,7,0),1)</f>
        <v>1</v>
      </c>
    </row>
    <row r="491" spans="7:10" ht="35.450000000000003" hidden="1" customHeight="1">
      <c r="G491" s="113"/>
      <c r="J491" s="28">
        <f>IFERROR(VLOOKUP(TEXT(B491,"0"),STOCK!A:H,7,0),1)</f>
        <v>1</v>
      </c>
    </row>
    <row r="492" spans="7:10" ht="35.450000000000003" hidden="1" customHeight="1">
      <c r="G492" s="113"/>
      <c r="J492" s="28">
        <f>IFERROR(VLOOKUP(TEXT(B492,"0"),STOCK!A:H,7,0),1)</f>
        <v>1</v>
      </c>
    </row>
    <row r="493" spans="7:10" ht="35.450000000000003" hidden="1" customHeight="1">
      <c r="G493" s="113"/>
      <c r="J493" s="28">
        <f>IFERROR(VLOOKUP(TEXT(B493,"0"),STOCK!A:H,7,0),1)</f>
        <v>1</v>
      </c>
    </row>
    <row r="494" spans="7:10" ht="35.450000000000003" hidden="1" customHeight="1">
      <c r="G494" s="113"/>
      <c r="J494" s="28">
        <f>IFERROR(VLOOKUP(TEXT(B494,"0"),STOCK!A:H,7,0),1)</f>
        <v>1</v>
      </c>
    </row>
    <row r="495" spans="7:10" ht="35.450000000000003" hidden="1" customHeight="1">
      <c r="G495" s="113"/>
      <c r="J495" s="28">
        <f>IFERROR(VLOOKUP(TEXT(B495,"0"),STOCK!A:H,7,0),1)</f>
        <v>1</v>
      </c>
    </row>
    <row r="496" spans="7:10" ht="35.450000000000003" hidden="1" customHeight="1">
      <c r="G496" s="113"/>
      <c r="J496" s="28">
        <f>IFERROR(VLOOKUP(TEXT(B496,"0"),STOCK!A:H,7,0),1)</f>
        <v>1</v>
      </c>
    </row>
    <row r="497" spans="7:10" ht="35.450000000000003" hidden="1" customHeight="1">
      <c r="G497" s="113"/>
      <c r="J497" s="28">
        <f>IFERROR(VLOOKUP(TEXT(B497,"0"),STOCK!A:H,7,0),1)</f>
        <v>1</v>
      </c>
    </row>
    <row r="498" spans="7:10" ht="35.450000000000003" hidden="1" customHeight="1">
      <c r="G498" s="113"/>
      <c r="J498" s="28">
        <f>IFERROR(VLOOKUP(TEXT(B498,"0"),STOCK!A:H,7,0),1)</f>
        <v>1</v>
      </c>
    </row>
    <row r="499" spans="7:10" ht="35.450000000000003" hidden="1" customHeight="1">
      <c r="G499" s="113"/>
      <c r="J499" s="28">
        <f>IFERROR(VLOOKUP(TEXT(B499,"0"),STOCK!A:H,7,0),1)</f>
        <v>1</v>
      </c>
    </row>
    <row r="500" spans="7:10" ht="35.450000000000003" hidden="1" customHeight="1">
      <c r="G500" s="113"/>
      <c r="J500" s="28">
        <f>IFERROR(VLOOKUP(TEXT(B500,"0"),STOCK!A:H,7,0),1)</f>
        <v>1</v>
      </c>
    </row>
    <row r="501" spans="7:10" ht="35.450000000000003" hidden="1" customHeight="1">
      <c r="G501" s="113"/>
      <c r="J501" s="28">
        <f>IFERROR(VLOOKUP(TEXT(B501,"0"),STOCK!A:H,7,0),1)</f>
        <v>1</v>
      </c>
    </row>
    <row r="502" spans="7:10" ht="35.450000000000003" hidden="1" customHeight="1">
      <c r="G502" s="113"/>
      <c r="J502" s="28">
        <f>IFERROR(VLOOKUP(TEXT(B502,"0"),STOCK!A:H,7,0),1)</f>
        <v>1</v>
      </c>
    </row>
    <row r="503" spans="7:10" ht="35.450000000000003" hidden="1" customHeight="1">
      <c r="G503" s="113"/>
      <c r="J503" s="28">
        <f>IFERROR(VLOOKUP(TEXT(B503,"0"),STOCK!A:H,7,0),1)</f>
        <v>1</v>
      </c>
    </row>
    <row r="504" spans="7:10" ht="35.450000000000003" hidden="1" customHeight="1">
      <c r="G504" s="113"/>
      <c r="J504" s="28">
        <f>IFERROR(VLOOKUP(TEXT(B504,"0"),STOCK!A:H,7,0),1)</f>
        <v>1</v>
      </c>
    </row>
    <row r="505" spans="7:10" ht="35.450000000000003" hidden="1" customHeight="1">
      <c r="G505" s="113"/>
      <c r="J505" s="28">
        <f>IFERROR(VLOOKUP(TEXT(B505,"0"),STOCK!A:H,7,0),1)</f>
        <v>1</v>
      </c>
    </row>
    <row r="506" spans="7:10" ht="35.450000000000003" hidden="1" customHeight="1">
      <c r="G506" s="113"/>
      <c r="J506" s="28">
        <f>IFERROR(VLOOKUP(TEXT(B506,"0"),STOCK!A:H,7,0),1)</f>
        <v>1</v>
      </c>
    </row>
    <row r="507" spans="7:10" ht="35.450000000000003" hidden="1" customHeight="1">
      <c r="G507" s="113"/>
      <c r="J507" s="28">
        <f>IFERROR(VLOOKUP(TEXT(B507,"0"),STOCK!A:H,7,0),1)</f>
        <v>1</v>
      </c>
    </row>
    <row r="508" spans="7:10" ht="35.450000000000003" hidden="1" customHeight="1">
      <c r="G508" s="113"/>
      <c r="J508" s="28">
        <f>IFERROR(VLOOKUP(TEXT(B508,"0"),STOCK!A:H,7,0),1)</f>
        <v>1</v>
      </c>
    </row>
    <row r="509" spans="7:10" ht="35.450000000000003" hidden="1" customHeight="1">
      <c r="G509" s="113"/>
      <c r="J509" s="28">
        <f>IFERROR(VLOOKUP(TEXT(B509,"0"),STOCK!A:H,7,0),1)</f>
        <v>1</v>
      </c>
    </row>
    <row r="510" spans="7:10" ht="35.450000000000003" hidden="1" customHeight="1">
      <c r="G510" s="113"/>
      <c r="J510" s="28">
        <f>IFERROR(VLOOKUP(TEXT(B510,"0"),STOCK!A:H,7,0),1)</f>
        <v>1</v>
      </c>
    </row>
    <row r="511" spans="7:10" ht="35.450000000000003" hidden="1" customHeight="1">
      <c r="G511" s="113"/>
      <c r="J511" s="28">
        <f>IFERROR(VLOOKUP(TEXT(B511,"0"),STOCK!A:H,7,0),1)</f>
        <v>1</v>
      </c>
    </row>
    <row r="512" spans="7:10" ht="35.450000000000003" hidden="1" customHeight="1">
      <c r="G512" s="113"/>
      <c r="J512" s="28">
        <f>IFERROR(VLOOKUP(TEXT(B512,"0"),STOCK!A:H,7,0),1)</f>
        <v>1</v>
      </c>
    </row>
    <row r="513" spans="7:10" ht="35.450000000000003" hidden="1" customHeight="1">
      <c r="G513" s="113"/>
      <c r="J513" s="28">
        <f>IFERROR(VLOOKUP(TEXT(B513,"0"),STOCK!A:H,7,0),1)</f>
        <v>1</v>
      </c>
    </row>
    <row r="514" spans="7:10" ht="35.450000000000003" hidden="1" customHeight="1">
      <c r="G514" s="113"/>
      <c r="J514" s="28">
        <f>IFERROR(VLOOKUP(TEXT(B514,"0"),STOCK!A:H,7,0),1)</f>
        <v>1</v>
      </c>
    </row>
    <row r="515" spans="7:10" ht="35.450000000000003" hidden="1" customHeight="1">
      <c r="G515" s="113"/>
      <c r="J515" s="28">
        <f>IFERROR(VLOOKUP(TEXT(B515,"0"),STOCK!A:H,7,0),1)</f>
        <v>1</v>
      </c>
    </row>
    <row r="516" spans="7:10" ht="35.450000000000003" hidden="1" customHeight="1">
      <c r="G516" s="113"/>
      <c r="J516" s="28">
        <f>IFERROR(VLOOKUP(TEXT(B516,"0"),STOCK!A:H,7,0),1)</f>
        <v>1</v>
      </c>
    </row>
    <row r="517" spans="7:10" ht="35.450000000000003" hidden="1" customHeight="1">
      <c r="G517" s="113"/>
      <c r="J517" s="28">
        <f>IFERROR(VLOOKUP(TEXT(B517,"0"),STOCK!A:H,7,0),1)</f>
        <v>1</v>
      </c>
    </row>
    <row r="518" spans="7:10" ht="35.450000000000003" hidden="1" customHeight="1">
      <c r="G518" s="113"/>
      <c r="J518" s="28">
        <f>IFERROR(VLOOKUP(TEXT(B518,"0"),STOCK!A:H,7,0),1)</f>
        <v>1</v>
      </c>
    </row>
    <row r="519" spans="7:10" ht="35.450000000000003" hidden="1" customHeight="1">
      <c r="G519" s="113"/>
      <c r="J519" s="28">
        <f>IFERROR(VLOOKUP(TEXT(B519,"0"),STOCK!A:H,7,0),1)</f>
        <v>1</v>
      </c>
    </row>
    <row r="520" spans="7:10" ht="35.450000000000003" hidden="1" customHeight="1">
      <c r="G520" s="113"/>
      <c r="J520" s="28">
        <f>IFERROR(VLOOKUP(TEXT(B520,"0"),STOCK!A:H,7,0),1)</f>
        <v>1</v>
      </c>
    </row>
    <row r="521" spans="7:10" ht="35.450000000000003" hidden="1" customHeight="1">
      <c r="G521" s="113"/>
      <c r="J521" s="28">
        <f>IFERROR(VLOOKUP(TEXT(B521,"0"),STOCK!A:H,7,0),1)</f>
        <v>1</v>
      </c>
    </row>
    <row r="522" spans="7:10" ht="35.450000000000003" hidden="1" customHeight="1">
      <c r="G522" s="113"/>
      <c r="J522" s="28">
        <f>IFERROR(VLOOKUP(TEXT(B522,"0"),STOCK!A:H,7,0),1)</f>
        <v>1</v>
      </c>
    </row>
    <row r="523" spans="7:10" ht="35.450000000000003" hidden="1" customHeight="1">
      <c r="G523" s="113"/>
      <c r="J523" s="28">
        <f>IFERROR(VLOOKUP(TEXT(B523,"0"),STOCK!A:H,7,0),1)</f>
        <v>1</v>
      </c>
    </row>
    <row r="524" spans="7:10" ht="35.450000000000003" hidden="1" customHeight="1">
      <c r="G524" s="113"/>
      <c r="J524" s="28">
        <f>IFERROR(VLOOKUP(TEXT(B524,"0"),STOCK!A:H,7,0),1)</f>
        <v>1</v>
      </c>
    </row>
    <row r="525" spans="7:10" ht="35.450000000000003" hidden="1" customHeight="1">
      <c r="G525" s="113"/>
      <c r="J525" s="28">
        <f>IFERROR(VLOOKUP(TEXT(B525,"0"),STOCK!A:H,7,0),1)</f>
        <v>1</v>
      </c>
    </row>
    <row r="526" spans="7:10" ht="35.450000000000003" hidden="1" customHeight="1">
      <c r="G526" s="113"/>
      <c r="J526" s="28">
        <f>IFERROR(VLOOKUP(TEXT(B526,"0"),STOCK!A:H,7,0),1)</f>
        <v>1</v>
      </c>
    </row>
    <row r="527" spans="7:10" ht="35.450000000000003" hidden="1" customHeight="1">
      <c r="G527" s="113"/>
      <c r="J527" s="28">
        <f>IFERROR(VLOOKUP(TEXT(B527,"0"),STOCK!A:H,7,0),1)</f>
        <v>1</v>
      </c>
    </row>
    <row r="528" spans="7:10" ht="35.450000000000003" hidden="1" customHeight="1">
      <c r="G528" s="113"/>
      <c r="J528" s="28">
        <f>IFERROR(VLOOKUP(TEXT(B528,"0"),STOCK!A:H,7,0),1)</f>
        <v>1</v>
      </c>
    </row>
    <row r="529" spans="7:10" ht="35.450000000000003" hidden="1" customHeight="1">
      <c r="G529" s="113"/>
      <c r="J529" s="28">
        <f>IFERROR(VLOOKUP(TEXT(B529,"0"),STOCK!A:H,7,0),1)</f>
        <v>1</v>
      </c>
    </row>
    <row r="530" spans="7:10" ht="35.450000000000003" hidden="1" customHeight="1">
      <c r="G530" s="113"/>
      <c r="J530" s="28">
        <f>IFERROR(VLOOKUP(TEXT(B530,"0"),STOCK!A:H,7,0),1)</f>
        <v>1</v>
      </c>
    </row>
    <row r="531" spans="7:10" ht="35.450000000000003" hidden="1" customHeight="1">
      <c r="G531" s="113"/>
      <c r="J531" s="28">
        <f>IFERROR(VLOOKUP(TEXT(B531,"0"),STOCK!A:H,7,0),1)</f>
        <v>1</v>
      </c>
    </row>
    <row r="532" spans="7:10" ht="35.450000000000003" hidden="1" customHeight="1">
      <c r="G532" s="113"/>
      <c r="J532" s="28">
        <f>IFERROR(VLOOKUP(TEXT(B532,"0"),STOCK!A:H,7,0),1)</f>
        <v>1</v>
      </c>
    </row>
    <row r="533" spans="7:10" ht="35.450000000000003" hidden="1" customHeight="1">
      <c r="G533" s="113"/>
      <c r="J533" s="28">
        <f>IFERROR(VLOOKUP(TEXT(B533,"0"),STOCK!A:H,7,0),1)</f>
        <v>1</v>
      </c>
    </row>
    <row r="534" spans="7:10" ht="35.450000000000003" hidden="1" customHeight="1">
      <c r="G534" s="113"/>
      <c r="J534" s="28">
        <f>IFERROR(VLOOKUP(TEXT(B534,"0"),STOCK!A:H,7,0),1)</f>
        <v>1</v>
      </c>
    </row>
    <row r="535" spans="7:10" ht="35.450000000000003" hidden="1" customHeight="1">
      <c r="G535" s="113"/>
      <c r="J535" s="28">
        <f>IFERROR(VLOOKUP(TEXT(B535,"0"),STOCK!A:H,7,0),1)</f>
        <v>1</v>
      </c>
    </row>
    <row r="536" spans="7:10" ht="35.450000000000003" hidden="1" customHeight="1">
      <c r="G536" s="113"/>
      <c r="J536" s="28">
        <f>IFERROR(VLOOKUP(TEXT(B536,"0"),STOCK!A:H,7,0),1)</f>
        <v>1</v>
      </c>
    </row>
    <row r="537" spans="7:10" ht="35.450000000000003" hidden="1" customHeight="1">
      <c r="G537" s="113"/>
      <c r="J537" s="28">
        <f>IFERROR(VLOOKUP(TEXT(B537,"0"),STOCK!A:H,7,0),1)</f>
        <v>1</v>
      </c>
    </row>
    <row r="538" spans="7:10" ht="35.450000000000003" hidden="1" customHeight="1">
      <c r="G538" s="113"/>
      <c r="J538" s="28">
        <f>IFERROR(VLOOKUP(TEXT(B538,"0"),STOCK!A:H,7,0),1)</f>
        <v>1</v>
      </c>
    </row>
    <row r="539" spans="7:10" ht="35.450000000000003" hidden="1" customHeight="1">
      <c r="G539" s="113"/>
      <c r="J539" s="28">
        <f>IFERROR(VLOOKUP(TEXT(B539,"0"),STOCK!A:H,7,0),1)</f>
        <v>1</v>
      </c>
    </row>
    <row r="540" spans="7:10" ht="35.450000000000003" hidden="1" customHeight="1">
      <c r="G540" s="113"/>
      <c r="J540" s="28">
        <f>IFERROR(VLOOKUP(TEXT(B540,"0"),STOCK!A:H,7,0),1)</f>
        <v>1</v>
      </c>
    </row>
    <row r="541" spans="7:10" ht="35.450000000000003" hidden="1" customHeight="1">
      <c r="G541" s="113"/>
      <c r="J541" s="28">
        <f>IFERROR(VLOOKUP(TEXT(B541,"0"),STOCK!A:H,7,0),1)</f>
        <v>1</v>
      </c>
    </row>
    <row r="542" spans="7:10" ht="35.450000000000003" hidden="1" customHeight="1">
      <c r="G542" s="113"/>
      <c r="J542" s="28">
        <f>IFERROR(VLOOKUP(TEXT(B542,"0"),STOCK!A:H,7,0),1)</f>
        <v>1</v>
      </c>
    </row>
    <row r="543" spans="7:10" ht="35.450000000000003" hidden="1" customHeight="1">
      <c r="G543" s="113"/>
      <c r="J543" s="28">
        <f>IFERROR(VLOOKUP(TEXT(B543,"0"),STOCK!A:H,7,0),1)</f>
        <v>1</v>
      </c>
    </row>
    <row r="544" spans="7:10" ht="35.450000000000003" hidden="1" customHeight="1">
      <c r="G544" s="113"/>
      <c r="J544" s="28">
        <f>IFERROR(VLOOKUP(TEXT(B544,"0"),STOCK!A:H,7,0),1)</f>
        <v>1</v>
      </c>
    </row>
    <row r="545" spans="7:10" ht="35.450000000000003" hidden="1" customHeight="1">
      <c r="G545" s="113"/>
      <c r="J545" s="28">
        <f>IFERROR(VLOOKUP(TEXT(B545,"0"),STOCK!A:H,7,0),1)</f>
        <v>1</v>
      </c>
    </row>
    <row r="546" spans="7:10" ht="35.450000000000003" hidden="1" customHeight="1">
      <c r="G546" s="113"/>
      <c r="J546" s="28">
        <f>IFERROR(VLOOKUP(TEXT(B546,"0"),STOCK!A:H,7,0),1)</f>
        <v>1</v>
      </c>
    </row>
    <row r="547" spans="7:10" ht="35.450000000000003" hidden="1" customHeight="1">
      <c r="G547" s="113"/>
      <c r="J547" s="28">
        <f>IFERROR(VLOOKUP(TEXT(B547,"0"),STOCK!A:H,7,0),1)</f>
        <v>1</v>
      </c>
    </row>
    <row r="548" spans="7:10" ht="35.450000000000003" hidden="1" customHeight="1">
      <c r="G548" s="113"/>
      <c r="J548" s="28">
        <f>IFERROR(VLOOKUP(TEXT(B548,"0"),STOCK!A:H,7,0),1)</f>
        <v>1</v>
      </c>
    </row>
    <row r="549" spans="7:10" ht="35.450000000000003" hidden="1" customHeight="1">
      <c r="G549" s="113"/>
      <c r="J549" s="28">
        <f>IFERROR(VLOOKUP(TEXT(B549,"0"),STOCK!A:H,7,0),1)</f>
        <v>1</v>
      </c>
    </row>
    <row r="550" spans="7:10" ht="35.450000000000003" hidden="1" customHeight="1">
      <c r="G550" s="113"/>
      <c r="J550" s="28">
        <f>IFERROR(VLOOKUP(TEXT(B550,"0"),STOCK!A:H,7,0),1)</f>
        <v>1</v>
      </c>
    </row>
    <row r="551" spans="7:10" ht="35.450000000000003" hidden="1" customHeight="1">
      <c r="G551" s="113"/>
      <c r="J551" s="28">
        <f>IFERROR(VLOOKUP(TEXT(B551,"0"),STOCK!A:H,7,0),1)</f>
        <v>1</v>
      </c>
    </row>
    <row r="552" spans="7:10" ht="35.450000000000003" hidden="1" customHeight="1">
      <c r="G552" s="113"/>
      <c r="J552" s="28">
        <f>IFERROR(VLOOKUP(TEXT(B552,"0"),STOCK!A:H,7,0),1)</f>
        <v>1</v>
      </c>
    </row>
    <row r="553" spans="7:10" ht="35.450000000000003" hidden="1" customHeight="1">
      <c r="G553" s="113"/>
      <c r="J553" s="28">
        <f>IFERROR(VLOOKUP(TEXT(B553,"0"),STOCK!A:H,7,0),1)</f>
        <v>1</v>
      </c>
    </row>
    <row r="554" spans="7:10" ht="35.450000000000003" hidden="1" customHeight="1">
      <c r="G554" s="113"/>
      <c r="J554" s="28">
        <f>IFERROR(VLOOKUP(TEXT(B554,"0"),STOCK!A:H,7,0),1)</f>
        <v>1</v>
      </c>
    </row>
    <row r="555" spans="7:10" ht="35.450000000000003" hidden="1" customHeight="1">
      <c r="G555" s="113"/>
      <c r="J555" s="28">
        <f>IFERROR(VLOOKUP(TEXT(B555,"0"),STOCK!A:H,7,0),1)</f>
        <v>1</v>
      </c>
    </row>
    <row r="556" spans="7:10" ht="35.450000000000003" hidden="1" customHeight="1">
      <c r="G556" s="113"/>
      <c r="J556" s="28">
        <f>IFERROR(VLOOKUP(TEXT(B556,"0"),STOCK!A:H,7,0),1)</f>
        <v>1</v>
      </c>
    </row>
    <row r="557" spans="7:10" ht="35.450000000000003" hidden="1" customHeight="1">
      <c r="G557" s="113"/>
      <c r="J557" s="28">
        <f>IFERROR(VLOOKUP(TEXT(B557,"0"),STOCK!A:H,7,0),1)</f>
        <v>1</v>
      </c>
    </row>
    <row r="558" spans="7:10" ht="35.450000000000003" hidden="1" customHeight="1">
      <c r="G558" s="113"/>
      <c r="J558" s="28">
        <f>IFERROR(VLOOKUP(TEXT(B558,"0"),STOCK!A:H,7,0),1)</f>
        <v>1</v>
      </c>
    </row>
    <row r="559" spans="7:10" ht="35.450000000000003" hidden="1" customHeight="1">
      <c r="G559" s="113"/>
      <c r="J559" s="28">
        <f>IFERROR(VLOOKUP(TEXT(B559,"0"),STOCK!A:H,7,0),1)</f>
        <v>1</v>
      </c>
    </row>
    <row r="560" spans="7:10" ht="35.450000000000003" hidden="1" customHeight="1">
      <c r="G560" s="113"/>
      <c r="J560" s="28">
        <f>IFERROR(VLOOKUP(TEXT(B560,"0"),STOCK!A:H,7,0),1)</f>
        <v>1</v>
      </c>
    </row>
    <row r="561" spans="7:10" ht="35.450000000000003" hidden="1" customHeight="1">
      <c r="G561" s="113"/>
      <c r="J561" s="28">
        <f>IFERROR(VLOOKUP(TEXT(B561,"0"),STOCK!A:H,7,0),1)</f>
        <v>1</v>
      </c>
    </row>
    <row r="562" spans="7:10" ht="35.450000000000003" hidden="1" customHeight="1">
      <c r="G562" s="113"/>
      <c r="J562" s="28">
        <f>IFERROR(VLOOKUP(TEXT(B562,"0"),STOCK!A:H,7,0),1)</f>
        <v>1</v>
      </c>
    </row>
    <row r="563" spans="7:10" ht="35.450000000000003" hidden="1" customHeight="1">
      <c r="G563" s="113"/>
      <c r="J563" s="28">
        <f>IFERROR(VLOOKUP(TEXT(B563,"0"),STOCK!A:H,7,0),1)</f>
        <v>1</v>
      </c>
    </row>
    <row r="564" spans="7:10" ht="35.450000000000003" hidden="1" customHeight="1">
      <c r="G564" s="113"/>
      <c r="J564" s="28">
        <f>IFERROR(VLOOKUP(TEXT(B564,"0"),STOCK!A:H,7,0),1)</f>
        <v>1</v>
      </c>
    </row>
    <row r="565" spans="7:10" ht="35.450000000000003" hidden="1" customHeight="1">
      <c r="G565" s="113"/>
      <c r="J565" s="28">
        <f>IFERROR(VLOOKUP(TEXT(B565,"0"),STOCK!A:H,7,0),1)</f>
        <v>1</v>
      </c>
    </row>
    <row r="566" spans="7:10" ht="35.450000000000003" hidden="1" customHeight="1">
      <c r="G566" s="113"/>
      <c r="J566" s="28">
        <f>IFERROR(VLOOKUP(TEXT(B566,"0"),STOCK!A:H,7,0),1)</f>
        <v>1</v>
      </c>
    </row>
    <row r="567" spans="7:10" ht="35.450000000000003" hidden="1" customHeight="1">
      <c r="G567" s="113"/>
      <c r="J567" s="28">
        <f>IFERROR(VLOOKUP(TEXT(B567,"0"),STOCK!A:H,7,0),1)</f>
        <v>1</v>
      </c>
    </row>
    <row r="568" spans="7:10" ht="35.450000000000003" hidden="1" customHeight="1">
      <c r="G568" s="113"/>
      <c r="J568" s="28">
        <f>IFERROR(VLOOKUP(TEXT(B568,"0"),STOCK!A:H,7,0),1)</f>
        <v>1</v>
      </c>
    </row>
    <row r="569" spans="7:10" ht="35.450000000000003" hidden="1" customHeight="1">
      <c r="G569" s="113"/>
      <c r="J569" s="28">
        <f>IFERROR(VLOOKUP(TEXT(B569,"0"),STOCK!A:H,7,0),1)</f>
        <v>1</v>
      </c>
    </row>
    <row r="570" spans="7:10" ht="35.450000000000003" hidden="1" customHeight="1">
      <c r="G570" s="113"/>
      <c r="J570" s="28">
        <f>IFERROR(VLOOKUP(TEXT(B570,"0"),STOCK!A:H,7,0),1)</f>
        <v>1</v>
      </c>
    </row>
    <row r="571" spans="7:10" ht="35.450000000000003" hidden="1" customHeight="1">
      <c r="G571" s="113"/>
      <c r="J571" s="28">
        <f>IFERROR(VLOOKUP(TEXT(B571,"0"),STOCK!A:H,7,0),1)</f>
        <v>1</v>
      </c>
    </row>
    <row r="572" spans="7:10" ht="35.450000000000003" hidden="1" customHeight="1">
      <c r="G572" s="113"/>
      <c r="J572" s="28">
        <f>IFERROR(VLOOKUP(TEXT(B572,"0"),STOCK!A:H,7,0),1)</f>
        <v>1</v>
      </c>
    </row>
    <row r="573" spans="7:10" ht="35.450000000000003" hidden="1" customHeight="1">
      <c r="G573" s="113"/>
      <c r="J573" s="28">
        <f>IFERROR(VLOOKUP(TEXT(B573,"0"),STOCK!A:H,7,0),1)</f>
        <v>1</v>
      </c>
    </row>
    <row r="574" spans="7:10" ht="35.450000000000003" hidden="1" customHeight="1">
      <c r="G574" s="113"/>
      <c r="J574" s="28">
        <f>IFERROR(VLOOKUP(TEXT(B574,"0"),STOCK!A:H,7,0),1)</f>
        <v>1</v>
      </c>
    </row>
    <row r="575" spans="7:10" ht="35.450000000000003" hidden="1" customHeight="1">
      <c r="G575" s="113"/>
      <c r="J575" s="28">
        <f>IFERROR(VLOOKUP(TEXT(B575,"0"),STOCK!A:H,7,0),1)</f>
        <v>1</v>
      </c>
    </row>
    <row r="576" spans="7:10" ht="35.450000000000003" hidden="1" customHeight="1">
      <c r="G576" s="113"/>
      <c r="J576" s="28">
        <f>IFERROR(VLOOKUP(TEXT(B576,"0"),STOCK!A:H,7,0),1)</f>
        <v>1</v>
      </c>
    </row>
    <row r="577" spans="7:10" ht="35.450000000000003" hidden="1" customHeight="1">
      <c r="G577" s="113"/>
      <c r="J577" s="28">
        <f>IFERROR(VLOOKUP(TEXT(B577,"0"),STOCK!A:H,7,0),1)</f>
        <v>1</v>
      </c>
    </row>
    <row r="578" spans="7:10" ht="35.450000000000003" hidden="1" customHeight="1">
      <c r="G578" s="113"/>
      <c r="J578" s="28">
        <f>IFERROR(VLOOKUP(TEXT(B578,"0"),STOCK!A:H,7,0),1)</f>
        <v>1</v>
      </c>
    </row>
    <row r="579" spans="7:10" ht="35.450000000000003" hidden="1" customHeight="1">
      <c r="G579" s="113"/>
      <c r="J579" s="28">
        <f>IFERROR(VLOOKUP(TEXT(B579,"0"),STOCK!A:H,7,0),1)</f>
        <v>1</v>
      </c>
    </row>
    <row r="580" spans="7:10" ht="35.450000000000003" hidden="1" customHeight="1">
      <c r="G580" s="113"/>
      <c r="J580" s="28">
        <f>IFERROR(VLOOKUP(TEXT(B580,"0"),STOCK!A:H,7,0),1)</f>
        <v>1</v>
      </c>
    </row>
    <row r="581" spans="7:10" ht="35.450000000000003" hidden="1" customHeight="1">
      <c r="G581" s="113"/>
      <c r="J581" s="28">
        <f>IFERROR(VLOOKUP(TEXT(B581,"0"),STOCK!A:H,7,0),1)</f>
        <v>1</v>
      </c>
    </row>
    <row r="582" spans="7:10" ht="35.450000000000003" hidden="1" customHeight="1">
      <c r="G582" s="113"/>
      <c r="J582" s="28">
        <f>IFERROR(VLOOKUP(TEXT(B582,"0"),STOCK!A:H,7,0),1)</f>
        <v>1</v>
      </c>
    </row>
    <row r="583" spans="7:10" ht="35.450000000000003" hidden="1" customHeight="1">
      <c r="G583" s="113"/>
      <c r="J583" s="28">
        <f>IFERROR(VLOOKUP(TEXT(B583,"0"),STOCK!A:H,7,0),1)</f>
        <v>1</v>
      </c>
    </row>
    <row r="584" spans="7:10" ht="35.450000000000003" hidden="1" customHeight="1">
      <c r="G584" s="113"/>
      <c r="J584" s="28">
        <f>IFERROR(VLOOKUP(TEXT(B584,"0"),STOCK!A:H,7,0),1)</f>
        <v>1</v>
      </c>
    </row>
    <row r="585" spans="7:10" ht="35.450000000000003" hidden="1" customHeight="1">
      <c r="G585" s="113"/>
      <c r="J585" s="28">
        <f>IFERROR(VLOOKUP(TEXT(B585,"0"),STOCK!A:H,7,0),1)</f>
        <v>1</v>
      </c>
    </row>
    <row r="586" spans="7:10" ht="35.450000000000003" hidden="1" customHeight="1">
      <c r="G586" s="113"/>
      <c r="J586" s="28">
        <f>IFERROR(VLOOKUP(TEXT(B586,"0"),STOCK!A:H,7,0),1)</f>
        <v>1</v>
      </c>
    </row>
    <row r="587" spans="7:10" ht="35.450000000000003" hidden="1" customHeight="1">
      <c r="G587" s="113"/>
      <c r="J587" s="28">
        <f>IFERROR(VLOOKUP(TEXT(B587,"0"),STOCK!A:H,7,0),1)</f>
        <v>1</v>
      </c>
    </row>
    <row r="588" spans="7:10" ht="35.450000000000003" hidden="1" customHeight="1">
      <c r="G588" s="113"/>
      <c r="J588" s="28">
        <f>IFERROR(VLOOKUP(TEXT(B588,"0"),STOCK!A:H,7,0),1)</f>
        <v>1</v>
      </c>
    </row>
    <row r="589" spans="7:10" ht="35.450000000000003" hidden="1" customHeight="1">
      <c r="G589" s="113"/>
      <c r="J589" s="28">
        <f>IFERROR(VLOOKUP(TEXT(B589,"0"),STOCK!A:H,7,0),1)</f>
        <v>1</v>
      </c>
    </row>
    <row r="590" spans="7:10" ht="35.450000000000003" hidden="1" customHeight="1">
      <c r="G590" s="113"/>
      <c r="J590" s="28">
        <f>IFERROR(VLOOKUP(TEXT(B590,"0"),STOCK!A:H,7,0),1)</f>
        <v>1</v>
      </c>
    </row>
    <row r="591" spans="7:10" ht="35.450000000000003" hidden="1" customHeight="1">
      <c r="G591" s="113"/>
      <c r="J591" s="28">
        <f>IFERROR(VLOOKUP(TEXT(B591,"0"),STOCK!A:H,7,0),1)</f>
        <v>1</v>
      </c>
    </row>
    <row r="592" spans="7:10" ht="35.450000000000003" hidden="1" customHeight="1">
      <c r="G592" s="113"/>
      <c r="J592" s="28">
        <f>IFERROR(VLOOKUP(TEXT(B592,"0"),STOCK!A:H,7,0),1)</f>
        <v>1</v>
      </c>
    </row>
    <row r="593" spans="7:10" ht="35.450000000000003" hidden="1" customHeight="1">
      <c r="G593" s="113"/>
      <c r="J593" s="28">
        <f>IFERROR(VLOOKUP(TEXT(B593,"0"),STOCK!A:H,7,0),1)</f>
        <v>1</v>
      </c>
    </row>
    <row r="594" spans="7:10" ht="35.450000000000003" hidden="1" customHeight="1">
      <c r="G594" s="113"/>
      <c r="J594" s="28">
        <f>IFERROR(VLOOKUP(TEXT(B594,"0"),STOCK!A:H,7,0),1)</f>
        <v>1</v>
      </c>
    </row>
    <row r="595" spans="7:10" ht="35.450000000000003" hidden="1" customHeight="1">
      <c r="G595" s="113"/>
      <c r="J595" s="28">
        <f>IFERROR(VLOOKUP(TEXT(B595,"0"),STOCK!A:H,7,0),1)</f>
        <v>1</v>
      </c>
    </row>
    <row r="596" spans="7:10" ht="35.450000000000003" hidden="1" customHeight="1">
      <c r="G596" s="113"/>
      <c r="J596" s="28">
        <f>IFERROR(VLOOKUP(TEXT(B596,"0"),STOCK!A:H,7,0),1)</f>
        <v>1</v>
      </c>
    </row>
    <row r="597" spans="7:10" ht="35.450000000000003" hidden="1" customHeight="1">
      <c r="G597" s="113"/>
      <c r="J597" s="28">
        <f>IFERROR(VLOOKUP(TEXT(B597,"0"),STOCK!A:H,7,0),1)</f>
        <v>1</v>
      </c>
    </row>
    <row r="598" spans="7:10" ht="35.450000000000003" hidden="1" customHeight="1">
      <c r="G598" s="113"/>
      <c r="J598" s="28">
        <f>IFERROR(VLOOKUP(TEXT(B598,"0"),STOCK!A:H,7,0),1)</f>
        <v>1</v>
      </c>
    </row>
    <row r="599" spans="7:10" ht="35.450000000000003" hidden="1" customHeight="1">
      <c r="G599" s="113"/>
      <c r="J599" s="28">
        <f>IFERROR(VLOOKUP(TEXT(B599,"0"),STOCK!A:H,7,0),1)</f>
        <v>1</v>
      </c>
    </row>
    <row r="600" spans="7:10" ht="35.450000000000003" hidden="1" customHeight="1">
      <c r="G600" s="113"/>
      <c r="J600" s="28">
        <f>IFERROR(VLOOKUP(TEXT(B600,"0"),STOCK!A:H,7,0),1)</f>
        <v>1</v>
      </c>
    </row>
    <row r="601" spans="7:10" ht="35.450000000000003" hidden="1" customHeight="1">
      <c r="G601" s="113"/>
      <c r="J601" s="28">
        <f>IFERROR(VLOOKUP(TEXT(B601,"0"),STOCK!A:H,7,0),1)</f>
        <v>1</v>
      </c>
    </row>
    <row r="602" spans="7:10" ht="35.450000000000003" hidden="1" customHeight="1">
      <c r="G602" s="113"/>
      <c r="J602" s="28">
        <f>IFERROR(VLOOKUP(TEXT(B602,"0"),STOCK!A:H,7,0),1)</f>
        <v>1</v>
      </c>
    </row>
    <row r="603" spans="7:10" ht="35.450000000000003" hidden="1" customHeight="1">
      <c r="G603" s="113"/>
      <c r="J603" s="28">
        <f>IFERROR(VLOOKUP(TEXT(B603,"0"),STOCK!A:H,7,0),1)</f>
        <v>1</v>
      </c>
    </row>
    <row r="604" spans="7:10" ht="35.450000000000003" hidden="1" customHeight="1">
      <c r="G604" s="113"/>
      <c r="J604" s="28">
        <f>IFERROR(VLOOKUP(TEXT(B604,"0"),STOCK!A:H,7,0),1)</f>
        <v>1</v>
      </c>
    </row>
    <row r="605" spans="7:10" ht="35.450000000000003" hidden="1" customHeight="1">
      <c r="G605" s="113"/>
      <c r="J605" s="28">
        <f>IFERROR(VLOOKUP(TEXT(B605,"0"),STOCK!A:H,7,0),1)</f>
        <v>1</v>
      </c>
    </row>
    <row r="606" spans="7:10" ht="35.450000000000003" hidden="1" customHeight="1">
      <c r="G606" s="113"/>
      <c r="J606" s="28">
        <f>IFERROR(VLOOKUP(TEXT(B606,"0"),STOCK!A:H,7,0),1)</f>
        <v>1</v>
      </c>
    </row>
    <row r="607" spans="7:10" ht="35.450000000000003" hidden="1" customHeight="1">
      <c r="G607" s="113"/>
      <c r="J607" s="28">
        <f>IFERROR(VLOOKUP(TEXT(B607,"0"),STOCK!A:H,7,0),1)</f>
        <v>1</v>
      </c>
    </row>
    <row r="608" spans="7:10" ht="35.450000000000003" hidden="1" customHeight="1">
      <c r="G608" s="113"/>
      <c r="J608" s="28">
        <f>IFERROR(VLOOKUP(TEXT(B608,"0"),STOCK!A:H,7,0),1)</f>
        <v>1</v>
      </c>
    </row>
    <row r="609" spans="7:10" ht="35.450000000000003" hidden="1" customHeight="1">
      <c r="G609" s="113"/>
      <c r="J609" s="28">
        <f>IFERROR(VLOOKUP(TEXT(B609,"0"),STOCK!A:H,7,0),1)</f>
        <v>1</v>
      </c>
    </row>
    <row r="610" spans="7:10" ht="35.450000000000003" hidden="1" customHeight="1">
      <c r="G610" s="113"/>
      <c r="J610" s="28">
        <f>IFERROR(VLOOKUP(TEXT(B610,"0"),STOCK!A:H,7,0),1)</f>
        <v>1</v>
      </c>
    </row>
    <row r="611" spans="7:10" ht="35.450000000000003" hidden="1" customHeight="1">
      <c r="G611" s="113"/>
      <c r="J611" s="28">
        <f>IFERROR(VLOOKUP(TEXT(B611,"0"),STOCK!A:H,7,0),1)</f>
        <v>1</v>
      </c>
    </row>
    <row r="612" spans="7:10" ht="35.450000000000003" hidden="1" customHeight="1">
      <c r="G612" s="113"/>
      <c r="J612" s="28">
        <f>IFERROR(VLOOKUP(TEXT(B612,"0"),STOCK!A:H,7,0),1)</f>
        <v>1</v>
      </c>
    </row>
    <row r="613" spans="7:10" ht="35.450000000000003" hidden="1" customHeight="1">
      <c r="G613" s="113"/>
      <c r="J613" s="28">
        <f>IFERROR(VLOOKUP(TEXT(B613,"0"),STOCK!A:H,7,0),1)</f>
        <v>1</v>
      </c>
    </row>
    <row r="614" spans="7:10" ht="35.450000000000003" hidden="1" customHeight="1">
      <c r="G614" s="113"/>
      <c r="J614" s="28">
        <f>IFERROR(VLOOKUP(TEXT(B614,"0"),STOCK!A:H,7,0),1)</f>
        <v>1</v>
      </c>
    </row>
    <row r="615" spans="7:10" ht="35.450000000000003" hidden="1" customHeight="1">
      <c r="G615" s="113"/>
      <c r="J615" s="28">
        <f>IFERROR(VLOOKUP(TEXT(B615,"0"),STOCK!A:H,7,0),1)</f>
        <v>1</v>
      </c>
    </row>
    <row r="616" spans="7:10" ht="35.450000000000003" hidden="1" customHeight="1">
      <c r="G616" s="113"/>
      <c r="J616" s="28">
        <f>IFERROR(VLOOKUP(TEXT(B616,"0"),STOCK!A:H,7,0),1)</f>
        <v>1</v>
      </c>
    </row>
    <row r="617" spans="7:10" ht="35.450000000000003" hidden="1" customHeight="1">
      <c r="G617" s="113"/>
      <c r="J617" s="28">
        <f>IFERROR(VLOOKUP(TEXT(B617,"0"),STOCK!A:H,7,0),1)</f>
        <v>1</v>
      </c>
    </row>
    <row r="618" spans="7:10" ht="35.450000000000003" hidden="1" customHeight="1">
      <c r="G618" s="113"/>
      <c r="J618" s="28">
        <f>IFERROR(VLOOKUP(TEXT(B618,"0"),STOCK!A:H,7,0),1)</f>
        <v>1</v>
      </c>
    </row>
    <row r="619" spans="7:10" ht="35.450000000000003" hidden="1" customHeight="1">
      <c r="G619" s="113"/>
      <c r="J619" s="28">
        <f>IFERROR(VLOOKUP(TEXT(B619,"0"),STOCK!A:H,7,0),1)</f>
        <v>1</v>
      </c>
    </row>
    <row r="620" spans="7:10" ht="35.450000000000003" hidden="1" customHeight="1">
      <c r="G620" s="113"/>
      <c r="J620" s="28">
        <f>IFERROR(VLOOKUP(TEXT(B620,"0"),STOCK!A:H,7,0),1)</f>
        <v>1</v>
      </c>
    </row>
    <row r="621" spans="7:10" ht="35.450000000000003" hidden="1" customHeight="1">
      <c r="G621" s="113"/>
      <c r="J621" s="28">
        <f>IFERROR(VLOOKUP(TEXT(B621,"0"),STOCK!A:H,7,0),1)</f>
        <v>1</v>
      </c>
    </row>
    <row r="622" spans="7:10" ht="35.450000000000003" hidden="1" customHeight="1">
      <c r="G622" s="113"/>
      <c r="J622" s="28">
        <f>IFERROR(VLOOKUP(TEXT(B622,"0"),STOCK!A:H,7,0),1)</f>
        <v>1</v>
      </c>
    </row>
    <row r="623" spans="7:10" ht="35.450000000000003" hidden="1" customHeight="1">
      <c r="G623" s="113"/>
      <c r="J623" s="28">
        <f>IFERROR(VLOOKUP(TEXT(B623,"0"),STOCK!A:H,7,0),1)</f>
        <v>1</v>
      </c>
    </row>
    <row r="624" spans="7:10" ht="35.450000000000003" hidden="1" customHeight="1">
      <c r="G624" s="113"/>
      <c r="J624" s="28">
        <f>IFERROR(VLOOKUP(TEXT(B624,"0"),STOCK!A:H,7,0),1)</f>
        <v>1</v>
      </c>
    </row>
    <row r="625" spans="7:10" ht="35.450000000000003" hidden="1" customHeight="1">
      <c r="G625" s="113"/>
      <c r="J625" s="28">
        <f>IFERROR(VLOOKUP(TEXT(B625,"0"),STOCK!A:H,7,0),1)</f>
        <v>1</v>
      </c>
    </row>
    <row r="626" spans="7:10" ht="35.450000000000003" hidden="1" customHeight="1">
      <c r="G626" s="113"/>
      <c r="J626" s="28">
        <f>IFERROR(VLOOKUP(TEXT(B626,"0"),STOCK!A:H,7,0),1)</f>
        <v>1</v>
      </c>
    </row>
    <row r="627" spans="7:10" ht="35.450000000000003" hidden="1" customHeight="1">
      <c r="G627" s="113"/>
      <c r="J627" s="28">
        <f>IFERROR(VLOOKUP(TEXT(B627,"0"),STOCK!A:H,7,0),1)</f>
        <v>1</v>
      </c>
    </row>
    <row r="628" spans="7:10" ht="35.450000000000003" hidden="1" customHeight="1">
      <c r="G628" s="113"/>
      <c r="J628" s="28">
        <f>IFERROR(VLOOKUP(TEXT(B628,"0"),STOCK!A:H,7,0),1)</f>
        <v>1</v>
      </c>
    </row>
    <row r="629" spans="7:10" ht="35.450000000000003" hidden="1" customHeight="1">
      <c r="G629" s="113"/>
      <c r="J629" s="28">
        <f>IFERROR(VLOOKUP(TEXT(B629,"0"),STOCK!A:H,7,0),1)</f>
        <v>1</v>
      </c>
    </row>
    <row r="630" spans="7:10" ht="35.450000000000003" hidden="1" customHeight="1">
      <c r="G630" s="113"/>
      <c r="J630" s="28">
        <f>IFERROR(VLOOKUP(TEXT(B630,"0"),STOCK!A:H,7,0),1)</f>
        <v>1</v>
      </c>
    </row>
    <row r="631" spans="7:10" ht="35.450000000000003" hidden="1" customHeight="1">
      <c r="G631" s="113"/>
      <c r="J631" s="28">
        <f>IFERROR(VLOOKUP(TEXT(B631,"0"),STOCK!A:H,7,0),1)</f>
        <v>1</v>
      </c>
    </row>
    <row r="632" spans="7:10" ht="35.450000000000003" hidden="1" customHeight="1">
      <c r="G632" s="113"/>
      <c r="J632" s="28">
        <f>IFERROR(VLOOKUP(TEXT(B632,"0"),STOCK!A:H,7,0),1)</f>
        <v>1</v>
      </c>
    </row>
    <row r="633" spans="7:10" ht="35.450000000000003" hidden="1" customHeight="1">
      <c r="G633" s="113"/>
      <c r="J633" s="28">
        <f>IFERROR(VLOOKUP(TEXT(B633,"0"),STOCK!A:H,7,0),1)</f>
        <v>1</v>
      </c>
    </row>
    <row r="634" spans="7:10" ht="35.450000000000003" hidden="1" customHeight="1">
      <c r="G634" s="113"/>
      <c r="J634" s="28">
        <f>IFERROR(VLOOKUP(TEXT(B634,"0"),STOCK!A:H,7,0),1)</f>
        <v>1</v>
      </c>
    </row>
    <row r="635" spans="7:10" ht="35.450000000000003" hidden="1" customHeight="1">
      <c r="G635" s="113"/>
      <c r="J635" s="28">
        <f>IFERROR(VLOOKUP(TEXT(B635,"0"),STOCK!A:H,7,0),1)</f>
        <v>1</v>
      </c>
    </row>
    <row r="636" spans="7:10" ht="35.450000000000003" hidden="1" customHeight="1">
      <c r="G636" s="113"/>
      <c r="J636" s="28">
        <f>IFERROR(VLOOKUP(TEXT(B636,"0"),STOCK!A:H,7,0),1)</f>
        <v>1</v>
      </c>
    </row>
    <row r="637" spans="7:10" ht="35.450000000000003" hidden="1" customHeight="1">
      <c r="G637" s="113"/>
      <c r="J637" s="28">
        <f>IFERROR(VLOOKUP(TEXT(B637,"0"),STOCK!A:H,7,0),1)</f>
        <v>1</v>
      </c>
    </row>
    <row r="638" spans="7:10" ht="35.450000000000003" hidden="1" customHeight="1">
      <c r="G638" s="113"/>
      <c r="J638" s="28">
        <f>IFERROR(VLOOKUP(TEXT(B638,"0"),STOCK!A:H,7,0),1)</f>
        <v>1</v>
      </c>
    </row>
    <row r="639" spans="7:10" ht="35.450000000000003" hidden="1" customHeight="1">
      <c r="G639" s="113"/>
      <c r="J639" s="28">
        <f>IFERROR(VLOOKUP(TEXT(B639,"0"),STOCK!A:H,7,0),1)</f>
        <v>1</v>
      </c>
    </row>
    <row r="640" spans="7:10" ht="35.450000000000003" hidden="1" customHeight="1">
      <c r="G640" s="113"/>
      <c r="J640" s="28">
        <f>IFERROR(VLOOKUP(TEXT(B640,"0"),STOCK!A:H,7,0),1)</f>
        <v>1</v>
      </c>
    </row>
    <row r="641" spans="7:10" ht="35.450000000000003" hidden="1" customHeight="1">
      <c r="G641" s="113"/>
      <c r="J641" s="28">
        <f>IFERROR(VLOOKUP(TEXT(B641,"0"),STOCK!A:H,7,0),1)</f>
        <v>1</v>
      </c>
    </row>
    <row r="642" spans="7:10" ht="35.450000000000003" hidden="1" customHeight="1">
      <c r="G642" s="113"/>
      <c r="J642" s="28">
        <f>IFERROR(VLOOKUP(TEXT(B642,"0"),STOCK!A:H,7,0),1)</f>
        <v>1</v>
      </c>
    </row>
    <row r="643" spans="7:10" ht="35.450000000000003" hidden="1" customHeight="1">
      <c r="G643" s="113"/>
      <c r="J643" s="28">
        <f>IFERROR(VLOOKUP(TEXT(B643,"0"),STOCK!A:H,7,0),1)</f>
        <v>1</v>
      </c>
    </row>
    <row r="644" spans="7:10" ht="35.450000000000003" hidden="1" customHeight="1">
      <c r="G644" s="113"/>
      <c r="J644" s="28">
        <f>IFERROR(VLOOKUP(TEXT(B644,"0"),STOCK!A:H,7,0),1)</f>
        <v>1</v>
      </c>
    </row>
    <row r="645" spans="7:10" ht="35.450000000000003" hidden="1" customHeight="1">
      <c r="G645" s="113"/>
      <c r="J645" s="28">
        <f>IFERROR(VLOOKUP(TEXT(B645,"0"),STOCK!A:H,7,0),1)</f>
        <v>1</v>
      </c>
    </row>
    <row r="646" spans="7:10" ht="35.450000000000003" hidden="1" customHeight="1">
      <c r="G646" s="113"/>
      <c r="J646" s="28">
        <f>IFERROR(VLOOKUP(TEXT(B646,"0"),STOCK!A:H,7,0),1)</f>
        <v>1</v>
      </c>
    </row>
    <row r="647" spans="7:10" ht="35.450000000000003" hidden="1" customHeight="1">
      <c r="G647" s="113"/>
      <c r="J647" s="28">
        <f>IFERROR(VLOOKUP(TEXT(B647,"0"),STOCK!A:H,7,0),1)</f>
        <v>1</v>
      </c>
    </row>
    <row r="648" spans="7:10" ht="35.450000000000003" hidden="1" customHeight="1">
      <c r="G648" s="113"/>
      <c r="J648" s="28">
        <f>IFERROR(VLOOKUP(TEXT(B648,"0"),STOCK!A:H,7,0),1)</f>
        <v>1</v>
      </c>
    </row>
    <row r="649" spans="7:10" ht="35.450000000000003" hidden="1" customHeight="1">
      <c r="G649" s="113"/>
      <c r="J649" s="28">
        <f>IFERROR(VLOOKUP(TEXT(B649,"0"),STOCK!A:H,7,0),1)</f>
        <v>1</v>
      </c>
    </row>
    <row r="650" spans="7:10" ht="35.450000000000003" hidden="1" customHeight="1">
      <c r="G650" s="113"/>
      <c r="J650" s="28">
        <f>IFERROR(VLOOKUP(TEXT(B650,"0"),STOCK!A:H,7,0),1)</f>
        <v>1</v>
      </c>
    </row>
    <row r="651" spans="7:10" ht="35.450000000000003" hidden="1" customHeight="1">
      <c r="G651" s="113"/>
      <c r="J651" s="28">
        <f>IFERROR(VLOOKUP(TEXT(B651,"0"),STOCK!A:H,7,0),1)</f>
        <v>1</v>
      </c>
    </row>
    <row r="652" spans="7:10" ht="35.450000000000003" hidden="1" customHeight="1">
      <c r="G652" s="113"/>
      <c r="J652" s="28">
        <f>IFERROR(VLOOKUP(TEXT(B652,"0"),STOCK!A:H,7,0),1)</f>
        <v>1</v>
      </c>
    </row>
    <row r="653" spans="7:10" ht="35.450000000000003" hidden="1" customHeight="1">
      <c r="G653" s="113"/>
      <c r="J653" s="28">
        <f>IFERROR(VLOOKUP(TEXT(B653,"0"),STOCK!A:H,7,0),1)</f>
        <v>1</v>
      </c>
    </row>
    <row r="654" spans="7:10" ht="35.450000000000003" hidden="1" customHeight="1">
      <c r="G654" s="113"/>
      <c r="J654" s="28">
        <f>IFERROR(VLOOKUP(TEXT(B654,"0"),STOCK!A:H,7,0),1)</f>
        <v>1</v>
      </c>
    </row>
    <row r="655" spans="7:10" ht="35.450000000000003" hidden="1" customHeight="1">
      <c r="G655" s="113"/>
      <c r="J655" s="28">
        <f>IFERROR(VLOOKUP(TEXT(B655,"0"),STOCK!A:H,7,0),1)</f>
        <v>1</v>
      </c>
    </row>
    <row r="656" spans="7:10" ht="35.450000000000003" hidden="1" customHeight="1">
      <c r="G656" s="113"/>
      <c r="J656" s="28">
        <f>IFERROR(VLOOKUP(TEXT(B656,"0"),STOCK!A:H,7,0),1)</f>
        <v>1</v>
      </c>
    </row>
    <row r="657" spans="7:10" ht="35.450000000000003" hidden="1" customHeight="1">
      <c r="G657" s="113"/>
      <c r="J657" s="28">
        <f>IFERROR(VLOOKUP(TEXT(B657,"0"),STOCK!A:H,7,0),1)</f>
        <v>1</v>
      </c>
    </row>
    <row r="658" spans="7:10" ht="35.450000000000003" hidden="1" customHeight="1">
      <c r="G658" s="113"/>
      <c r="J658" s="28">
        <f>IFERROR(VLOOKUP(TEXT(B658,"0"),STOCK!A:H,7,0),1)</f>
        <v>1</v>
      </c>
    </row>
    <row r="659" spans="7:10" ht="35.450000000000003" hidden="1" customHeight="1">
      <c r="G659" s="113"/>
      <c r="J659" s="28">
        <f>IFERROR(VLOOKUP(TEXT(B659,"0"),STOCK!A:H,7,0),1)</f>
        <v>1</v>
      </c>
    </row>
    <row r="660" spans="7:10" ht="35.450000000000003" hidden="1" customHeight="1">
      <c r="G660" s="113"/>
      <c r="J660" s="28">
        <f>IFERROR(VLOOKUP(TEXT(B660,"0"),STOCK!A:H,7,0),1)</f>
        <v>1</v>
      </c>
    </row>
    <row r="661" spans="7:10" ht="35.450000000000003" hidden="1" customHeight="1">
      <c r="G661" s="113"/>
      <c r="J661" s="28">
        <f>IFERROR(VLOOKUP(TEXT(B661,"0"),STOCK!A:H,7,0),1)</f>
        <v>1</v>
      </c>
    </row>
    <row r="662" spans="7:10" ht="35.450000000000003" hidden="1" customHeight="1">
      <c r="G662" s="113"/>
      <c r="J662" s="28">
        <f>IFERROR(VLOOKUP(TEXT(B662,"0"),STOCK!A:H,7,0),1)</f>
        <v>1</v>
      </c>
    </row>
    <row r="663" spans="7:10" ht="35.450000000000003" hidden="1" customHeight="1">
      <c r="G663" s="113"/>
      <c r="J663" s="28">
        <f>IFERROR(VLOOKUP(TEXT(B663,"0"),STOCK!A:H,7,0),1)</f>
        <v>1</v>
      </c>
    </row>
    <row r="664" spans="7:10" ht="35.450000000000003" hidden="1" customHeight="1">
      <c r="G664" s="113"/>
      <c r="J664" s="28">
        <f>IFERROR(VLOOKUP(TEXT(B664,"0"),STOCK!A:H,7,0),1)</f>
        <v>1</v>
      </c>
    </row>
    <row r="665" spans="7:10" ht="35.450000000000003" hidden="1" customHeight="1">
      <c r="G665" s="113"/>
      <c r="J665" s="28">
        <f>IFERROR(VLOOKUP(TEXT(B665,"0"),STOCK!A:H,7,0),1)</f>
        <v>1</v>
      </c>
    </row>
    <row r="666" spans="7:10" ht="35.450000000000003" hidden="1" customHeight="1">
      <c r="G666" s="113"/>
      <c r="J666" s="28">
        <f>IFERROR(VLOOKUP(TEXT(B666,"0"),STOCK!A:H,7,0),1)</f>
        <v>1</v>
      </c>
    </row>
    <row r="667" spans="7:10" ht="35.450000000000003" hidden="1" customHeight="1">
      <c r="G667" s="113"/>
      <c r="J667" s="28">
        <f>IFERROR(VLOOKUP(TEXT(B667,"0"),STOCK!A:H,7,0),1)</f>
        <v>1</v>
      </c>
    </row>
    <row r="668" spans="7:10" ht="35.450000000000003" hidden="1" customHeight="1">
      <c r="G668" s="113"/>
      <c r="J668" s="28">
        <f>IFERROR(VLOOKUP(TEXT(B668,"0"),STOCK!A:H,7,0),1)</f>
        <v>1</v>
      </c>
    </row>
    <row r="669" spans="7:10" ht="35.450000000000003" hidden="1" customHeight="1">
      <c r="G669" s="113"/>
      <c r="J669" s="28">
        <f>IFERROR(VLOOKUP(TEXT(B669,"0"),STOCK!A:H,7,0),1)</f>
        <v>1</v>
      </c>
    </row>
    <row r="670" spans="7:10" ht="35.450000000000003" hidden="1" customHeight="1">
      <c r="G670" s="113"/>
      <c r="J670" s="28">
        <f>IFERROR(VLOOKUP(TEXT(B670,"0"),STOCK!A:H,7,0),1)</f>
        <v>1</v>
      </c>
    </row>
    <row r="671" spans="7:10" ht="35.450000000000003" hidden="1" customHeight="1">
      <c r="G671" s="113"/>
      <c r="J671" s="28">
        <f>IFERROR(VLOOKUP(TEXT(B671,"0"),STOCK!A:H,7,0),1)</f>
        <v>1</v>
      </c>
    </row>
    <row r="672" spans="7:10" ht="35.450000000000003" hidden="1" customHeight="1">
      <c r="G672" s="113"/>
      <c r="J672" s="28">
        <f>IFERROR(VLOOKUP(TEXT(B672,"0"),STOCK!A:H,7,0),1)</f>
        <v>1</v>
      </c>
    </row>
    <row r="673" spans="7:10" ht="35.450000000000003" hidden="1" customHeight="1">
      <c r="G673" s="113"/>
      <c r="J673" s="28">
        <f>IFERROR(VLOOKUP(TEXT(B673,"0"),STOCK!A:H,7,0),1)</f>
        <v>1</v>
      </c>
    </row>
    <row r="674" spans="7:10" ht="35.450000000000003" hidden="1" customHeight="1">
      <c r="G674" s="113"/>
      <c r="J674" s="28">
        <f>IFERROR(VLOOKUP(TEXT(B674,"0"),STOCK!A:H,7,0),1)</f>
        <v>1</v>
      </c>
    </row>
    <row r="675" spans="7:10" ht="35.450000000000003" hidden="1" customHeight="1">
      <c r="G675" s="113"/>
      <c r="J675" s="28">
        <f>IFERROR(VLOOKUP(TEXT(B675,"0"),STOCK!A:H,7,0),1)</f>
        <v>1</v>
      </c>
    </row>
    <row r="676" spans="7:10" ht="35.450000000000003" hidden="1" customHeight="1">
      <c r="G676" s="113"/>
      <c r="J676" s="28">
        <f>IFERROR(VLOOKUP(TEXT(B676,"0"),STOCK!A:H,7,0),1)</f>
        <v>1</v>
      </c>
    </row>
    <row r="677" spans="7:10" ht="35.450000000000003" hidden="1" customHeight="1">
      <c r="G677" s="113"/>
      <c r="J677" s="28">
        <f>IFERROR(VLOOKUP(TEXT(B677,"0"),STOCK!A:H,7,0),1)</f>
        <v>1</v>
      </c>
    </row>
    <row r="678" spans="7:10" ht="35.450000000000003" hidden="1" customHeight="1">
      <c r="G678" s="113"/>
      <c r="J678" s="28">
        <f>IFERROR(VLOOKUP(TEXT(B678,"0"),STOCK!A:H,7,0),1)</f>
        <v>1</v>
      </c>
    </row>
    <row r="679" spans="7:10" ht="35.450000000000003" hidden="1" customHeight="1">
      <c r="G679" s="113"/>
      <c r="J679" s="28">
        <f>IFERROR(VLOOKUP(TEXT(B679,"0"),STOCK!A:H,7,0),1)</f>
        <v>1</v>
      </c>
    </row>
    <row r="680" spans="7:10" ht="35.450000000000003" hidden="1" customHeight="1">
      <c r="G680" s="113"/>
      <c r="J680" s="28">
        <f>IFERROR(VLOOKUP(TEXT(B680,"0"),STOCK!A:H,7,0),1)</f>
        <v>1</v>
      </c>
    </row>
    <row r="681" spans="7:10" ht="35.450000000000003" hidden="1" customHeight="1">
      <c r="G681" s="113"/>
      <c r="J681" s="28">
        <f>IFERROR(VLOOKUP(TEXT(B681,"0"),STOCK!A:H,7,0),1)</f>
        <v>1</v>
      </c>
    </row>
    <row r="682" spans="7:10" ht="35.450000000000003" hidden="1" customHeight="1">
      <c r="G682" s="113"/>
      <c r="J682" s="28">
        <f>IFERROR(VLOOKUP(TEXT(B682,"0"),STOCK!A:H,7,0),1)</f>
        <v>1</v>
      </c>
    </row>
    <row r="683" spans="7:10" ht="35.450000000000003" hidden="1" customHeight="1">
      <c r="G683" s="113"/>
      <c r="J683" s="28">
        <f>IFERROR(VLOOKUP(TEXT(B683,"0"),STOCK!A:H,7,0),1)</f>
        <v>1</v>
      </c>
    </row>
    <row r="684" spans="7:10" ht="35.450000000000003" hidden="1" customHeight="1">
      <c r="G684" s="113"/>
      <c r="J684" s="28">
        <f>IFERROR(VLOOKUP(TEXT(B684,"0"),STOCK!A:H,7,0),1)</f>
        <v>1</v>
      </c>
    </row>
    <row r="685" spans="7:10" ht="35.450000000000003" hidden="1" customHeight="1">
      <c r="G685" s="113"/>
      <c r="J685" s="28">
        <f>IFERROR(VLOOKUP(TEXT(B685,"0"),STOCK!A:H,7,0),1)</f>
        <v>1</v>
      </c>
    </row>
    <row r="686" spans="7:10" ht="35.450000000000003" hidden="1" customHeight="1">
      <c r="G686" s="113"/>
      <c r="J686" s="28">
        <f>IFERROR(VLOOKUP(TEXT(B686,"0"),STOCK!A:H,7,0),1)</f>
        <v>1</v>
      </c>
    </row>
    <row r="687" spans="7:10" ht="35.450000000000003" hidden="1" customHeight="1">
      <c r="G687" s="113"/>
      <c r="J687" s="28">
        <f>IFERROR(VLOOKUP(TEXT(B687,"0"),STOCK!A:H,7,0),1)</f>
        <v>1</v>
      </c>
    </row>
    <row r="688" spans="7:10" ht="35.450000000000003" hidden="1" customHeight="1">
      <c r="G688" s="113"/>
      <c r="J688" s="28">
        <f>IFERROR(VLOOKUP(TEXT(B688,"0"),STOCK!A:H,7,0),1)</f>
        <v>1</v>
      </c>
    </row>
    <row r="689" spans="7:10" ht="35.450000000000003" hidden="1" customHeight="1">
      <c r="G689" s="113"/>
      <c r="J689" s="28">
        <f>IFERROR(VLOOKUP(TEXT(B689,"0"),STOCK!A:H,7,0),1)</f>
        <v>1</v>
      </c>
    </row>
    <row r="690" spans="7:10" ht="35.450000000000003" hidden="1" customHeight="1">
      <c r="G690" s="113"/>
      <c r="J690" s="28">
        <f>IFERROR(VLOOKUP(TEXT(B690,"0"),STOCK!A:H,7,0),1)</f>
        <v>1</v>
      </c>
    </row>
    <row r="691" spans="7:10" ht="35.450000000000003" hidden="1" customHeight="1">
      <c r="G691" s="113"/>
      <c r="J691" s="28">
        <f>IFERROR(VLOOKUP(TEXT(B691,"0"),STOCK!A:H,7,0),1)</f>
        <v>1</v>
      </c>
    </row>
    <row r="692" spans="7:10" ht="35.450000000000003" hidden="1" customHeight="1">
      <c r="G692" s="113"/>
      <c r="J692" s="28">
        <f>IFERROR(VLOOKUP(TEXT(B692,"0"),STOCK!A:H,7,0),1)</f>
        <v>1</v>
      </c>
    </row>
    <row r="693" spans="7:10" ht="35.450000000000003" hidden="1" customHeight="1">
      <c r="G693" s="113"/>
      <c r="J693" s="28">
        <f>IFERROR(VLOOKUP(TEXT(B693,"0"),STOCK!A:H,7,0),1)</f>
        <v>1</v>
      </c>
    </row>
    <row r="694" spans="7:10" ht="35.450000000000003" hidden="1" customHeight="1">
      <c r="G694" s="113"/>
      <c r="J694" s="28">
        <f>IFERROR(VLOOKUP(TEXT(B694,"0"),STOCK!A:H,7,0),1)</f>
        <v>1</v>
      </c>
    </row>
    <row r="695" spans="7:10" ht="35.450000000000003" hidden="1" customHeight="1">
      <c r="G695" s="113"/>
      <c r="J695" s="28">
        <f>IFERROR(VLOOKUP(TEXT(B695,"0"),STOCK!A:H,7,0),1)</f>
        <v>1</v>
      </c>
    </row>
    <row r="696" spans="7:10" ht="35.450000000000003" hidden="1" customHeight="1">
      <c r="G696" s="113"/>
      <c r="J696" s="28">
        <f>IFERROR(VLOOKUP(TEXT(B696,"0"),STOCK!A:H,7,0),1)</f>
        <v>1</v>
      </c>
    </row>
    <row r="697" spans="7:10" ht="35.450000000000003" hidden="1" customHeight="1">
      <c r="G697" s="113"/>
      <c r="J697" s="28">
        <f>IFERROR(VLOOKUP(TEXT(B697,"0"),STOCK!A:H,7,0),1)</f>
        <v>1</v>
      </c>
    </row>
    <row r="698" spans="7:10" ht="35.450000000000003" hidden="1" customHeight="1">
      <c r="G698" s="113"/>
      <c r="J698" s="28">
        <f>IFERROR(VLOOKUP(TEXT(B698,"0"),STOCK!A:H,7,0),1)</f>
        <v>1</v>
      </c>
    </row>
    <row r="699" spans="7:10" ht="35.450000000000003" hidden="1" customHeight="1">
      <c r="G699" s="113"/>
      <c r="J699" s="28">
        <f>IFERROR(VLOOKUP(TEXT(B699,"0"),STOCK!A:H,7,0),1)</f>
        <v>1</v>
      </c>
    </row>
    <row r="700" spans="7:10" ht="35.450000000000003" hidden="1" customHeight="1">
      <c r="G700" s="113"/>
      <c r="J700" s="28">
        <f>IFERROR(VLOOKUP(TEXT(B700,"0"),STOCK!A:H,7,0),1)</f>
        <v>1</v>
      </c>
    </row>
    <row r="701" spans="7:10" ht="35.450000000000003" hidden="1" customHeight="1">
      <c r="G701" s="113"/>
      <c r="J701" s="28">
        <f>IFERROR(VLOOKUP(TEXT(B701,"0"),STOCK!A:H,7,0),1)</f>
        <v>1</v>
      </c>
    </row>
    <row r="702" spans="7:10" ht="35.450000000000003" hidden="1" customHeight="1">
      <c r="G702" s="113"/>
      <c r="J702" s="28">
        <f>IFERROR(VLOOKUP(TEXT(B702,"0"),STOCK!A:H,7,0),1)</f>
        <v>1</v>
      </c>
    </row>
    <row r="703" spans="7:10" ht="35.450000000000003" hidden="1" customHeight="1">
      <c r="G703" s="113"/>
      <c r="J703" s="28">
        <f>IFERROR(VLOOKUP(TEXT(B703,"0"),STOCK!A:H,7,0),1)</f>
        <v>1</v>
      </c>
    </row>
    <row r="704" spans="7:10" ht="35.450000000000003" hidden="1" customHeight="1">
      <c r="G704" s="113"/>
      <c r="J704" s="28">
        <f>IFERROR(VLOOKUP(TEXT(B704,"0"),STOCK!A:H,7,0),1)</f>
        <v>1</v>
      </c>
    </row>
    <row r="705" spans="7:10" ht="35.450000000000003" hidden="1" customHeight="1">
      <c r="G705" s="113"/>
      <c r="J705" s="28">
        <f>IFERROR(VLOOKUP(TEXT(B705,"0"),STOCK!A:H,7,0),1)</f>
        <v>1</v>
      </c>
    </row>
    <row r="706" spans="7:10" ht="35.450000000000003" hidden="1" customHeight="1">
      <c r="G706" s="113"/>
      <c r="J706" s="28">
        <f>IFERROR(VLOOKUP(TEXT(B706,"0"),STOCK!A:H,7,0),1)</f>
        <v>1</v>
      </c>
    </row>
    <row r="707" spans="7:10" ht="35.450000000000003" hidden="1" customHeight="1">
      <c r="G707" s="113"/>
      <c r="J707" s="28">
        <f>IFERROR(VLOOKUP(TEXT(B707,"0"),STOCK!A:H,7,0),1)</f>
        <v>1</v>
      </c>
    </row>
    <row r="708" spans="7:10" ht="35.450000000000003" hidden="1" customHeight="1">
      <c r="G708" s="113"/>
      <c r="J708" s="28">
        <f>IFERROR(VLOOKUP(TEXT(B708,"0"),STOCK!A:H,7,0),1)</f>
        <v>1</v>
      </c>
    </row>
    <row r="709" spans="7:10" ht="35.450000000000003" hidden="1" customHeight="1">
      <c r="G709" s="113"/>
      <c r="J709" s="28">
        <f>IFERROR(VLOOKUP(TEXT(B709,"0"),STOCK!A:H,7,0),1)</f>
        <v>1</v>
      </c>
    </row>
    <row r="710" spans="7:10" ht="35.450000000000003" hidden="1" customHeight="1">
      <c r="G710" s="113"/>
      <c r="J710" s="28">
        <f>IFERROR(VLOOKUP(TEXT(B710,"0"),STOCK!A:H,7,0),1)</f>
        <v>1</v>
      </c>
    </row>
    <row r="711" spans="7:10" ht="35.450000000000003" hidden="1" customHeight="1">
      <c r="G711" s="113"/>
      <c r="J711" s="28">
        <f>IFERROR(VLOOKUP(TEXT(B711,"0"),STOCK!A:H,7,0),1)</f>
        <v>1</v>
      </c>
    </row>
    <row r="712" spans="7:10" ht="35.450000000000003" hidden="1" customHeight="1">
      <c r="G712" s="113"/>
      <c r="J712" s="28">
        <f>IFERROR(VLOOKUP(TEXT(B712,"0"),STOCK!A:H,7,0),1)</f>
        <v>1</v>
      </c>
    </row>
    <row r="713" spans="7:10" ht="35.450000000000003" hidden="1" customHeight="1">
      <c r="G713" s="113"/>
      <c r="J713" s="28">
        <f>IFERROR(VLOOKUP(TEXT(B713,"0"),STOCK!A:H,7,0),1)</f>
        <v>1</v>
      </c>
    </row>
    <row r="714" spans="7:10" ht="35.450000000000003" hidden="1" customHeight="1">
      <c r="G714" s="113"/>
      <c r="J714" s="28">
        <f>IFERROR(VLOOKUP(TEXT(B714,"0"),STOCK!A:H,7,0),1)</f>
        <v>1</v>
      </c>
    </row>
    <row r="715" spans="7:10" ht="35.450000000000003" hidden="1" customHeight="1">
      <c r="G715" s="113"/>
      <c r="J715" s="28">
        <f>IFERROR(VLOOKUP(TEXT(B715,"0"),STOCK!A:H,7,0),1)</f>
        <v>1</v>
      </c>
    </row>
    <row r="716" spans="7:10" ht="35.450000000000003" hidden="1" customHeight="1">
      <c r="G716" s="113"/>
      <c r="J716" s="28">
        <f>IFERROR(VLOOKUP(TEXT(B716,"0"),STOCK!A:H,7,0),1)</f>
        <v>1</v>
      </c>
    </row>
    <row r="717" spans="7:10" ht="35.450000000000003" hidden="1" customHeight="1">
      <c r="G717" s="113"/>
      <c r="J717" s="28">
        <f>IFERROR(VLOOKUP(TEXT(B717,"0"),STOCK!A:H,7,0),1)</f>
        <v>1</v>
      </c>
    </row>
    <row r="718" spans="7:10" ht="35.450000000000003" hidden="1" customHeight="1">
      <c r="G718" s="113"/>
      <c r="J718" s="28">
        <f>IFERROR(VLOOKUP(TEXT(B718,"0"),STOCK!A:H,7,0),1)</f>
        <v>1</v>
      </c>
    </row>
    <row r="719" spans="7:10" ht="35.450000000000003" hidden="1" customHeight="1">
      <c r="G719" s="113"/>
      <c r="J719" s="28">
        <f>IFERROR(VLOOKUP(TEXT(B719,"0"),STOCK!A:H,7,0),1)</f>
        <v>1</v>
      </c>
    </row>
    <row r="720" spans="7:10" ht="35.450000000000003" hidden="1" customHeight="1">
      <c r="G720" s="113"/>
      <c r="J720" s="28">
        <f>IFERROR(VLOOKUP(TEXT(B720,"0"),STOCK!A:H,7,0),1)</f>
        <v>1</v>
      </c>
    </row>
    <row r="721" spans="7:10" ht="35.450000000000003" hidden="1" customHeight="1">
      <c r="G721" s="113"/>
      <c r="J721" s="28">
        <f>IFERROR(VLOOKUP(TEXT(B721,"0"),STOCK!A:H,7,0),1)</f>
        <v>1</v>
      </c>
    </row>
    <row r="722" spans="7:10" ht="35.450000000000003" hidden="1" customHeight="1">
      <c r="G722" s="113"/>
      <c r="J722" s="28">
        <f>IFERROR(VLOOKUP(TEXT(B722,"0"),STOCK!A:H,7,0),1)</f>
        <v>1</v>
      </c>
    </row>
    <row r="723" spans="7:10" ht="35.450000000000003" hidden="1" customHeight="1">
      <c r="G723" s="113"/>
      <c r="J723" s="28">
        <f>IFERROR(VLOOKUP(TEXT(B723,"0"),STOCK!A:H,7,0),1)</f>
        <v>1</v>
      </c>
    </row>
    <row r="724" spans="7:10" ht="35.450000000000003" hidden="1" customHeight="1">
      <c r="G724" s="113"/>
      <c r="J724" s="28">
        <f>IFERROR(VLOOKUP(TEXT(B724,"0"),STOCK!A:H,7,0),1)</f>
        <v>1</v>
      </c>
    </row>
    <row r="725" spans="7:10" ht="35.450000000000003" hidden="1" customHeight="1">
      <c r="G725" s="113"/>
      <c r="J725" s="28">
        <f>IFERROR(VLOOKUP(TEXT(B725,"0"),STOCK!A:H,7,0),1)</f>
        <v>1</v>
      </c>
    </row>
    <row r="726" spans="7:10" ht="35.450000000000003" hidden="1" customHeight="1">
      <c r="G726" s="113"/>
      <c r="J726" s="28">
        <f>IFERROR(VLOOKUP(TEXT(B726,"0"),STOCK!A:H,7,0),1)</f>
        <v>1</v>
      </c>
    </row>
    <row r="727" spans="7:10" ht="35.450000000000003" hidden="1" customHeight="1">
      <c r="G727" s="113"/>
      <c r="J727" s="28">
        <f>IFERROR(VLOOKUP(TEXT(B727,"0"),STOCK!A:H,7,0),1)</f>
        <v>1</v>
      </c>
    </row>
    <row r="728" spans="7:10" ht="35.450000000000003" hidden="1" customHeight="1">
      <c r="G728" s="113"/>
      <c r="J728" s="28">
        <f>IFERROR(VLOOKUP(TEXT(B728,"0"),STOCK!A:H,7,0),1)</f>
        <v>1</v>
      </c>
    </row>
    <row r="729" spans="7:10" ht="35.450000000000003" hidden="1" customHeight="1">
      <c r="G729" s="113"/>
      <c r="J729" s="28">
        <f>IFERROR(VLOOKUP(TEXT(B729,"0"),STOCK!A:H,7,0),1)</f>
        <v>1</v>
      </c>
    </row>
    <row r="730" spans="7:10" ht="35.450000000000003" hidden="1" customHeight="1">
      <c r="G730" s="113"/>
      <c r="J730" s="28">
        <f>IFERROR(VLOOKUP(TEXT(B730,"0"),STOCK!A:H,7,0),1)</f>
        <v>1</v>
      </c>
    </row>
    <row r="731" spans="7:10" ht="35.450000000000003" hidden="1" customHeight="1">
      <c r="G731" s="113"/>
      <c r="J731" s="28">
        <f>IFERROR(VLOOKUP(TEXT(B731,"0"),STOCK!A:H,7,0),1)</f>
        <v>1</v>
      </c>
    </row>
    <row r="732" spans="7:10" ht="35.450000000000003" hidden="1" customHeight="1">
      <c r="G732" s="113"/>
      <c r="J732" s="28">
        <f>IFERROR(VLOOKUP(TEXT(B732,"0"),STOCK!A:H,7,0),1)</f>
        <v>1</v>
      </c>
    </row>
    <row r="733" spans="7:10" ht="35.450000000000003" hidden="1" customHeight="1">
      <c r="G733" s="113"/>
      <c r="J733" s="28">
        <f>IFERROR(VLOOKUP(TEXT(B733,"0"),STOCK!A:H,7,0),1)</f>
        <v>1</v>
      </c>
    </row>
    <row r="734" spans="7:10" ht="35.450000000000003" hidden="1" customHeight="1">
      <c r="G734" s="113"/>
      <c r="J734" s="28">
        <f>IFERROR(VLOOKUP(TEXT(B734,"0"),STOCK!A:H,7,0),1)</f>
        <v>1</v>
      </c>
    </row>
    <row r="735" spans="7:10" ht="35.450000000000003" hidden="1" customHeight="1">
      <c r="G735" s="113"/>
      <c r="J735" s="28">
        <f>IFERROR(VLOOKUP(TEXT(B735,"0"),STOCK!A:H,7,0),1)</f>
        <v>1</v>
      </c>
    </row>
    <row r="736" spans="7:10" ht="35.450000000000003" hidden="1" customHeight="1">
      <c r="G736" s="113"/>
      <c r="J736" s="28">
        <f>IFERROR(VLOOKUP(TEXT(B736,"0"),STOCK!A:H,7,0),1)</f>
        <v>1</v>
      </c>
    </row>
    <row r="737" spans="7:10" ht="35.450000000000003" hidden="1" customHeight="1">
      <c r="G737" s="113"/>
      <c r="J737" s="28">
        <f>IFERROR(VLOOKUP(TEXT(B737,"0"),STOCK!A:H,7,0),1)</f>
        <v>1</v>
      </c>
    </row>
    <row r="738" spans="7:10" ht="35.450000000000003" hidden="1" customHeight="1">
      <c r="G738" s="113"/>
      <c r="J738" s="28">
        <f>IFERROR(VLOOKUP(TEXT(B738,"0"),STOCK!A:H,7,0),1)</f>
        <v>1</v>
      </c>
    </row>
    <row r="739" spans="7:10" ht="35.450000000000003" hidden="1" customHeight="1">
      <c r="G739" s="113"/>
      <c r="J739" s="28">
        <f>IFERROR(VLOOKUP(TEXT(B739,"0"),STOCK!A:H,7,0),1)</f>
        <v>1</v>
      </c>
    </row>
    <row r="740" spans="7:10" ht="35.450000000000003" hidden="1" customHeight="1">
      <c r="G740" s="113"/>
      <c r="J740" s="28">
        <f>IFERROR(VLOOKUP(TEXT(B740,"0"),STOCK!A:H,7,0),1)</f>
        <v>1</v>
      </c>
    </row>
    <row r="741" spans="7:10" ht="35.450000000000003" hidden="1" customHeight="1">
      <c r="G741" s="113"/>
      <c r="J741" s="28">
        <f>IFERROR(VLOOKUP(TEXT(B741,"0"),STOCK!A:H,7,0),1)</f>
        <v>1</v>
      </c>
    </row>
    <row r="742" spans="7:10" ht="35.450000000000003" hidden="1" customHeight="1">
      <c r="G742" s="113"/>
      <c r="J742" s="28">
        <f>IFERROR(VLOOKUP(TEXT(B742,"0"),STOCK!A:H,7,0),1)</f>
        <v>1</v>
      </c>
    </row>
    <row r="743" spans="7:10" ht="35.450000000000003" hidden="1" customHeight="1">
      <c r="G743" s="113"/>
      <c r="J743" s="28">
        <f>IFERROR(VLOOKUP(TEXT(B743,"0"),STOCK!A:H,7,0),1)</f>
        <v>1</v>
      </c>
    </row>
    <row r="744" spans="7:10" ht="35.450000000000003" hidden="1" customHeight="1">
      <c r="G744" s="113"/>
      <c r="J744" s="28">
        <f>IFERROR(VLOOKUP(TEXT(B744,"0"),STOCK!A:H,7,0),1)</f>
        <v>1</v>
      </c>
    </row>
    <row r="745" spans="7:10" ht="35.450000000000003" hidden="1" customHeight="1">
      <c r="G745" s="113"/>
      <c r="J745" s="28">
        <f>IFERROR(VLOOKUP(TEXT(B745,"0"),STOCK!A:H,7,0),1)</f>
        <v>1</v>
      </c>
    </row>
    <row r="746" spans="7:10" ht="35.450000000000003" hidden="1" customHeight="1">
      <c r="G746" s="113"/>
      <c r="J746" s="28">
        <f>IFERROR(VLOOKUP(TEXT(B746,"0"),STOCK!A:H,7,0),1)</f>
        <v>1</v>
      </c>
    </row>
    <row r="747" spans="7:10" ht="35.450000000000003" hidden="1" customHeight="1">
      <c r="G747" s="113"/>
      <c r="J747" s="28">
        <f>IFERROR(VLOOKUP(TEXT(B747,"0"),STOCK!A:H,7,0),1)</f>
        <v>1</v>
      </c>
    </row>
    <row r="748" spans="7:10" ht="35.450000000000003" hidden="1" customHeight="1">
      <c r="G748" s="113"/>
      <c r="J748" s="28">
        <f>IFERROR(VLOOKUP(TEXT(B748,"0"),STOCK!A:H,7,0),1)</f>
        <v>1</v>
      </c>
    </row>
    <row r="749" spans="7:10" ht="35.450000000000003" hidden="1" customHeight="1">
      <c r="G749" s="113"/>
      <c r="J749" s="28">
        <f>IFERROR(VLOOKUP(TEXT(B749,"0"),STOCK!A:H,7,0),1)</f>
        <v>1</v>
      </c>
    </row>
    <row r="750" spans="7:10" ht="35.450000000000003" hidden="1" customHeight="1">
      <c r="G750" s="113"/>
      <c r="J750" s="28">
        <f>IFERROR(VLOOKUP(TEXT(B750,"0"),STOCK!A:H,7,0),1)</f>
        <v>1</v>
      </c>
    </row>
    <row r="751" spans="7:10" ht="35.450000000000003" hidden="1" customHeight="1">
      <c r="G751" s="113"/>
      <c r="J751" s="28">
        <f>IFERROR(VLOOKUP(TEXT(B751,"0"),STOCK!A:H,7,0),1)</f>
        <v>1</v>
      </c>
    </row>
    <row r="752" spans="7:10" ht="35.450000000000003" hidden="1" customHeight="1">
      <c r="G752" s="113"/>
      <c r="J752" s="28">
        <f>IFERROR(VLOOKUP(TEXT(B752,"0"),STOCK!A:H,7,0),1)</f>
        <v>1</v>
      </c>
    </row>
    <row r="753" spans="7:10" ht="35.450000000000003" hidden="1" customHeight="1">
      <c r="G753" s="113"/>
      <c r="J753" s="28">
        <f>IFERROR(VLOOKUP(TEXT(B753,"0"),STOCK!A:H,7,0),1)</f>
        <v>1</v>
      </c>
    </row>
    <row r="754" spans="7:10" ht="35.450000000000003" hidden="1" customHeight="1">
      <c r="G754" s="113"/>
      <c r="J754" s="28">
        <f>IFERROR(VLOOKUP(TEXT(B754,"0"),STOCK!A:H,7,0),1)</f>
        <v>1</v>
      </c>
    </row>
    <row r="755" spans="7:10" ht="35.450000000000003" hidden="1" customHeight="1">
      <c r="G755" s="113"/>
      <c r="J755" s="28">
        <f>IFERROR(VLOOKUP(TEXT(B755,"0"),STOCK!A:H,7,0),1)</f>
        <v>1</v>
      </c>
    </row>
    <row r="756" spans="7:10" ht="35.450000000000003" hidden="1" customHeight="1">
      <c r="G756" s="113"/>
      <c r="J756" s="28">
        <f>IFERROR(VLOOKUP(TEXT(B756,"0"),STOCK!A:H,7,0),1)</f>
        <v>1</v>
      </c>
    </row>
    <row r="757" spans="7:10" ht="35.450000000000003" hidden="1" customHeight="1">
      <c r="G757" s="113"/>
      <c r="J757" s="28">
        <f>IFERROR(VLOOKUP(TEXT(B757,"0"),STOCK!A:H,7,0),1)</f>
        <v>1</v>
      </c>
    </row>
    <row r="758" spans="7:10" ht="35.450000000000003" hidden="1" customHeight="1">
      <c r="G758" s="113"/>
      <c r="J758" s="28">
        <f>IFERROR(VLOOKUP(TEXT(B758,"0"),STOCK!A:H,7,0),1)</f>
        <v>1</v>
      </c>
    </row>
    <row r="759" spans="7:10" ht="35.450000000000003" hidden="1" customHeight="1">
      <c r="G759" s="113"/>
      <c r="J759" s="28">
        <f>IFERROR(VLOOKUP(TEXT(B759,"0"),STOCK!A:H,7,0),1)</f>
        <v>1</v>
      </c>
    </row>
    <row r="760" spans="7:10" ht="35.450000000000003" hidden="1" customHeight="1">
      <c r="G760" s="113"/>
      <c r="J760" s="28">
        <f>IFERROR(VLOOKUP(TEXT(B760,"0"),STOCK!A:H,7,0),1)</f>
        <v>1</v>
      </c>
    </row>
    <row r="761" spans="7:10" ht="35.450000000000003" hidden="1" customHeight="1">
      <c r="G761" s="113"/>
      <c r="J761" s="28">
        <f>IFERROR(VLOOKUP(TEXT(B761,"0"),STOCK!A:H,7,0),1)</f>
        <v>1</v>
      </c>
    </row>
    <row r="762" spans="7:10" ht="35.450000000000003" hidden="1" customHeight="1">
      <c r="G762" s="113"/>
      <c r="J762" s="28">
        <f>IFERROR(VLOOKUP(TEXT(B762,"0"),STOCK!A:H,7,0),1)</f>
        <v>1</v>
      </c>
    </row>
    <row r="763" spans="7:10" ht="35.450000000000003" hidden="1" customHeight="1">
      <c r="G763" s="113"/>
      <c r="J763" s="28">
        <f>IFERROR(VLOOKUP(TEXT(B763,"0"),STOCK!A:H,7,0),1)</f>
        <v>1</v>
      </c>
    </row>
    <row r="764" spans="7:10" ht="35.450000000000003" hidden="1" customHeight="1">
      <c r="G764" s="113"/>
      <c r="J764" s="28">
        <f>IFERROR(VLOOKUP(TEXT(B764,"0"),STOCK!A:H,7,0),1)</f>
        <v>1</v>
      </c>
    </row>
    <row r="765" spans="7:10" ht="35.450000000000003" hidden="1" customHeight="1">
      <c r="G765" s="113"/>
      <c r="J765" s="28">
        <f>IFERROR(VLOOKUP(TEXT(B765,"0"),STOCK!A:H,7,0),1)</f>
        <v>1</v>
      </c>
    </row>
    <row r="766" spans="7:10" ht="35.450000000000003" hidden="1" customHeight="1">
      <c r="G766" s="113"/>
      <c r="J766" s="28">
        <f>IFERROR(VLOOKUP(TEXT(B766,"0"),STOCK!A:H,7,0),1)</f>
        <v>1</v>
      </c>
    </row>
    <row r="767" spans="7:10" ht="35.450000000000003" hidden="1" customHeight="1">
      <c r="G767" s="113"/>
      <c r="J767" s="28">
        <f>IFERROR(VLOOKUP(TEXT(B767,"0"),STOCK!A:H,7,0),1)</f>
        <v>1</v>
      </c>
    </row>
    <row r="768" spans="7:10" ht="35.450000000000003" hidden="1" customHeight="1">
      <c r="G768" s="113"/>
      <c r="J768" s="28">
        <f>IFERROR(VLOOKUP(TEXT(B768,"0"),STOCK!A:H,7,0),1)</f>
        <v>1</v>
      </c>
    </row>
    <row r="769" spans="7:10" ht="35.450000000000003" hidden="1" customHeight="1">
      <c r="G769" s="113"/>
      <c r="J769" s="28">
        <f>IFERROR(VLOOKUP(TEXT(B769,"0"),STOCK!A:H,7,0),1)</f>
        <v>1</v>
      </c>
    </row>
    <row r="770" spans="7:10" ht="35.450000000000003" hidden="1" customHeight="1">
      <c r="G770" s="113"/>
      <c r="J770" s="28">
        <f>IFERROR(VLOOKUP(TEXT(B770,"0"),STOCK!A:H,7,0),1)</f>
        <v>1</v>
      </c>
    </row>
    <row r="771" spans="7:10" ht="35.450000000000003" hidden="1" customHeight="1">
      <c r="G771" s="113"/>
      <c r="J771" s="28">
        <f>IFERROR(VLOOKUP(TEXT(B771,"0"),STOCK!A:H,7,0),1)</f>
        <v>1</v>
      </c>
    </row>
    <row r="772" spans="7:10" ht="35.450000000000003" hidden="1" customHeight="1">
      <c r="G772" s="113"/>
      <c r="J772" s="28">
        <f>IFERROR(VLOOKUP(TEXT(B772,"0"),STOCK!A:H,7,0),1)</f>
        <v>1</v>
      </c>
    </row>
    <row r="773" spans="7:10" ht="35.450000000000003" hidden="1" customHeight="1">
      <c r="G773" s="113"/>
      <c r="J773" s="28">
        <f>IFERROR(VLOOKUP(TEXT(B773,"0"),STOCK!A:H,7,0),1)</f>
        <v>1</v>
      </c>
    </row>
    <row r="774" spans="7:10" ht="35.450000000000003" hidden="1" customHeight="1">
      <c r="G774" s="113"/>
      <c r="J774" s="28">
        <f>IFERROR(VLOOKUP(TEXT(B774,"0"),STOCK!A:H,7,0),1)</f>
        <v>1</v>
      </c>
    </row>
    <row r="775" spans="7:10" ht="35.450000000000003" hidden="1" customHeight="1">
      <c r="G775" s="113"/>
      <c r="J775" s="28">
        <f>IFERROR(VLOOKUP(TEXT(B775,"0"),STOCK!A:H,7,0),1)</f>
        <v>1</v>
      </c>
    </row>
    <row r="776" spans="7:10" ht="35.450000000000003" hidden="1" customHeight="1">
      <c r="G776" s="113"/>
      <c r="J776" s="28">
        <f>IFERROR(VLOOKUP(TEXT(B776,"0"),STOCK!A:H,7,0),1)</f>
        <v>1</v>
      </c>
    </row>
    <row r="777" spans="7:10" ht="35.450000000000003" hidden="1" customHeight="1">
      <c r="G777" s="113"/>
      <c r="J777" s="28">
        <f>IFERROR(VLOOKUP(TEXT(B777,"0"),STOCK!A:H,7,0),1)</f>
        <v>1</v>
      </c>
    </row>
    <row r="778" spans="7:10" ht="35.450000000000003" hidden="1" customHeight="1">
      <c r="G778" s="113"/>
      <c r="J778" s="28">
        <f>IFERROR(VLOOKUP(TEXT(B778,"0"),STOCK!A:H,7,0),1)</f>
        <v>1</v>
      </c>
    </row>
    <row r="779" spans="7:10" ht="35.450000000000003" hidden="1" customHeight="1">
      <c r="G779" s="113"/>
      <c r="J779" s="28">
        <f>IFERROR(VLOOKUP(TEXT(B779,"0"),STOCK!A:H,7,0),1)</f>
        <v>1</v>
      </c>
    </row>
    <row r="780" spans="7:10" ht="35.450000000000003" hidden="1" customHeight="1">
      <c r="G780" s="113"/>
      <c r="J780" s="28">
        <f>IFERROR(VLOOKUP(TEXT(B780,"0"),STOCK!A:H,7,0),1)</f>
        <v>1</v>
      </c>
    </row>
    <row r="781" spans="7:10" ht="35.450000000000003" hidden="1" customHeight="1">
      <c r="G781" s="113"/>
      <c r="J781" s="28">
        <f>IFERROR(VLOOKUP(TEXT(B781,"0"),STOCK!A:H,7,0),1)</f>
        <v>1</v>
      </c>
    </row>
    <row r="782" spans="7:10" ht="35.450000000000003" hidden="1" customHeight="1">
      <c r="G782" s="113"/>
      <c r="J782" s="28">
        <f>IFERROR(VLOOKUP(TEXT(B782,"0"),STOCK!A:H,7,0),1)</f>
        <v>1</v>
      </c>
    </row>
    <row r="783" spans="7:10" ht="35.450000000000003" hidden="1" customHeight="1">
      <c r="G783" s="113"/>
      <c r="J783" s="28">
        <f>IFERROR(VLOOKUP(TEXT(B783,"0"),STOCK!A:H,7,0),1)</f>
        <v>1</v>
      </c>
    </row>
    <row r="784" spans="7:10" ht="35.450000000000003" hidden="1" customHeight="1">
      <c r="G784" s="113"/>
      <c r="J784" s="28">
        <f>IFERROR(VLOOKUP(TEXT(B784,"0"),STOCK!A:H,7,0),1)</f>
        <v>1</v>
      </c>
    </row>
    <row r="785" spans="7:10" ht="35.450000000000003" hidden="1" customHeight="1">
      <c r="G785" s="113"/>
      <c r="J785" s="28">
        <f>IFERROR(VLOOKUP(TEXT(B785,"0"),STOCK!A:H,7,0),1)</f>
        <v>1</v>
      </c>
    </row>
    <row r="786" spans="7:10" ht="35.450000000000003" hidden="1" customHeight="1">
      <c r="G786" s="113"/>
      <c r="J786" s="28">
        <f>IFERROR(VLOOKUP(TEXT(B786,"0"),STOCK!A:H,7,0),1)</f>
        <v>1</v>
      </c>
    </row>
    <row r="787" spans="7:10" ht="35.450000000000003" hidden="1" customHeight="1">
      <c r="G787" s="113"/>
      <c r="J787" s="28">
        <f>IFERROR(VLOOKUP(TEXT(B787,"0"),STOCK!A:H,7,0),1)</f>
        <v>1</v>
      </c>
    </row>
    <row r="788" spans="7:10" ht="35.450000000000003" hidden="1" customHeight="1">
      <c r="G788" s="113"/>
      <c r="J788" s="28">
        <f>IFERROR(VLOOKUP(TEXT(B788,"0"),STOCK!A:H,7,0),1)</f>
        <v>1</v>
      </c>
    </row>
    <row r="789" spans="7:10" ht="35.450000000000003" hidden="1" customHeight="1">
      <c r="G789" s="113"/>
      <c r="J789" s="28">
        <f>IFERROR(VLOOKUP(TEXT(B789,"0"),STOCK!A:H,7,0),1)</f>
        <v>1</v>
      </c>
    </row>
    <row r="790" spans="7:10" ht="35.450000000000003" hidden="1" customHeight="1">
      <c r="G790" s="113"/>
      <c r="J790" s="28">
        <f>IFERROR(VLOOKUP(TEXT(B790,"0"),STOCK!A:H,7,0),1)</f>
        <v>1</v>
      </c>
    </row>
    <row r="791" spans="7:10" ht="35.450000000000003" hidden="1" customHeight="1">
      <c r="G791" s="113"/>
      <c r="J791" s="28">
        <f>IFERROR(VLOOKUP(TEXT(B791,"0"),STOCK!A:H,7,0),1)</f>
        <v>1</v>
      </c>
    </row>
    <row r="792" spans="7:10" ht="35.450000000000003" hidden="1" customHeight="1">
      <c r="G792" s="113"/>
      <c r="J792" s="28">
        <f>IFERROR(VLOOKUP(TEXT(B792,"0"),STOCK!A:H,7,0),1)</f>
        <v>1</v>
      </c>
    </row>
    <row r="793" spans="7:10" ht="35.450000000000003" hidden="1" customHeight="1">
      <c r="G793" s="113"/>
      <c r="J793" s="28">
        <f>IFERROR(VLOOKUP(TEXT(B793,"0"),STOCK!A:H,7,0),1)</f>
        <v>1</v>
      </c>
    </row>
    <row r="794" spans="7:10" ht="35.450000000000003" hidden="1" customHeight="1">
      <c r="G794" s="113"/>
      <c r="J794" s="28">
        <f>IFERROR(VLOOKUP(TEXT(B794,"0"),STOCK!A:H,7,0),1)</f>
        <v>1</v>
      </c>
    </row>
    <row r="795" spans="7:10" ht="35.450000000000003" hidden="1" customHeight="1">
      <c r="G795" s="113"/>
      <c r="J795" s="28">
        <f>IFERROR(VLOOKUP(TEXT(B795,"0"),STOCK!A:H,7,0),1)</f>
        <v>1</v>
      </c>
    </row>
    <row r="796" spans="7:10" ht="35.450000000000003" hidden="1" customHeight="1">
      <c r="G796" s="113"/>
      <c r="J796" s="28">
        <f>IFERROR(VLOOKUP(TEXT(B796,"0"),STOCK!A:H,7,0),1)</f>
        <v>1</v>
      </c>
    </row>
    <row r="797" spans="7:10" ht="35.450000000000003" hidden="1" customHeight="1">
      <c r="G797" s="113"/>
      <c r="J797" s="28">
        <f>IFERROR(VLOOKUP(TEXT(B797,"0"),STOCK!A:H,7,0),1)</f>
        <v>1</v>
      </c>
    </row>
    <row r="798" spans="7:10" ht="35.450000000000003" hidden="1" customHeight="1">
      <c r="G798" s="113"/>
      <c r="J798" s="28">
        <f>IFERROR(VLOOKUP(TEXT(B798,"0"),STOCK!A:H,7,0),1)</f>
        <v>1</v>
      </c>
    </row>
    <row r="799" spans="7:10" ht="35.450000000000003" hidden="1" customHeight="1">
      <c r="G799" s="113"/>
      <c r="J799" s="28">
        <f>IFERROR(VLOOKUP(TEXT(B799,"0"),STOCK!A:H,7,0),1)</f>
        <v>1</v>
      </c>
    </row>
    <row r="800" spans="7:10" ht="35.450000000000003" hidden="1" customHeight="1">
      <c r="G800" s="113"/>
      <c r="J800" s="28">
        <f>IFERROR(VLOOKUP(TEXT(B800,"0"),STOCK!A:H,7,0),1)</f>
        <v>1</v>
      </c>
    </row>
    <row r="801" spans="7:10" ht="35.450000000000003" hidden="1" customHeight="1">
      <c r="G801" s="113"/>
      <c r="J801" s="28">
        <f>IFERROR(VLOOKUP(TEXT(B801,"0"),STOCK!A:H,7,0),1)</f>
        <v>1</v>
      </c>
    </row>
    <row r="802" spans="7:10" ht="35.450000000000003" hidden="1" customHeight="1">
      <c r="G802" s="113"/>
      <c r="J802" s="28">
        <f>IFERROR(VLOOKUP(TEXT(B802,"0"),STOCK!A:H,7,0),1)</f>
        <v>1</v>
      </c>
    </row>
    <row r="803" spans="7:10" ht="35.450000000000003" hidden="1" customHeight="1">
      <c r="G803" s="113"/>
      <c r="J803" s="28">
        <f>IFERROR(VLOOKUP(TEXT(B803,"0"),STOCK!A:H,7,0),1)</f>
        <v>1</v>
      </c>
    </row>
    <row r="804" spans="7:10" ht="35.450000000000003" hidden="1" customHeight="1">
      <c r="G804" s="113"/>
      <c r="J804" s="28">
        <f>IFERROR(VLOOKUP(TEXT(B804,"0"),STOCK!A:H,7,0),1)</f>
        <v>1</v>
      </c>
    </row>
    <row r="805" spans="7:10" ht="35.450000000000003" hidden="1" customHeight="1">
      <c r="G805" s="113"/>
      <c r="J805" s="28">
        <f>IFERROR(VLOOKUP(TEXT(B805,"0"),STOCK!A:H,7,0),1)</f>
        <v>1</v>
      </c>
    </row>
    <row r="806" spans="7:10" ht="35.450000000000003" hidden="1" customHeight="1">
      <c r="G806" s="113"/>
      <c r="J806" s="28">
        <f>IFERROR(VLOOKUP(TEXT(B806,"0"),STOCK!A:H,7,0),1)</f>
        <v>1</v>
      </c>
    </row>
    <row r="807" spans="7:10" ht="35.450000000000003" hidden="1" customHeight="1">
      <c r="G807" s="113"/>
      <c r="J807" s="28">
        <f>IFERROR(VLOOKUP(TEXT(B807,"0"),STOCK!A:H,7,0),1)</f>
        <v>1</v>
      </c>
    </row>
    <row r="808" spans="7:10" ht="35.450000000000003" hidden="1" customHeight="1">
      <c r="G808" s="113"/>
      <c r="J808" s="28">
        <f>IFERROR(VLOOKUP(TEXT(B808,"0"),STOCK!A:H,7,0),1)</f>
        <v>1</v>
      </c>
    </row>
    <row r="809" spans="7:10" ht="35.450000000000003" hidden="1" customHeight="1">
      <c r="G809" s="113"/>
      <c r="J809" s="28">
        <f>IFERROR(VLOOKUP(TEXT(B809,"0"),STOCK!A:H,7,0),1)</f>
        <v>1</v>
      </c>
    </row>
    <row r="810" spans="7:10" ht="35.450000000000003" hidden="1" customHeight="1">
      <c r="G810" s="113"/>
      <c r="J810" s="28">
        <f>IFERROR(VLOOKUP(TEXT(B810,"0"),STOCK!A:H,7,0),1)</f>
        <v>1</v>
      </c>
    </row>
    <row r="811" spans="7:10" ht="35.450000000000003" hidden="1" customHeight="1">
      <c r="G811" s="113"/>
      <c r="J811" s="28">
        <f>IFERROR(VLOOKUP(TEXT(B811,"0"),STOCK!A:H,7,0),1)</f>
        <v>1</v>
      </c>
    </row>
    <row r="812" spans="7:10" ht="35.450000000000003" hidden="1" customHeight="1">
      <c r="G812" s="113"/>
      <c r="J812" s="28">
        <f>IFERROR(VLOOKUP(TEXT(B812,"0"),STOCK!A:H,7,0),1)</f>
        <v>1</v>
      </c>
    </row>
    <row r="813" spans="7:10" ht="35.450000000000003" hidden="1" customHeight="1">
      <c r="G813" s="113"/>
      <c r="J813" s="28">
        <f>IFERROR(VLOOKUP(TEXT(B813,"0"),STOCK!A:H,7,0),1)</f>
        <v>1</v>
      </c>
    </row>
    <row r="814" spans="7:10" ht="35.450000000000003" hidden="1" customHeight="1">
      <c r="G814" s="113"/>
      <c r="J814" s="28">
        <f>IFERROR(VLOOKUP(TEXT(B814,"0"),STOCK!A:H,7,0),1)</f>
        <v>1</v>
      </c>
    </row>
    <row r="815" spans="7:10" ht="35.450000000000003" hidden="1" customHeight="1">
      <c r="G815" s="113"/>
      <c r="J815" s="28">
        <f>IFERROR(VLOOKUP(TEXT(B815,"0"),STOCK!A:H,7,0),1)</f>
        <v>1</v>
      </c>
    </row>
    <row r="816" spans="7:10" ht="35.450000000000003" hidden="1" customHeight="1">
      <c r="G816" s="113"/>
      <c r="J816" s="28">
        <f>IFERROR(VLOOKUP(TEXT(B816,"0"),STOCK!A:H,7,0),1)</f>
        <v>1</v>
      </c>
    </row>
    <row r="817" spans="7:10" ht="35.450000000000003" hidden="1" customHeight="1">
      <c r="G817" s="113"/>
      <c r="J817" s="28">
        <f>IFERROR(VLOOKUP(TEXT(B817,"0"),STOCK!A:H,7,0),1)</f>
        <v>1</v>
      </c>
    </row>
    <row r="818" spans="7:10" ht="35.450000000000003" hidden="1" customHeight="1">
      <c r="G818" s="113"/>
      <c r="J818" s="28">
        <f>IFERROR(VLOOKUP(TEXT(B818,"0"),STOCK!A:H,7,0),1)</f>
        <v>1</v>
      </c>
    </row>
    <row r="819" spans="7:10" ht="35.450000000000003" hidden="1" customHeight="1">
      <c r="G819" s="113"/>
      <c r="J819" s="28">
        <f>IFERROR(VLOOKUP(TEXT(B819,"0"),STOCK!A:H,7,0),1)</f>
        <v>1</v>
      </c>
    </row>
    <row r="820" spans="7:10" ht="35.450000000000003" hidden="1" customHeight="1">
      <c r="G820" s="113"/>
      <c r="J820" s="28">
        <f>IFERROR(VLOOKUP(TEXT(B820,"0"),STOCK!A:H,7,0),1)</f>
        <v>1</v>
      </c>
    </row>
    <row r="821" spans="7:10" ht="35.450000000000003" hidden="1" customHeight="1">
      <c r="G821" s="113"/>
      <c r="J821" s="28">
        <f>IFERROR(VLOOKUP(TEXT(B821,"0"),STOCK!A:H,7,0),1)</f>
        <v>1</v>
      </c>
    </row>
    <row r="822" spans="7:10" ht="35.450000000000003" hidden="1" customHeight="1">
      <c r="G822" s="113"/>
      <c r="J822" s="28">
        <f>IFERROR(VLOOKUP(TEXT(B822,"0"),STOCK!A:H,7,0),1)</f>
        <v>1</v>
      </c>
    </row>
    <row r="823" spans="7:10" ht="35.450000000000003" hidden="1" customHeight="1">
      <c r="G823" s="113"/>
      <c r="J823" s="28">
        <f>IFERROR(VLOOKUP(TEXT(B823,"0"),STOCK!A:H,7,0),1)</f>
        <v>1</v>
      </c>
    </row>
    <row r="824" spans="7:10" ht="35.450000000000003" hidden="1" customHeight="1">
      <c r="G824" s="113"/>
      <c r="J824" s="28">
        <f>IFERROR(VLOOKUP(TEXT(B824,"0"),STOCK!A:H,7,0),1)</f>
        <v>1</v>
      </c>
    </row>
    <row r="825" spans="7:10" ht="35.450000000000003" hidden="1" customHeight="1">
      <c r="G825" s="113"/>
      <c r="J825" s="28">
        <f>IFERROR(VLOOKUP(TEXT(B825,"0"),STOCK!A:H,7,0),1)</f>
        <v>1</v>
      </c>
    </row>
    <row r="826" spans="7:10" ht="35.450000000000003" hidden="1" customHeight="1">
      <c r="G826" s="113"/>
      <c r="J826" s="28">
        <f>IFERROR(VLOOKUP(TEXT(B826,"0"),STOCK!A:H,7,0),1)</f>
        <v>1</v>
      </c>
    </row>
    <row r="827" spans="7:10" ht="35.450000000000003" hidden="1" customHeight="1">
      <c r="G827" s="113"/>
      <c r="J827" s="28">
        <f>IFERROR(VLOOKUP(TEXT(B827,"0"),STOCK!A:H,7,0),1)</f>
        <v>1</v>
      </c>
    </row>
    <row r="828" spans="7:10" ht="35.450000000000003" hidden="1" customHeight="1">
      <c r="G828" s="113"/>
      <c r="J828" s="28">
        <f>IFERROR(VLOOKUP(TEXT(B828,"0"),STOCK!A:H,7,0),1)</f>
        <v>1</v>
      </c>
    </row>
    <row r="829" spans="7:10" ht="35.450000000000003" hidden="1" customHeight="1">
      <c r="G829" s="113"/>
      <c r="J829" s="28">
        <f>IFERROR(VLOOKUP(TEXT(B829,"0"),STOCK!A:H,7,0),1)</f>
        <v>1</v>
      </c>
    </row>
    <row r="830" spans="7:10" ht="35.450000000000003" hidden="1" customHeight="1">
      <c r="G830" s="113"/>
      <c r="J830" s="28">
        <f>IFERROR(VLOOKUP(TEXT(B830,"0"),STOCK!A:H,7,0),1)</f>
        <v>1</v>
      </c>
    </row>
    <row r="831" spans="7:10" ht="35.450000000000003" hidden="1" customHeight="1">
      <c r="G831" s="113"/>
      <c r="J831" s="28">
        <f>IFERROR(VLOOKUP(TEXT(B831,"0"),STOCK!A:H,7,0),1)</f>
        <v>1</v>
      </c>
    </row>
    <row r="832" spans="7:10" ht="35.450000000000003" hidden="1" customHeight="1">
      <c r="G832" s="113"/>
      <c r="J832" s="28">
        <f>IFERROR(VLOOKUP(TEXT(B832,"0"),STOCK!A:H,7,0),1)</f>
        <v>1</v>
      </c>
    </row>
    <row r="833" spans="7:10" ht="35.450000000000003" hidden="1" customHeight="1">
      <c r="G833" s="113"/>
      <c r="J833" s="28">
        <f>IFERROR(VLOOKUP(TEXT(B833,"0"),STOCK!A:H,7,0),1)</f>
        <v>1</v>
      </c>
    </row>
    <row r="834" spans="7:10" ht="35.450000000000003" hidden="1" customHeight="1">
      <c r="G834" s="113"/>
      <c r="J834" s="28">
        <f>IFERROR(VLOOKUP(TEXT(B834,"0"),STOCK!A:H,7,0),1)</f>
        <v>1</v>
      </c>
    </row>
    <row r="835" spans="7:10" ht="35.450000000000003" hidden="1" customHeight="1">
      <c r="G835" s="113"/>
      <c r="J835" s="28">
        <f>IFERROR(VLOOKUP(TEXT(B835,"0"),STOCK!A:H,7,0),1)</f>
        <v>1</v>
      </c>
    </row>
    <row r="836" spans="7:10" ht="35.450000000000003" hidden="1" customHeight="1">
      <c r="G836" s="113"/>
      <c r="J836" s="28">
        <f>IFERROR(VLOOKUP(TEXT(B836,"0"),STOCK!A:H,7,0),1)</f>
        <v>1</v>
      </c>
    </row>
    <row r="837" spans="7:10" ht="35.450000000000003" hidden="1" customHeight="1">
      <c r="G837" s="113"/>
      <c r="J837" s="28">
        <f>IFERROR(VLOOKUP(TEXT(B837,"0"),STOCK!A:H,7,0),1)</f>
        <v>1</v>
      </c>
    </row>
    <row r="838" spans="7:10" ht="35.450000000000003" hidden="1" customHeight="1">
      <c r="G838" s="113"/>
      <c r="J838" s="28">
        <f>IFERROR(VLOOKUP(TEXT(B838,"0"),STOCK!A:H,7,0),1)</f>
        <v>1</v>
      </c>
    </row>
    <row r="839" spans="7:10" ht="35.450000000000003" hidden="1" customHeight="1">
      <c r="G839" s="113"/>
      <c r="J839" s="28">
        <f>IFERROR(VLOOKUP(TEXT(B839,"0"),STOCK!A:H,7,0),1)</f>
        <v>1</v>
      </c>
    </row>
    <row r="840" spans="7:10" ht="35.450000000000003" hidden="1" customHeight="1">
      <c r="G840" s="113"/>
      <c r="J840" s="28">
        <f>IFERROR(VLOOKUP(TEXT(B840,"0"),STOCK!A:H,7,0),1)</f>
        <v>1</v>
      </c>
    </row>
    <row r="841" spans="7:10" ht="35.450000000000003" hidden="1" customHeight="1">
      <c r="G841" s="113"/>
      <c r="J841" s="28">
        <f>IFERROR(VLOOKUP(TEXT(B841,"0"),STOCK!A:H,7,0),1)</f>
        <v>1</v>
      </c>
    </row>
    <row r="842" spans="7:10" ht="35.450000000000003" hidden="1" customHeight="1">
      <c r="G842" s="113"/>
      <c r="J842" s="28">
        <f>IFERROR(VLOOKUP(TEXT(B842,"0"),STOCK!A:H,7,0),1)</f>
        <v>1</v>
      </c>
    </row>
    <row r="843" spans="7:10" ht="35.450000000000003" hidden="1" customHeight="1">
      <c r="G843" s="113"/>
      <c r="J843" s="28">
        <f>IFERROR(VLOOKUP(TEXT(B843,"0"),STOCK!A:H,7,0),1)</f>
        <v>1</v>
      </c>
    </row>
    <row r="844" spans="7:10" ht="35.450000000000003" hidden="1" customHeight="1">
      <c r="G844" s="113"/>
      <c r="J844" s="28">
        <f>IFERROR(VLOOKUP(TEXT(B844,"0"),STOCK!A:H,7,0),1)</f>
        <v>1</v>
      </c>
    </row>
    <row r="845" spans="7:10" ht="35.450000000000003" hidden="1" customHeight="1">
      <c r="G845" s="113"/>
      <c r="J845" s="28">
        <f>IFERROR(VLOOKUP(TEXT(B845,"0"),STOCK!A:H,7,0),1)</f>
        <v>1</v>
      </c>
    </row>
    <row r="846" spans="7:10" ht="35.450000000000003" hidden="1" customHeight="1">
      <c r="G846" s="113"/>
      <c r="J846" s="28">
        <f>IFERROR(VLOOKUP(TEXT(B846,"0"),STOCK!A:H,7,0),1)</f>
        <v>1</v>
      </c>
    </row>
    <row r="847" spans="7:10" ht="35.450000000000003" hidden="1" customHeight="1">
      <c r="G847" s="113"/>
      <c r="J847" s="28">
        <f>IFERROR(VLOOKUP(TEXT(B847,"0"),STOCK!A:H,7,0),1)</f>
        <v>1</v>
      </c>
    </row>
    <row r="848" spans="7:10" ht="35.450000000000003" hidden="1" customHeight="1">
      <c r="G848" s="113"/>
      <c r="J848" s="28">
        <f>IFERROR(VLOOKUP(TEXT(B848,"0"),STOCK!A:H,7,0),1)</f>
        <v>1</v>
      </c>
    </row>
    <row r="849" spans="7:10" ht="35.450000000000003" hidden="1" customHeight="1">
      <c r="G849" s="113"/>
      <c r="J849" s="28">
        <f>IFERROR(VLOOKUP(TEXT(B849,"0"),STOCK!A:H,7,0),1)</f>
        <v>1</v>
      </c>
    </row>
    <row r="850" spans="7:10" ht="35.450000000000003" hidden="1" customHeight="1">
      <c r="G850" s="113"/>
      <c r="J850" s="28">
        <f>IFERROR(VLOOKUP(TEXT(B850,"0"),STOCK!A:H,7,0),1)</f>
        <v>1</v>
      </c>
    </row>
    <row r="851" spans="7:10" ht="35.450000000000003" hidden="1" customHeight="1">
      <c r="G851" s="113"/>
      <c r="J851" s="28">
        <f>IFERROR(VLOOKUP(TEXT(B851,"0"),STOCK!A:H,7,0),1)</f>
        <v>1</v>
      </c>
    </row>
    <row r="852" spans="7:10" ht="35.450000000000003" hidden="1" customHeight="1">
      <c r="G852" s="113"/>
      <c r="J852" s="28">
        <f>IFERROR(VLOOKUP(TEXT(B852,"0"),STOCK!A:H,7,0),1)</f>
        <v>1</v>
      </c>
    </row>
    <row r="853" spans="7:10" ht="35.450000000000003" hidden="1" customHeight="1">
      <c r="G853" s="113"/>
      <c r="J853" s="28">
        <f>IFERROR(VLOOKUP(TEXT(B853,"0"),STOCK!A:H,7,0),1)</f>
        <v>1</v>
      </c>
    </row>
    <row r="854" spans="7:10" ht="35.450000000000003" hidden="1" customHeight="1">
      <c r="G854" s="113"/>
      <c r="J854" s="28">
        <f>IFERROR(VLOOKUP(TEXT(B854,"0"),STOCK!A:H,7,0),1)</f>
        <v>1</v>
      </c>
    </row>
    <row r="855" spans="7:10" ht="35.450000000000003" hidden="1" customHeight="1">
      <c r="G855" s="113"/>
      <c r="J855" s="28">
        <f>IFERROR(VLOOKUP(TEXT(B855,"0"),STOCK!A:H,7,0),1)</f>
        <v>1</v>
      </c>
    </row>
    <row r="856" spans="7:10" ht="35.450000000000003" hidden="1" customHeight="1">
      <c r="G856" s="113"/>
      <c r="J856" s="28">
        <f>IFERROR(VLOOKUP(TEXT(B856,"0"),STOCK!A:H,7,0),1)</f>
        <v>1</v>
      </c>
    </row>
    <row r="857" spans="7:10" ht="35.450000000000003" hidden="1" customHeight="1">
      <c r="G857" s="113"/>
      <c r="J857" s="28">
        <f>IFERROR(VLOOKUP(TEXT(B857,"0"),STOCK!A:H,7,0),1)</f>
        <v>1</v>
      </c>
    </row>
    <row r="858" spans="7:10" ht="35.450000000000003" hidden="1" customHeight="1">
      <c r="G858" s="113"/>
      <c r="J858" s="28">
        <f>IFERROR(VLOOKUP(TEXT(B858,"0"),STOCK!A:H,7,0),1)</f>
        <v>1</v>
      </c>
    </row>
    <row r="859" spans="7:10" ht="35.450000000000003" hidden="1" customHeight="1">
      <c r="G859" s="113"/>
      <c r="J859" s="28">
        <f>IFERROR(VLOOKUP(TEXT(B859,"0"),STOCK!A:H,7,0),1)</f>
        <v>1</v>
      </c>
    </row>
    <row r="860" spans="7:10" ht="35.450000000000003" hidden="1" customHeight="1">
      <c r="G860" s="113"/>
      <c r="J860" s="28">
        <f>IFERROR(VLOOKUP(TEXT(B860,"0"),STOCK!A:H,7,0),1)</f>
        <v>1</v>
      </c>
    </row>
    <row r="861" spans="7:10" ht="35.450000000000003" hidden="1" customHeight="1">
      <c r="G861" s="113"/>
      <c r="J861" s="28">
        <f>IFERROR(VLOOKUP(TEXT(B861,"0"),STOCK!A:H,7,0),1)</f>
        <v>1</v>
      </c>
    </row>
    <row r="862" spans="7:10" ht="35.450000000000003" hidden="1" customHeight="1">
      <c r="G862" s="113"/>
      <c r="J862" s="28">
        <f>IFERROR(VLOOKUP(TEXT(B862,"0"),STOCK!A:H,7,0),1)</f>
        <v>1</v>
      </c>
    </row>
    <row r="863" spans="7:10" ht="35.450000000000003" hidden="1" customHeight="1">
      <c r="G863" s="113"/>
      <c r="J863" s="28">
        <f>IFERROR(VLOOKUP(TEXT(B863,"0"),STOCK!A:H,7,0),1)</f>
        <v>1</v>
      </c>
    </row>
    <row r="864" spans="7:10" ht="35.450000000000003" hidden="1" customHeight="1">
      <c r="G864" s="113"/>
      <c r="J864" s="28">
        <f>IFERROR(VLOOKUP(TEXT(B864,"0"),STOCK!A:H,7,0),1)</f>
        <v>1</v>
      </c>
    </row>
    <row r="865" spans="7:10" ht="35.450000000000003" hidden="1" customHeight="1">
      <c r="G865" s="113"/>
      <c r="J865" s="28">
        <f>IFERROR(VLOOKUP(TEXT(B865,"0"),STOCK!A:H,7,0),1)</f>
        <v>1</v>
      </c>
    </row>
    <row r="866" spans="7:10" ht="35.450000000000003" hidden="1" customHeight="1">
      <c r="G866" s="113"/>
      <c r="J866" s="28">
        <f>IFERROR(VLOOKUP(TEXT(B866,"0"),STOCK!A:H,7,0),1)</f>
        <v>1</v>
      </c>
    </row>
    <row r="867" spans="7:10" ht="35.450000000000003" hidden="1" customHeight="1">
      <c r="G867" s="113"/>
      <c r="J867" s="28">
        <f>IFERROR(VLOOKUP(TEXT(B867,"0"),STOCK!A:H,7,0),1)</f>
        <v>1</v>
      </c>
    </row>
    <row r="868" spans="7:10" ht="35.450000000000003" hidden="1" customHeight="1">
      <c r="G868" s="113"/>
      <c r="J868" s="28">
        <f>IFERROR(VLOOKUP(TEXT(B868,"0"),STOCK!A:H,7,0),1)</f>
        <v>1</v>
      </c>
    </row>
    <row r="869" spans="7:10" ht="35.450000000000003" hidden="1" customHeight="1">
      <c r="G869" s="113"/>
      <c r="J869" s="28">
        <f>IFERROR(VLOOKUP(TEXT(B869,"0"),STOCK!A:H,7,0),1)</f>
        <v>1</v>
      </c>
    </row>
    <row r="870" spans="7:10" ht="35.450000000000003" hidden="1" customHeight="1">
      <c r="G870" s="113"/>
      <c r="J870" s="28">
        <f>IFERROR(VLOOKUP(TEXT(B870,"0"),STOCK!A:H,7,0),1)</f>
        <v>1</v>
      </c>
    </row>
    <row r="871" spans="7:10" ht="35.450000000000003" hidden="1" customHeight="1">
      <c r="G871" s="113"/>
      <c r="J871" s="28">
        <f>IFERROR(VLOOKUP(TEXT(B871,"0"),STOCK!A:H,7,0),1)</f>
        <v>1</v>
      </c>
    </row>
    <row r="872" spans="7:10" ht="35.450000000000003" hidden="1" customHeight="1">
      <c r="G872" s="113"/>
      <c r="J872" s="28">
        <f>IFERROR(VLOOKUP(TEXT(B872,"0"),STOCK!A:H,7,0),1)</f>
        <v>1</v>
      </c>
    </row>
    <row r="873" spans="7:10" ht="35.450000000000003" hidden="1" customHeight="1">
      <c r="G873" s="113"/>
      <c r="J873" s="28">
        <f>IFERROR(VLOOKUP(TEXT(B873,"0"),STOCK!A:H,7,0),1)</f>
        <v>1</v>
      </c>
    </row>
    <row r="874" spans="7:10" ht="35.450000000000003" hidden="1" customHeight="1">
      <c r="G874" s="113"/>
      <c r="J874" s="28">
        <f>IFERROR(VLOOKUP(TEXT(B874,"0"),STOCK!A:H,7,0),1)</f>
        <v>1</v>
      </c>
    </row>
    <row r="875" spans="7:10" ht="35.450000000000003" hidden="1" customHeight="1">
      <c r="G875" s="113"/>
      <c r="J875" s="28">
        <f>IFERROR(VLOOKUP(TEXT(B875,"0"),STOCK!A:H,7,0),1)</f>
        <v>1</v>
      </c>
    </row>
    <row r="876" spans="7:10" ht="35.450000000000003" hidden="1" customHeight="1">
      <c r="G876" s="113"/>
      <c r="J876" s="28">
        <f>IFERROR(VLOOKUP(TEXT(B876,"0"),STOCK!A:H,7,0),1)</f>
        <v>1</v>
      </c>
    </row>
    <row r="877" spans="7:10" ht="35.450000000000003" hidden="1" customHeight="1">
      <c r="G877" s="113"/>
      <c r="J877" s="28">
        <f>IFERROR(VLOOKUP(TEXT(B877,"0"),STOCK!A:H,7,0),1)</f>
        <v>1</v>
      </c>
    </row>
    <row r="878" spans="7:10" ht="35.450000000000003" hidden="1" customHeight="1">
      <c r="G878" s="113"/>
      <c r="J878" s="28">
        <f>IFERROR(VLOOKUP(TEXT(B878,"0"),STOCK!A:H,7,0),1)</f>
        <v>1</v>
      </c>
    </row>
    <row r="879" spans="7:10" ht="35.450000000000003" hidden="1" customHeight="1">
      <c r="G879" s="113"/>
      <c r="J879" s="28">
        <f>IFERROR(VLOOKUP(TEXT(B879,"0"),STOCK!A:H,7,0),1)</f>
        <v>1</v>
      </c>
    </row>
    <row r="880" spans="7:10" ht="35.450000000000003" hidden="1" customHeight="1">
      <c r="G880" s="113"/>
      <c r="J880" s="28">
        <f>IFERROR(VLOOKUP(TEXT(B880,"0"),STOCK!A:H,7,0),1)</f>
        <v>1</v>
      </c>
    </row>
    <row r="881" spans="7:10" ht="35.450000000000003" hidden="1" customHeight="1">
      <c r="G881" s="113"/>
      <c r="J881" s="28">
        <f>IFERROR(VLOOKUP(TEXT(B881,"0"),STOCK!A:H,7,0),1)</f>
        <v>1</v>
      </c>
    </row>
    <row r="882" spans="7:10" ht="35.450000000000003" hidden="1" customHeight="1">
      <c r="G882" s="113"/>
      <c r="J882" s="28">
        <f>IFERROR(VLOOKUP(TEXT(B882,"0"),STOCK!A:H,7,0),1)</f>
        <v>1</v>
      </c>
    </row>
    <row r="883" spans="7:10" ht="35.450000000000003" hidden="1" customHeight="1">
      <c r="G883" s="113"/>
      <c r="J883" s="28">
        <f>IFERROR(VLOOKUP(TEXT(B883,"0"),STOCK!A:H,7,0),1)</f>
        <v>1</v>
      </c>
    </row>
    <row r="884" spans="7:10" ht="35.450000000000003" hidden="1" customHeight="1">
      <c r="G884" s="113"/>
      <c r="J884" s="28">
        <f>IFERROR(VLOOKUP(TEXT(B884,"0"),STOCK!A:H,7,0),1)</f>
        <v>1</v>
      </c>
    </row>
    <row r="885" spans="7:10" ht="35.450000000000003" hidden="1" customHeight="1">
      <c r="G885" s="113"/>
      <c r="J885" s="28">
        <f>IFERROR(VLOOKUP(TEXT(B885,"0"),STOCK!A:H,7,0),1)</f>
        <v>1</v>
      </c>
    </row>
    <row r="886" spans="7:10" ht="35.450000000000003" hidden="1" customHeight="1">
      <c r="G886" s="113"/>
      <c r="J886" s="28">
        <f>IFERROR(VLOOKUP(TEXT(B886,"0"),STOCK!A:H,7,0),1)</f>
        <v>1</v>
      </c>
    </row>
    <row r="887" spans="7:10" ht="35.450000000000003" hidden="1" customHeight="1">
      <c r="G887" s="113"/>
      <c r="J887" s="28">
        <f>IFERROR(VLOOKUP(TEXT(B887,"0"),STOCK!A:H,7,0),1)</f>
        <v>1</v>
      </c>
    </row>
    <row r="888" spans="7:10" ht="35.450000000000003" hidden="1" customHeight="1">
      <c r="G888" s="113"/>
      <c r="J888" s="28">
        <f>IFERROR(VLOOKUP(TEXT(B888,"0"),STOCK!A:H,7,0),1)</f>
        <v>1</v>
      </c>
    </row>
    <row r="889" spans="7:10" ht="35.450000000000003" hidden="1" customHeight="1">
      <c r="G889" s="113"/>
      <c r="J889" s="28">
        <f>IFERROR(VLOOKUP(TEXT(B889,"0"),STOCK!A:H,7,0),1)</f>
        <v>1</v>
      </c>
    </row>
    <row r="890" spans="7:10" ht="35.450000000000003" hidden="1" customHeight="1">
      <c r="G890" s="113"/>
      <c r="J890" s="28">
        <f>IFERROR(VLOOKUP(TEXT(B890,"0"),STOCK!A:H,7,0),1)</f>
        <v>1</v>
      </c>
    </row>
    <row r="891" spans="7:10" ht="35.450000000000003" hidden="1" customHeight="1">
      <c r="G891" s="113"/>
      <c r="J891" s="28">
        <f>IFERROR(VLOOKUP(TEXT(B891,"0"),STOCK!A:H,7,0),1)</f>
        <v>1</v>
      </c>
    </row>
    <row r="892" spans="7:10" ht="35.450000000000003" hidden="1" customHeight="1">
      <c r="G892" s="113"/>
      <c r="J892" s="28">
        <f>IFERROR(VLOOKUP(TEXT(B892,"0"),STOCK!A:H,7,0),1)</f>
        <v>1</v>
      </c>
    </row>
    <row r="893" spans="7:10" ht="35.450000000000003" hidden="1" customHeight="1">
      <c r="G893" s="113"/>
      <c r="J893" s="28">
        <f>IFERROR(VLOOKUP(TEXT(B893,"0"),STOCK!A:H,7,0),1)</f>
        <v>1</v>
      </c>
    </row>
    <row r="894" spans="7:10" ht="35.450000000000003" hidden="1" customHeight="1">
      <c r="G894" s="113"/>
      <c r="J894" s="28">
        <f>IFERROR(VLOOKUP(TEXT(B894,"0"),STOCK!A:H,7,0),1)</f>
        <v>1</v>
      </c>
    </row>
    <row r="895" spans="7:10" ht="35.450000000000003" hidden="1" customHeight="1">
      <c r="G895" s="113"/>
      <c r="J895" s="28">
        <f>IFERROR(VLOOKUP(TEXT(B895,"0"),STOCK!A:H,7,0),1)</f>
        <v>1</v>
      </c>
    </row>
    <row r="896" spans="7:10" ht="35.450000000000003" hidden="1" customHeight="1">
      <c r="G896" s="113"/>
      <c r="J896" s="28">
        <f>IFERROR(VLOOKUP(TEXT(B896,"0"),STOCK!A:H,7,0),1)</f>
        <v>1</v>
      </c>
    </row>
    <row r="897" spans="7:10" ht="35.450000000000003" hidden="1" customHeight="1">
      <c r="G897" s="113"/>
      <c r="J897" s="28">
        <f>IFERROR(VLOOKUP(TEXT(B897,"0"),STOCK!A:H,7,0),1)</f>
        <v>1</v>
      </c>
    </row>
    <row r="898" spans="7:10" ht="35.450000000000003" hidden="1" customHeight="1">
      <c r="G898" s="113"/>
      <c r="J898" s="28">
        <f>IFERROR(VLOOKUP(TEXT(B898,"0"),STOCK!A:H,7,0),1)</f>
        <v>1</v>
      </c>
    </row>
    <row r="899" spans="7:10" ht="35.450000000000003" hidden="1" customHeight="1">
      <c r="G899" s="113"/>
      <c r="J899" s="28">
        <f>IFERROR(VLOOKUP(TEXT(B899,"0"),STOCK!A:H,7,0),1)</f>
        <v>1</v>
      </c>
    </row>
    <row r="900" spans="7:10" ht="35.450000000000003" hidden="1" customHeight="1">
      <c r="G900" s="113"/>
      <c r="J900" s="28">
        <f>IFERROR(VLOOKUP(TEXT(B900,"0"),STOCK!A:H,7,0),1)</f>
        <v>1</v>
      </c>
    </row>
    <row r="901" spans="7:10" ht="35.450000000000003" hidden="1" customHeight="1">
      <c r="G901" s="113"/>
      <c r="J901" s="28">
        <f>IFERROR(VLOOKUP(TEXT(B901,"0"),STOCK!A:H,7,0),1)</f>
        <v>1</v>
      </c>
    </row>
    <row r="902" spans="7:10" ht="35.450000000000003" hidden="1" customHeight="1">
      <c r="G902" s="113"/>
      <c r="J902" s="28">
        <f>IFERROR(VLOOKUP(TEXT(B902,"0"),STOCK!A:H,7,0),1)</f>
        <v>1</v>
      </c>
    </row>
    <row r="903" spans="7:10" ht="35.450000000000003" hidden="1" customHeight="1">
      <c r="G903" s="113"/>
      <c r="J903" s="28">
        <f>IFERROR(VLOOKUP(TEXT(B903,"0"),STOCK!A:H,7,0),1)</f>
        <v>1</v>
      </c>
    </row>
    <row r="904" spans="7:10" ht="35.450000000000003" hidden="1" customHeight="1">
      <c r="G904" s="113"/>
      <c r="J904" s="28">
        <f>IFERROR(VLOOKUP(TEXT(B904,"0"),STOCK!A:H,7,0),1)</f>
        <v>1</v>
      </c>
    </row>
    <row r="905" spans="7:10" ht="35.450000000000003" hidden="1" customHeight="1">
      <c r="G905" s="113"/>
      <c r="J905" s="28">
        <f>IFERROR(VLOOKUP(TEXT(B905,"0"),STOCK!A:H,7,0),1)</f>
        <v>1</v>
      </c>
    </row>
    <row r="906" spans="7:10" ht="35.450000000000003" hidden="1" customHeight="1">
      <c r="G906" s="113"/>
      <c r="J906" s="28">
        <f>IFERROR(VLOOKUP(TEXT(B906,"0"),STOCK!A:H,7,0),1)</f>
        <v>1</v>
      </c>
    </row>
    <row r="907" spans="7:10" ht="35.450000000000003" hidden="1" customHeight="1">
      <c r="G907" s="113"/>
      <c r="J907" s="28">
        <f>IFERROR(VLOOKUP(TEXT(B907,"0"),STOCK!A:H,7,0),1)</f>
        <v>1</v>
      </c>
    </row>
    <row r="908" spans="7:10" ht="35.450000000000003" hidden="1" customHeight="1">
      <c r="G908" s="113"/>
      <c r="J908" s="28">
        <f>IFERROR(VLOOKUP(TEXT(B908,"0"),STOCK!A:H,7,0),1)</f>
        <v>1</v>
      </c>
    </row>
    <row r="909" spans="7:10" ht="35.450000000000003" hidden="1" customHeight="1">
      <c r="G909" s="113"/>
      <c r="J909" s="28">
        <f>IFERROR(VLOOKUP(TEXT(B909,"0"),STOCK!A:H,7,0),1)</f>
        <v>1</v>
      </c>
    </row>
    <row r="910" spans="7:10" ht="35.450000000000003" hidden="1" customHeight="1">
      <c r="G910" s="113"/>
      <c r="J910" s="28">
        <f>IFERROR(VLOOKUP(TEXT(B910,"0"),STOCK!A:H,7,0),1)</f>
        <v>1</v>
      </c>
    </row>
    <row r="911" spans="7:10" ht="35.450000000000003" hidden="1" customHeight="1">
      <c r="G911" s="113"/>
      <c r="J911" s="28">
        <f>IFERROR(VLOOKUP(TEXT(B911,"0"),STOCK!A:H,7,0),1)</f>
        <v>1</v>
      </c>
    </row>
    <row r="912" spans="7:10" ht="35.450000000000003" hidden="1" customHeight="1">
      <c r="G912" s="113"/>
      <c r="J912" s="28">
        <f>IFERROR(VLOOKUP(TEXT(B912,"0"),STOCK!A:H,7,0),1)</f>
        <v>1</v>
      </c>
    </row>
    <row r="913" spans="7:10" ht="35.450000000000003" hidden="1" customHeight="1">
      <c r="G913" s="113"/>
      <c r="J913" s="28">
        <f>IFERROR(VLOOKUP(TEXT(B913,"0"),STOCK!A:H,7,0),1)</f>
        <v>1</v>
      </c>
    </row>
    <row r="914" spans="7:10" ht="35.450000000000003" hidden="1" customHeight="1">
      <c r="G914" s="113"/>
      <c r="J914" s="28">
        <f>IFERROR(VLOOKUP(TEXT(B914,"0"),STOCK!A:H,7,0),1)</f>
        <v>1</v>
      </c>
    </row>
    <row r="915" spans="7:10" ht="35.450000000000003" hidden="1" customHeight="1">
      <c r="G915" s="113"/>
      <c r="J915" s="28">
        <f>IFERROR(VLOOKUP(TEXT(B915,"0"),STOCK!A:H,7,0),1)</f>
        <v>1</v>
      </c>
    </row>
    <row r="916" spans="7:10" ht="35.450000000000003" hidden="1" customHeight="1">
      <c r="G916" s="113"/>
      <c r="J916" s="28">
        <f>IFERROR(VLOOKUP(TEXT(B916,"0"),STOCK!A:H,7,0),1)</f>
        <v>1</v>
      </c>
    </row>
    <row r="917" spans="7:10" ht="35.450000000000003" hidden="1" customHeight="1">
      <c r="G917" s="113"/>
      <c r="J917" s="28">
        <f>IFERROR(VLOOKUP(TEXT(B917,"0"),STOCK!A:H,7,0),1)</f>
        <v>1</v>
      </c>
    </row>
    <row r="918" spans="7:10" ht="35.450000000000003" hidden="1" customHeight="1">
      <c r="G918" s="113"/>
      <c r="J918" s="28">
        <f>IFERROR(VLOOKUP(TEXT(B918,"0"),STOCK!A:H,7,0),1)</f>
        <v>1</v>
      </c>
    </row>
    <row r="919" spans="7:10" ht="35.450000000000003" hidden="1" customHeight="1">
      <c r="G919" s="113"/>
      <c r="J919" s="28">
        <f>IFERROR(VLOOKUP(TEXT(B919,"0"),STOCK!A:H,7,0),1)</f>
        <v>1</v>
      </c>
    </row>
    <row r="920" spans="7:10" ht="35.450000000000003" hidden="1" customHeight="1">
      <c r="G920" s="113"/>
      <c r="J920" s="28">
        <f>IFERROR(VLOOKUP(TEXT(B920,"0"),STOCK!A:H,7,0),1)</f>
        <v>1</v>
      </c>
    </row>
    <row r="921" spans="7:10" ht="35.450000000000003" hidden="1" customHeight="1">
      <c r="G921" s="113"/>
      <c r="J921" s="28">
        <f>IFERROR(VLOOKUP(TEXT(B921,"0"),STOCK!A:H,7,0),1)</f>
        <v>1</v>
      </c>
    </row>
    <row r="922" spans="7:10" ht="35.450000000000003" hidden="1" customHeight="1">
      <c r="G922" s="113"/>
      <c r="J922" s="28">
        <f>IFERROR(VLOOKUP(TEXT(B922,"0"),STOCK!A:H,7,0),1)</f>
        <v>1</v>
      </c>
    </row>
    <row r="923" spans="7:10" ht="35.450000000000003" hidden="1" customHeight="1">
      <c r="G923" s="113"/>
      <c r="J923" s="28">
        <f>IFERROR(VLOOKUP(TEXT(B923,"0"),STOCK!A:H,7,0),1)</f>
        <v>1</v>
      </c>
    </row>
    <row r="924" spans="7:10" ht="35.450000000000003" hidden="1" customHeight="1">
      <c r="G924" s="113"/>
      <c r="J924" s="28">
        <f>IFERROR(VLOOKUP(TEXT(B924,"0"),STOCK!A:H,7,0),1)</f>
        <v>1</v>
      </c>
    </row>
    <row r="925" spans="7:10" ht="35.450000000000003" hidden="1" customHeight="1">
      <c r="G925" s="113"/>
      <c r="J925" s="28">
        <f>IFERROR(VLOOKUP(TEXT(B925,"0"),STOCK!A:H,7,0),1)</f>
        <v>1</v>
      </c>
    </row>
    <row r="926" spans="7:10" ht="35.450000000000003" hidden="1" customHeight="1">
      <c r="G926" s="113"/>
      <c r="J926" s="28">
        <f>IFERROR(VLOOKUP(TEXT(B926,"0"),STOCK!A:H,7,0),1)</f>
        <v>1</v>
      </c>
    </row>
    <row r="927" spans="7:10" ht="35.450000000000003" hidden="1" customHeight="1">
      <c r="G927" s="113"/>
      <c r="J927" s="28">
        <f>IFERROR(VLOOKUP(TEXT(B927,"0"),STOCK!A:H,7,0),1)</f>
        <v>1</v>
      </c>
    </row>
    <row r="928" spans="7:10" ht="35.450000000000003" hidden="1" customHeight="1">
      <c r="G928" s="113"/>
      <c r="J928" s="28">
        <f>IFERROR(VLOOKUP(TEXT(B928,"0"),STOCK!A:H,7,0),1)</f>
        <v>1</v>
      </c>
    </row>
    <row r="929" spans="7:10" ht="35.450000000000003" hidden="1" customHeight="1">
      <c r="G929" s="113"/>
      <c r="J929" s="28">
        <f>IFERROR(VLOOKUP(TEXT(B929,"0"),STOCK!A:H,7,0),1)</f>
        <v>1</v>
      </c>
    </row>
    <row r="930" spans="7:10" ht="35.450000000000003" hidden="1" customHeight="1">
      <c r="G930" s="113"/>
      <c r="J930" s="28">
        <f>IFERROR(VLOOKUP(TEXT(B930,"0"),STOCK!A:H,7,0),1)</f>
        <v>1</v>
      </c>
    </row>
    <row r="931" spans="7:10" ht="35.450000000000003" hidden="1" customHeight="1">
      <c r="G931" s="113"/>
      <c r="J931" s="28">
        <f>IFERROR(VLOOKUP(TEXT(B931,"0"),STOCK!A:H,7,0),1)</f>
        <v>1</v>
      </c>
    </row>
    <row r="932" spans="7:10" ht="35.450000000000003" hidden="1" customHeight="1">
      <c r="G932" s="113"/>
      <c r="J932" s="28">
        <f>IFERROR(VLOOKUP(TEXT(B932,"0"),STOCK!A:H,7,0),1)</f>
        <v>1</v>
      </c>
    </row>
    <row r="933" spans="7:10" ht="35.450000000000003" hidden="1" customHeight="1">
      <c r="G933" s="113"/>
      <c r="J933" s="28">
        <f>IFERROR(VLOOKUP(TEXT(B933,"0"),STOCK!A:H,7,0),1)</f>
        <v>1</v>
      </c>
    </row>
    <row r="934" spans="7:10" ht="35.450000000000003" hidden="1" customHeight="1">
      <c r="G934" s="113"/>
      <c r="J934" s="28">
        <f>IFERROR(VLOOKUP(TEXT(B934,"0"),STOCK!A:H,7,0),1)</f>
        <v>1</v>
      </c>
    </row>
    <row r="935" spans="7:10" ht="35.450000000000003" hidden="1" customHeight="1">
      <c r="G935" s="113"/>
      <c r="J935" s="28">
        <f>IFERROR(VLOOKUP(TEXT(B935,"0"),STOCK!A:H,7,0),1)</f>
        <v>1</v>
      </c>
    </row>
    <row r="936" spans="7:10" ht="35.450000000000003" hidden="1" customHeight="1">
      <c r="G936" s="113"/>
      <c r="J936" s="28">
        <f>IFERROR(VLOOKUP(TEXT(B936,"0"),STOCK!A:H,7,0),1)</f>
        <v>1</v>
      </c>
    </row>
    <row r="937" spans="7:10" ht="35.450000000000003" hidden="1" customHeight="1">
      <c r="G937" s="113"/>
      <c r="J937" s="28">
        <f>IFERROR(VLOOKUP(TEXT(B937,"0"),STOCK!A:H,7,0),1)</f>
        <v>1</v>
      </c>
    </row>
    <row r="938" spans="7:10" ht="35.450000000000003" hidden="1" customHeight="1">
      <c r="G938" s="113"/>
      <c r="J938" s="28">
        <f>IFERROR(VLOOKUP(TEXT(B938,"0"),STOCK!A:H,7,0),1)</f>
        <v>1</v>
      </c>
    </row>
    <row r="939" spans="7:10" ht="35.450000000000003" hidden="1" customHeight="1">
      <c r="G939" s="113"/>
      <c r="J939" s="28">
        <f>IFERROR(VLOOKUP(TEXT(B939,"0"),STOCK!A:H,7,0),1)</f>
        <v>1</v>
      </c>
    </row>
    <row r="940" spans="7:10" ht="35.450000000000003" hidden="1" customHeight="1">
      <c r="G940" s="113"/>
      <c r="J940" s="28">
        <f>IFERROR(VLOOKUP(TEXT(B940,"0"),STOCK!A:H,7,0),1)</f>
        <v>1</v>
      </c>
    </row>
    <row r="941" spans="7:10" ht="35.450000000000003" hidden="1" customHeight="1">
      <c r="G941" s="113"/>
      <c r="J941" s="28">
        <f>IFERROR(VLOOKUP(TEXT(B941,"0"),STOCK!A:H,7,0),1)</f>
        <v>1</v>
      </c>
    </row>
    <row r="942" spans="7:10" ht="35.450000000000003" hidden="1" customHeight="1">
      <c r="G942" s="113"/>
      <c r="J942" s="28">
        <f>IFERROR(VLOOKUP(TEXT(B942,"0"),STOCK!A:H,7,0),1)</f>
        <v>1</v>
      </c>
    </row>
    <row r="943" spans="7:10" ht="35.450000000000003" hidden="1" customHeight="1">
      <c r="G943" s="113"/>
      <c r="J943" s="28">
        <f>IFERROR(VLOOKUP(TEXT(B943,"0"),STOCK!A:H,7,0),1)</f>
        <v>1</v>
      </c>
    </row>
    <row r="944" spans="7:10" ht="35.450000000000003" hidden="1" customHeight="1">
      <c r="G944" s="113"/>
      <c r="J944" s="28">
        <f>IFERROR(VLOOKUP(TEXT(B944,"0"),STOCK!A:H,7,0),1)</f>
        <v>1</v>
      </c>
    </row>
    <row r="945" spans="7:10" ht="35.450000000000003" hidden="1" customHeight="1">
      <c r="G945" s="113"/>
      <c r="J945" s="28">
        <f>IFERROR(VLOOKUP(TEXT(B945,"0"),STOCK!A:H,7,0),1)</f>
        <v>1</v>
      </c>
    </row>
    <row r="946" spans="7:10" ht="35.450000000000003" hidden="1" customHeight="1">
      <c r="G946" s="113"/>
      <c r="J946" s="28">
        <f>IFERROR(VLOOKUP(TEXT(B946,"0"),STOCK!A:H,7,0),1)</f>
        <v>1</v>
      </c>
    </row>
    <row r="947" spans="7:10" ht="35.450000000000003" hidden="1" customHeight="1">
      <c r="G947" s="113"/>
      <c r="J947" s="28">
        <f>IFERROR(VLOOKUP(TEXT(B947,"0"),STOCK!A:H,7,0),1)</f>
        <v>1</v>
      </c>
    </row>
    <row r="948" spans="7:10" ht="35.450000000000003" hidden="1" customHeight="1">
      <c r="G948" s="113"/>
      <c r="J948" s="28">
        <f>IFERROR(VLOOKUP(TEXT(B948,"0"),STOCK!A:H,7,0),1)</f>
        <v>1</v>
      </c>
    </row>
    <row r="949" spans="7:10" ht="35.450000000000003" hidden="1" customHeight="1">
      <c r="G949" s="113"/>
      <c r="J949" s="28">
        <f>IFERROR(VLOOKUP(TEXT(B949,"0"),STOCK!A:H,7,0),1)</f>
        <v>1</v>
      </c>
    </row>
    <row r="950" spans="7:10" ht="35.450000000000003" hidden="1" customHeight="1">
      <c r="G950" s="113"/>
      <c r="J950" s="28">
        <f>IFERROR(VLOOKUP(TEXT(B950,"0"),STOCK!A:H,7,0),1)</f>
        <v>1</v>
      </c>
    </row>
    <row r="951" spans="7:10" ht="35.450000000000003" hidden="1" customHeight="1">
      <c r="G951" s="113"/>
      <c r="J951" s="28">
        <f>IFERROR(VLOOKUP(TEXT(B951,"0"),STOCK!A:H,7,0),1)</f>
        <v>1</v>
      </c>
    </row>
    <row r="952" spans="7:10" ht="35.450000000000003" hidden="1" customHeight="1">
      <c r="G952" s="113"/>
      <c r="J952" s="28">
        <f>IFERROR(VLOOKUP(TEXT(B952,"0"),STOCK!A:H,7,0),1)</f>
        <v>1</v>
      </c>
    </row>
    <row r="953" spans="7:10" ht="35.450000000000003" hidden="1" customHeight="1">
      <c r="G953" s="113"/>
      <c r="J953" s="28">
        <f>IFERROR(VLOOKUP(TEXT(B953,"0"),STOCK!A:H,7,0),1)</f>
        <v>1</v>
      </c>
    </row>
    <row r="954" spans="7:10" ht="35.450000000000003" hidden="1" customHeight="1">
      <c r="G954" s="113"/>
      <c r="J954" s="28">
        <f>IFERROR(VLOOKUP(TEXT(B954,"0"),STOCK!A:H,7,0),1)</f>
        <v>1</v>
      </c>
    </row>
    <row r="955" spans="7:10" ht="35.450000000000003" hidden="1" customHeight="1">
      <c r="G955" s="113"/>
      <c r="J955" s="28">
        <f>IFERROR(VLOOKUP(TEXT(B955,"0"),STOCK!A:H,7,0),1)</f>
        <v>1</v>
      </c>
    </row>
    <row r="956" spans="7:10" ht="35.450000000000003" hidden="1" customHeight="1">
      <c r="G956" s="113"/>
      <c r="J956" s="28">
        <f>IFERROR(VLOOKUP(TEXT(B956,"0"),STOCK!A:H,7,0),1)</f>
        <v>1</v>
      </c>
    </row>
    <row r="957" spans="7:10" ht="35.450000000000003" hidden="1" customHeight="1">
      <c r="G957" s="113"/>
      <c r="J957" s="28">
        <f>IFERROR(VLOOKUP(TEXT(B957,"0"),STOCK!A:H,7,0),1)</f>
        <v>1</v>
      </c>
    </row>
    <row r="958" spans="7:10" ht="35.450000000000003" hidden="1" customHeight="1">
      <c r="G958" s="113"/>
      <c r="J958" s="28">
        <f>IFERROR(VLOOKUP(TEXT(B958,"0"),STOCK!A:H,7,0),1)</f>
        <v>1</v>
      </c>
    </row>
    <row r="959" spans="7:10" ht="35.450000000000003" hidden="1" customHeight="1">
      <c r="G959" s="113"/>
      <c r="J959" s="28">
        <f>IFERROR(VLOOKUP(TEXT(B959,"0"),STOCK!A:H,7,0),1)</f>
        <v>1</v>
      </c>
    </row>
    <row r="960" spans="7:10" ht="35.450000000000003" hidden="1" customHeight="1">
      <c r="G960" s="113"/>
      <c r="J960" s="28">
        <f>IFERROR(VLOOKUP(TEXT(B960,"0"),STOCK!A:H,7,0),1)</f>
        <v>1</v>
      </c>
    </row>
    <row r="961" spans="7:10" ht="35.450000000000003" hidden="1" customHeight="1">
      <c r="G961" s="113"/>
      <c r="J961" s="28">
        <f>IFERROR(VLOOKUP(TEXT(B961,"0"),STOCK!A:H,7,0),1)</f>
        <v>1</v>
      </c>
    </row>
    <row r="962" spans="7:10" ht="35.450000000000003" hidden="1" customHeight="1">
      <c r="G962" s="113"/>
      <c r="J962" s="28">
        <f>IFERROR(VLOOKUP(TEXT(B962,"0"),STOCK!A:H,7,0),1)</f>
        <v>1</v>
      </c>
    </row>
    <row r="963" spans="7:10" ht="35.450000000000003" hidden="1" customHeight="1">
      <c r="G963" s="113"/>
      <c r="J963" s="28">
        <f>IFERROR(VLOOKUP(TEXT(B963,"0"),STOCK!A:H,7,0),1)</f>
        <v>1</v>
      </c>
    </row>
    <row r="964" spans="7:10" ht="35.450000000000003" hidden="1" customHeight="1">
      <c r="G964" s="113"/>
      <c r="J964" s="28">
        <f>IFERROR(VLOOKUP(TEXT(B964,"0"),STOCK!A:H,7,0),1)</f>
        <v>1</v>
      </c>
    </row>
    <row r="965" spans="7:10" ht="35.450000000000003" hidden="1" customHeight="1">
      <c r="G965" s="113"/>
      <c r="J965" s="28">
        <f>IFERROR(VLOOKUP(TEXT(B965,"0"),STOCK!A:H,7,0),1)</f>
        <v>1</v>
      </c>
    </row>
    <row r="966" spans="7:10" ht="35.450000000000003" hidden="1" customHeight="1">
      <c r="G966" s="113"/>
      <c r="J966" s="28">
        <f>IFERROR(VLOOKUP(TEXT(B966,"0"),STOCK!A:H,7,0),1)</f>
        <v>1</v>
      </c>
    </row>
    <row r="967" spans="7:10" ht="35.450000000000003" hidden="1" customHeight="1">
      <c r="G967" s="113"/>
      <c r="J967" s="28">
        <f>IFERROR(VLOOKUP(TEXT(B967,"0"),STOCK!A:H,7,0),1)</f>
        <v>1</v>
      </c>
    </row>
    <row r="968" spans="7:10" ht="35.450000000000003" hidden="1" customHeight="1">
      <c r="G968" s="113"/>
      <c r="J968" s="28">
        <f>IFERROR(VLOOKUP(TEXT(B968,"0"),STOCK!A:H,7,0),1)</f>
        <v>1</v>
      </c>
    </row>
    <row r="969" spans="7:10" ht="35.450000000000003" hidden="1" customHeight="1">
      <c r="G969" s="113"/>
      <c r="J969" s="28">
        <f>IFERROR(VLOOKUP(TEXT(B969,"0"),STOCK!A:H,7,0),1)</f>
        <v>1</v>
      </c>
    </row>
    <row r="970" spans="7:10" ht="35.450000000000003" hidden="1" customHeight="1">
      <c r="G970" s="113"/>
      <c r="J970" s="28">
        <f>IFERROR(VLOOKUP(TEXT(B970,"0"),STOCK!A:H,7,0),1)</f>
        <v>1</v>
      </c>
    </row>
    <row r="971" spans="7:10" ht="35.450000000000003" hidden="1" customHeight="1">
      <c r="G971" s="113"/>
      <c r="J971" s="28">
        <f>IFERROR(VLOOKUP(TEXT(B971,"0"),STOCK!A:H,7,0),1)</f>
        <v>1</v>
      </c>
    </row>
    <row r="972" spans="7:10" ht="35.450000000000003" hidden="1" customHeight="1">
      <c r="G972" s="113"/>
      <c r="J972" s="28">
        <f>IFERROR(VLOOKUP(TEXT(B972,"0"),STOCK!A:H,7,0),1)</f>
        <v>1</v>
      </c>
    </row>
    <row r="973" spans="7:10" ht="35.450000000000003" hidden="1" customHeight="1">
      <c r="G973" s="113"/>
      <c r="J973" s="28">
        <f>IFERROR(VLOOKUP(TEXT(B973,"0"),STOCK!A:H,7,0),1)</f>
        <v>1</v>
      </c>
    </row>
    <row r="974" spans="7:10" ht="35.450000000000003" hidden="1" customHeight="1">
      <c r="G974" s="113"/>
      <c r="J974" s="28">
        <f>IFERROR(VLOOKUP(TEXT(B974,"0"),STOCK!A:H,7,0),1)</f>
        <v>1</v>
      </c>
    </row>
    <row r="975" spans="7:10" ht="35.450000000000003" hidden="1" customHeight="1">
      <c r="G975" s="113"/>
      <c r="J975" s="28">
        <f>IFERROR(VLOOKUP(TEXT(B975,"0"),STOCK!A:H,7,0),1)</f>
        <v>1</v>
      </c>
    </row>
    <row r="976" spans="7:10" ht="35.450000000000003" hidden="1" customHeight="1">
      <c r="G976" s="113"/>
      <c r="J976" s="28">
        <f>IFERROR(VLOOKUP(TEXT(B976,"0"),STOCK!A:H,7,0),1)</f>
        <v>1</v>
      </c>
    </row>
    <row r="977" spans="7:10" ht="35.450000000000003" hidden="1" customHeight="1">
      <c r="G977" s="113"/>
      <c r="J977" s="28">
        <f>IFERROR(VLOOKUP(TEXT(B977,"0"),STOCK!A:H,7,0),1)</f>
        <v>1</v>
      </c>
    </row>
    <row r="978" spans="7:10" ht="35.450000000000003" hidden="1" customHeight="1">
      <c r="G978" s="113"/>
      <c r="J978" s="28">
        <f>IFERROR(VLOOKUP(TEXT(B978,"0"),STOCK!A:H,7,0),1)</f>
        <v>1</v>
      </c>
    </row>
    <row r="979" spans="7:10" ht="35.450000000000003" hidden="1" customHeight="1">
      <c r="G979" s="113"/>
      <c r="J979" s="28">
        <f>IFERROR(VLOOKUP(TEXT(B979,"0"),STOCK!A:H,7,0),1)</f>
        <v>1</v>
      </c>
    </row>
    <row r="980" spans="7:10" ht="35.450000000000003" hidden="1" customHeight="1">
      <c r="G980" s="113"/>
      <c r="J980" s="28">
        <f>IFERROR(VLOOKUP(TEXT(B980,"0"),STOCK!A:H,7,0),1)</f>
        <v>1</v>
      </c>
    </row>
    <row r="981" spans="7:10" ht="35.450000000000003" hidden="1" customHeight="1">
      <c r="G981" s="113"/>
      <c r="J981" s="28">
        <f>IFERROR(VLOOKUP(TEXT(B981,"0"),STOCK!A:H,7,0),1)</f>
        <v>1</v>
      </c>
    </row>
    <row r="982" spans="7:10" ht="35.450000000000003" hidden="1" customHeight="1">
      <c r="G982" s="113"/>
      <c r="J982" s="28">
        <f>IFERROR(VLOOKUP(TEXT(B982,"0"),STOCK!A:H,7,0),1)</f>
        <v>1</v>
      </c>
    </row>
    <row r="983" spans="7:10" ht="35.450000000000003" hidden="1" customHeight="1">
      <c r="G983" s="113"/>
      <c r="J983" s="28">
        <f>IFERROR(VLOOKUP(TEXT(B983,"0"),STOCK!A:H,7,0),1)</f>
        <v>1</v>
      </c>
    </row>
    <row r="984" spans="7:10" ht="35.450000000000003" hidden="1" customHeight="1">
      <c r="G984" s="113"/>
      <c r="J984" s="28">
        <f>IFERROR(VLOOKUP(TEXT(B984,"0"),STOCK!A:H,7,0),1)</f>
        <v>1</v>
      </c>
    </row>
    <row r="985" spans="7:10" ht="35.450000000000003" hidden="1" customHeight="1">
      <c r="G985" s="113"/>
      <c r="J985" s="28">
        <f>IFERROR(VLOOKUP(TEXT(B985,"0"),STOCK!A:H,7,0),1)</f>
        <v>1</v>
      </c>
    </row>
    <row r="986" spans="7:10" ht="35.450000000000003" hidden="1" customHeight="1">
      <c r="G986" s="113"/>
      <c r="J986" s="28">
        <f>IFERROR(VLOOKUP(TEXT(B986,"0"),STOCK!A:H,7,0),1)</f>
        <v>1</v>
      </c>
    </row>
    <row r="987" spans="7:10" ht="35.450000000000003" hidden="1" customHeight="1">
      <c r="G987" s="113"/>
      <c r="J987" s="28">
        <f>IFERROR(VLOOKUP(TEXT(B987,"0"),STOCK!A:H,7,0),1)</f>
        <v>1</v>
      </c>
    </row>
    <row r="988" spans="7:10" ht="35.450000000000003" hidden="1" customHeight="1">
      <c r="G988" s="113"/>
      <c r="J988" s="28">
        <f>IFERROR(VLOOKUP(TEXT(B988,"0"),STOCK!A:H,7,0),1)</f>
        <v>1</v>
      </c>
    </row>
    <row r="989" spans="7:10" ht="35.450000000000003" hidden="1" customHeight="1">
      <c r="G989" s="113"/>
      <c r="J989" s="28">
        <f>IFERROR(VLOOKUP(TEXT(B989,"0"),STOCK!A:H,7,0),1)</f>
        <v>1</v>
      </c>
    </row>
    <row r="990" spans="7:10" ht="35.450000000000003" hidden="1" customHeight="1">
      <c r="G990" s="113"/>
      <c r="J990" s="28">
        <f>IFERROR(VLOOKUP(TEXT(B990,"0"),STOCK!A:H,7,0),1)</f>
        <v>1</v>
      </c>
    </row>
    <row r="991" spans="7:10" ht="35.450000000000003" hidden="1" customHeight="1">
      <c r="G991" s="113"/>
      <c r="J991" s="28">
        <f>IFERROR(VLOOKUP(TEXT(B991,"0"),STOCK!A:H,7,0),1)</f>
        <v>1</v>
      </c>
    </row>
    <row r="992" spans="7:10" ht="35.450000000000003" hidden="1" customHeight="1">
      <c r="G992" s="113"/>
      <c r="J992" s="28">
        <f>IFERROR(VLOOKUP(TEXT(B992,"0"),STOCK!A:H,7,0),1)</f>
        <v>1</v>
      </c>
    </row>
    <row r="993" spans="7:10" ht="35.450000000000003" hidden="1" customHeight="1">
      <c r="G993" s="113"/>
      <c r="J993" s="28">
        <f>IFERROR(VLOOKUP(TEXT(B993,"0"),STOCK!A:H,7,0),1)</f>
        <v>1</v>
      </c>
    </row>
    <row r="994" spans="7:10" ht="35.450000000000003" hidden="1" customHeight="1">
      <c r="G994" s="113"/>
      <c r="J994" s="28">
        <f>IFERROR(VLOOKUP(TEXT(B994,"0"),STOCK!A:H,7,0),1)</f>
        <v>1</v>
      </c>
    </row>
    <row r="995" spans="7:10" ht="35.450000000000003" hidden="1" customHeight="1">
      <c r="G995" s="113"/>
      <c r="J995" s="28">
        <f>IFERROR(VLOOKUP(TEXT(B995,"0"),STOCK!A:H,7,0),1)</f>
        <v>1</v>
      </c>
    </row>
    <row r="996" spans="7:10" ht="35.450000000000003" hidden="1" customHeight="1">
      <c r="G996" s="113"/>
      <c r="J996" s="28">
        <f>IFERROR(VLOOKUP(TEXT(B996,"0"),STOCK!A:H,7,0),1)</f>
        <v>1</v>
      </c>
    </row>
    <row r="997" spans="7:10" ht="35.450000000000003" hidden="1" customHeight="1">
      <c r="G997" s="113"/>
      <c r="J997" s="28">
        <f>IFERROR(VLOOKUP(TEXT(B997,"0"),STOCK!A:H,7,0),1)</f>
        <v>1</v>
      </c>
    </row>
    <row r="998" spans="7:10" ht="35.450000000000003" hidden="1" customHeight="1">
      <c r="G998" s="113"/>
      <c r="J998" s="28">
        <f>IFERROR(VLOOKUP(TEXT(B998,"0"),STOCK!A:H,7,0),1)</f>
        <v>1</v>
      </c>
    </row>
    <row r="999" spans="7:10" ht="35.450000000000003" hidden="1" customHeight="1">
      <c r="G999" s="113"/>
      <c r="J999" s="28">
        <f>IFERROR(VLOOKUP(TEXT(B999,"0"),STOCK!A:H,7,0),1)</f>
        <v>1</v>
      </c>
    </row>
    <row r="1000" spans="7:10" ht="35.450000000000003" hidden="1" customHeight="1">
      <c r="G1000" s="113"/>
      <c r="J1000" s="28">
        <f>IFERROR(VLOOKUP(TEXT(B1000,"0"),STOCK!A:H,7,0),1)</f>
        <v>1</v>
      </c>
    </row>
    <row r="1001" spans="7:10" ht="35.450000000000003" hidden="1" customHeight="1">
      <c r="G1001" s="113"/>
      <c r="J1001" s="28">
        <f>IFERROR(VLOOKUP(TEXT(B1001,"0"),STOCK!A:H,7,0),1)</f>
        <v>1</v>
      </c>
    </row>
    <row r="1002" spans="7:10" ht="35.450000000000003" hidden="1" customHeight="1">
      <c r="G1002" s="113"/>
      <c r="J1002" s="28">
        <f>IFERROR(VLOOKUP(TEXT(B1002,"0"),STOCK!A:H,7,0),1)</f>
        <v>1</v>
      </c>
    </row>
    <row r="1003" spans="7:10" ht="35.450000000000003" hidden="1" customHeight="1">
      <c r="G1003" s="113"/>
      <c r="J1003" s="28">
        <f>IFERROR(VLOOKUP(TEXT(B1003,"0"),STOCK!A:H,7,0),1)</f>
        <v>1</v>
      </c>
    </row>
    <row r="1004" spans="7:10" ht="35.450000000000003" hidden="1" customHeight="1">
      <c r="G1004" s="113"/>
      <c r="J1004" s="28">
        <f>IFERROR(VLOOKUP(TEXT(B1004,"0"),STOCK!A:H,7,0),1)</f>
        <v>1</v>
      </c>
    </row>
    <row r="1005" spans="7:10" ht="35.450000000000003" hidden="1" customHeight="1">
      <c r="G1005" s="113"/>
      <c r="J1005" s="28">
        <f>IFERROR(VLOOKUP(TEXT(B1005,"0"),STOCK!A:H,7,0),1)</f>
        <v>1</v>
      </c>
    </row>
    <row r="1006" spans="7:10" ht="35.450000000000003" hidden="1" customHeight="1">
      <c r="G1006" s="113"/>
      <c r="J1006" s="28">
        <f>IFERROR(VLOOKUP(TEXT(B1006,"0"),STOCK!A:H,7,0),1)</f>
        <v>1</v>
      </c>
    </row>
    <row r="1007" spans="7:10" ht="35.450000000000003" hidden="1" customHeight="1">
      <c r="G1007" s="113"/>
      <c r="J1007" s="28">
        <f>IFERROR(VLOOKUP(TEXT(B1007,"0"),STOCK!A:H,7,0),1)</f>
        <v>1</v>
      </c>
    </row>
    <row r="1008" spans="7:10" ht="35.450000000000003" hidden="1" customHeight="1">
      <c r="G1008" s="113"/>
      <c r="J1008" s="28">
        <f>IFERROR(VLOOKUP(TEXT(B1008,"0"),STOCK!A:H,7,0),1)</f>
        <v>1</v>
      </c>
    </row>
    <row r="1009" spans="7:10" ht="35.450000000000003" hidden="1" customHeight="1">
      <c r="G1009" s="113"/>
      <c r="J1009" s="28">
        <f>IFERROR(VLOOKUP(TEXT(B1009,"0"),STOCK!A:H,7,0),1)</f>
        <v>1</v>
      </c>
    </row>
    <row r="1010" spans="7:10" ht="35.450000000000003" hidden="1" customHeight="1">
      <c r="G1010" s="113"/>
      <c r="J1010" s="28">
        <f>IFERROR(VLOOKUP(TEXT(B1010,"0"),STOCK!A:H,7,0),1)</f>
        <v>1</v>
      </c>
    </row>
    <row r="1011" spans="7:10" ht="35.450000000000003" hidden="1" customHeight="1">
      <c r="G1011" s="113"/>
      <c r="J1011" s="28">
        <f>IFERROR(VLOOKUP(TEXT(B1011,"0"),STOCK!A:H,7,0),1)</f>
        <v>1</v>
      </c>
    </row>
    <row r="1012" spans="7:10" ht="35.450000000000003" hidden="1" customHeight="1">
      <c r="G1012" s="113"/>
      <c r="J1012" s="28">
        <f>IFERROR(VLOOKUP(TEXT(B1012,"0"),STOCK!A:H,7,0),1)</f>
        <v>1</v>
      </c>
    </row>
    <row r="1013" spans="7:10" ht="35.450000000000003" hidden="1" customHeight="1">
      <c r="G1013" s="113"/>
      <c r="J1013" s="28">
        <f>IFERROR(VLOOKUP(TEXT(B1013,"0"),STOCK!A:H,7,0),1)</f>
        <v>1</v>
      </c>
    </row>
    <row r="1014" spans="7:10" ht="35.450000000000003" hidden="1" customHeight="1">
      <c r="G1014" s="113"/>
      <c r="J1014" s="28">
        <f>IFERROR(VLOOKUP(TEXT(B1014,"0"),STOCK!A:H,7,0),1)</f>
        <v>1</v>
      </c>
    </row>
    <row r="1015" spans="7:10" ht="35.450000000000003" hidden="1" customHeight="1">
      <c r="G1015" s="113"/>
      <c r="J1015" s="28">
        <f>IFERROR(VLOOKUP(TEXT(B1015,"0"),STOCK!A:H,7,0),1)</f>
        <v>1</v>
      </c>
    </row>
    <row r="1016" spans="7:10" ht="35.450000000000003" hidden="1" customHeight="1">
      <c r="G1016" s="113"/>
      <c r="J1016" s="28">
        <f>IFERROR(VLOOKUP(TEXT(B1016,"0"),STOCK!A:H,7,0),1)</f>
        <v>1</v>
      </c>
    </row>
    <row r="1017" spans="7:10" ht="35.450000000000003" hidden="1" customHeight="1">
      <c r="G1017" s="113"/>
      <c r="J1017" s="28">
        <f>IFERROR(VLOOKUP(TEXT(B1017,"0"),STOCK!A:H,7,0),1)</f>
        <v>1</v>
      </c>
    </row>
    <row r="1018" spans="7:10" ht="35.450000000000003" hidden="1" customHeight="1">
      <c r="G1018" s="113"/>
      <c r="J1018" s="28">
        <f>IFERROR(VLOOKUP(TEXT(B1018,"0"),STOCK!A:H,7,0),1)</f>
        <v>1</v>
      </c>
    </row>
    <row r="1019" spans="7:10" ht="35.450000000000003" hidden="1" customHeight="1">
      <c r="G1019" s="113"/>
      <c r="J1019" s="28">
        <f>IFERROR(VLOOKUP(TEXT(B1019,"0"),STOCK!A:H,7,0),1)</f>
        <v>1</v>
      </c>
    </row>
    <row r="1020" spans="7:10" ht="35.450000000000003" hidden="1" customHeight="1">
      <c r="G1020" s="113"/>
      <c r="J1020" s="28">
        <f>IFERROR(VLOOKUP(TEXT(B1020,"0"),STOCK!A:H,7,0),1)</f>
        <v>1</v>
      </c>
    </row>
    <row r="1021" spans="7:10" ht="35.450000000000003" hidden="1" customHeight="1">
      <c r="G1021" s="113"/>
      <c r="J1021" s="28">
        <f>IFERROR(VLOOKUP(TEXT(B1021,"0"),STOCK!A:H,7,0),1)</f>
        <v>1</v>
      </c>
    </row>
    <row r="1022" spans="7:10" ht="35.450000000000003" hidden="1" customHeight="1">
      <c r="G1022" s="113"/>
      <c r="J1022" s="28">
        <f>IFERROR(VLOOKUP(TEXT(B1022,"0"),STOCK!A:H,7,0),1)</f>
        <v>1</v>
      </c>
    </row>
    <row r="1023" spans="7:10" ht="35.450000000000003" hidden="1" customHeight="1">
      <c r="G1023" s="113"/>
      <c r="J1023" s="28">
        <f>IFERROR(VLOOKUP(TEXT(B1023,"0"),STOCK!A:H,7,0),1)</f>
        <v>1</v>
      </c>
    </row>
    <row r="1024" spans="7:10" ht="35.450000000000003" hidden="1" customHeight="1">
      <c r="G1024" s="113"/>
      <c r="J1024" s="28">
        <f>IFERROR(VLOOKUP(TEXT(B1024,"0"),STOCK!A:H,7,0),1)</f>
        <v>1</v>
      </c>
    </row>
    <row r="1025" spans="7:10" ht="35.450000000000003" hidden="1" customHeight="1">
      <c r="G1025" s="113"/>
      <c r="J1025" s="28">
        <f>IFERROR(VLOOKUP(TEXT(B1025,"0"),STOCK!A:H,7,0),1)</f>
        <v>1</v>
      </c>
    </row>
    <row r="1026" spans="7:10" ht="35.450000000000003" hidden="1" customHeight="1">
      <c r="G1026" s="113"/>
      <c r="J1026" s="28">
        <f>IFERROR(VLOOKUP(TEXT(B1026,"0"),STOCK!A:H,7,0),1)</f>
        <v>1</v>
      </c>
    </row>
    <row r="1027" spans="7:10" ht="35.450000000000003" hidden="1" customHeight="1">
      <c r="G1027" s="113"/>
      <c r="J1027" s="28">
        <f>IFERROR(VLOOKUP(TEXT(B1027,"0"),STOCK!A:H,7,0),1)</f>
        <v>1</v>
      </c>
    </row>
    <row r="1028" spans="7:10" ht="35.450000000000003" hidden="1" customHeight="1">
      <c r="G1028" s="113"/>
      <c r="J1028" s="28">
        <f>IFERROR(VLOOKUP(TEXT(B1028,"0"),STOCK!A:H,7,0),1)</f>
        <v>1</v>
      </c>
    </row>
    <row r="1029" spans="7:10" ht="35.450000000000003" hidden="1" customHeight="1">
      <c r="G1029" s="113"/>
      <c r="J1029" s="28">
        <f>IFERROR(VLOOKUP(TEXT(B1029,"0"),STOCK!A:H,7,0),1)</f>
        <v>1</v>
      </c>
    </row>
    <row r="1030" spans="7:10" ht="35.450000000000003" hidden="1" customHeight="1">
      <c r="G1030" s="113"/>
      <c r="J1030" s="28">
        <f>IFERROR(VLOOKUP(TEXT(B1030,"0"),STOCK!A:H,7,0),1)</f>
        <v>1</v>
      </c>
    </row>
    <row r="1031" spans="7:10" ht="35.450000000000003" hidden="1" customHeight="1">
      <c r="G1031" s="113"/>
      <c r="J1031" s="28">
        <f>IFERROR(VLOOKUP(TEXT(B1031,"0"),STOCK!A:H,7,0),1)</f>
        <v>1</v>
      </c>
    </row>
    <row r="1032" spans="7:10" ht="35.450000000000003" hidden="1" customHeight="1">
      <c r="G1032" s="113"/>
      <c r="J1032" s="28">
        <f>IFERROR(VLOOKUP(TEXT(B1032,"0"),STOCK!A:H,7,0),1)</f>
        <v>1</v>
      </c>
    </row>
    <row r="1033" spans="7:10" ht="35.450000000000003" hidden="1" customHeight="1">
      <c r="G1033" s="113"/>
      <c r="J1033" s="28">
        <f>IFERROR(VLOOKUP(TEXT(B1033,"0"),STOCK!A:H,7,0),1)</f>
        <v>1</v>
      </c>
    </row>
    <row r="1034" spans="7:10" ht="35.450000000000003" hidden="1" customHeight="1">
      <c r="G1034" s="113"/>
      <c r="J1034" s="28">
        <f>IFERROR(VLOOKUP(TEXT(B1034,"0"),STOCK!A:H,7,0),1)</f>
        <v>1</v>
      </c>
    </row>
    <row r="1035" spans="7:10" ht="35.450000000000003" hidden="1" customHeight="1">
      <c r="G1035" s="113"/>
      <c r="J1035" s="28">
        <f>IFERROR(VLOOKUP(TEXT(B1035,"0"),STOCK!A:H,7,0),1)</f>
        <v>1</v>
      </c>
    </row>
    <row r="1036" spans="7:10" ht="35.450000000000003" hidden="1" customHeight="1">
      <c r="G1036" s="113"/>
      <c r="J1036" s="28">
        <f>IFERROR(VLOOKUP(TEXT(B1036,"0"),STOCK!A:H,7,0),1)</f>
        <v>1</v>
      </c>
    </row>
    <row r="1037" spans="7:10" ht="35.450000000000003" hidden="1" customHeight="1">
      <c r="G1037" s="113"/>
      <c r="J1037" s="28">
        <f>IFERROR(VLOOKUP(TEXT(B1037,"0"),STOCK!A:H,7,0),1)</f>
        <v>1</v>
      </c>
    </row>
    <row r="1038" spans="7:10" ht="35.450000000000003" hidden="1" customHeight="1">
      <c r="G1038" s="113"/>
      <c r="J1038" s="28">
        <f>IFERROR(VLOOKUP(TEXT(B1038,"0"),STOCK!A:H,7,0),1)</f>
        <v>1</v>
      </c>
    </row>
    <row r="1039" spans="7:10" ht="35.450000000000003" hidden="1" customHeight="1">
      <c r="G1039" s="113"/>
      <c r="J1039" s="28">
        <f>IFERROR(VLOOKUP(TEXT(B1039,"0"),STOCK!A:H,7,0),1)</f>
        <v>1</v>
      </c>
    </row>
    <row r="1040" spans="7:10" ht="35.450000000000003" hidden="1" customHeight="1">
      <c r="G1040" s="113"/>
      <c r="J1040" s="28">
        <f>IFERROR(VLOOKUP(TEXT(B1040,"0"),STOCK!A:H,7,0),1)</f>
        <v>1</v>
      </c>
    </row>
    <row r="1041" spans="7:10" ht="35.450000000000003" hidden="1" customHeight="1">
      <c r="G1041" s="113"/>
      <c r="J1041" s="28">
        <f>IFERROR(VLOOKUP(TEXT(B1041,"0"),STOCK!A:H,7,0),1)</f>
        <v>1</v>
      </c>
    </row>
    <row r="1042" spans="7:10" ht="35.450000000000003" hidden="1" customHeight="1">
      <c r="G1042" s="113"/>
      <c r="J1042" s="28">
        <f>IFERROR(VLOOKUP(TEXT(B1042,"0"),STOCK!A:H,7,0),1)</f>
        <v>1</v>
      </c>
    </row>
    <row r="1043" spans="7:10" ht="35.450000000000003" hidden="1" customHeight="1">
      <c r="G1043" s="113"/>
      <c r="J1043" s="28">
        <f>IFERROR(VLOOKUP(TEXT(B1043,"0"),STOCK!A:H,7,0),1)</f>
        <v>1</v>
      </c>
    </row>
    <row r="1044" spans="7:10" ht="35.450000000000003" hidden="1" customHeight="1">
      <c r="G1044" s="113"/>
      <c r="J1044" s="28">
        <f>IFERROR(VLOOKUP(TEXT(B1044,"0"),STOCK!A:H,7,0),1)</f>
        <v>1</v>
      </c>
    </row>
    <row r="1045" spans="7:10" ht="35.450000000000003" hidden="1" customHeight="1">
      <c r="G1045" s="113"/>
      <c r="J1045" s="28">
        <f>IFERROR(VLOOKUP(TEXT(B1045,"0"),STOCK!A:H,7,0),1)</f>
        <v>1</v>
      </c>
    </row>
    <row r="1046" spans="7:10" ht="35.450000000000003" hidden="1" customHeight="1">
      <c r="G1046" s="113"/>
      <c r="J1046" s="28">
        <f>IFERROR(VLOOKUP(TEXT(B1046,"0"),STOCK!A:H,7,0),1)</f>
        <v>1</v>
      </c>
    </row>
    <row r="1047" spans="7:10" ht="35.450000000000003" hidden="1" customHeight="1">
      <c r="G1047" s="113"/>
      <c r="J1047" s="28">
        <f>IFERROR(VLOOKUP(TEXT(B1047,"0"),STOCK!A:H,7,0),1)</f>
        <v>1</v>
      </c>
    </row>
    <row r="1048" spans="7:10" ht="35.450000000000003" hidden="1" customHeight="1">
      <c r="G1048" s="113"/>
      <c r="J1048" s="28">
        <f>IFERROR(VLOOKUP(TEXT(B1048,"0"),STOCK!A:H,7,0),1)</f>
        <v>1</v>
      </c>
    </row>
    <row r="1049" spans="7:10" ht="35.450000000000003" hidden="1" customHeight="1">
      <c r="G1049" s="113"/>
      <c r="J1049" s="28">
        <f>IFERROR(VLOOKUP(TEXT(B1049,"0"),STOCK!A:H,7,0),1)</f>
        <v>1</v>
      </c>
    </row>
    <row r="1050" spans="7:10" ht="35.450000000000003" hidden="1" customHeight="1">
      <c r="G1050" s="113"/>
      <c r="J1050" s="28">
        <f>IFERROR(VLOOKUP(TEXT(B1050,"0"),STOCK!A:H,7,0),1)</f>
        <v>1</v>
      </c>
    </row>
    <row r="1051" spans="7:10" ht="35.450000000000003" hidden="1" customHeight="1">
      <c r="G1051" s="113"/>
      <c r="J1051" s="28">
        <f>IFERROR(VLOOKUP(TEXT(B1051,"0"),STOCK!A:H,7,0),1)</f>
        <v>1</v>
      </c>
    </row>
    <row r="1052" spans="7:10" ht="35.450000000000003" hidden="1" customHeight="1">
      <c r="G1052" s="113"/>
      <c r="J1052" s="28">
        <f>IFERROR(VLOOKUP(TEXT(B1052,"0"),STOCK!A:H,7,0),1)</f>
        <v>1</v>
      </c>
    </row>
    <row r="1053" spans="7:10" ht="35.450000000000003" hidden="1" customHeight="1">
      <c r="G1053" s="113"/>
      <c r="J1053" s="28">
        <f>IFERROR(VLOOKUP(TEXT(B1053,"0"),STOCK!A:H,7,0),1)</f>
        <v>1</v>
      </c>
    </row>
    <row r="1054" spans="7:10" ht="35.450000000000003" hidden="1" customHeight="1">
      <c r="G1054" s="113"/>
      <c r="J1054" s="28">
        <f>IFERROR(VLOOKUP(TEXT(B1054,"0"),STOCK!A:H,7,0),1)</f>
        <v>1</v>
      </c>
    </row>
    <row r="1055" spans="7:10" ht="35.450000000000003" hidden="1" customHeight="1">
      <c r="G1055" s="113"/>
      <c r="J1055" s="28">
        <f>IFERROR(VLOOKUP(TEXT(B1055,"0"),STOCK!A:H,7,0),1)</f>
        <v>1</v>
      </c>
    </row>
    <row r="1056" spans="7:10" ht="35.450000000000003" hidden="1" customHeight="1">
      <c r="G1056" s="113"/>
      <c r="J1056" s="28">
        <f>IFERROR(VLOOKUP(TEXT(B1056,"0"),STOCK!A:H,7,0),1)</f>
        <v>1</v>
      </c>
    </row>
    <row r="1057" spans="7:10" ht="35.450000000000003" hidden="1" customHeight="1">
      <c r="G1057" s="113"/>
      <c r="J1057" s="28">
        <f>IFERROR(VLOOKUP(TEXT(B1057,"0"),STOCK!A:H,7,0),1)</f>
        <v>1</v>
      </c>
    </row>
    <row r="1058" spans="7:10" ht="35.450000000000003" hidden="1" customHeight="1">
      <c r="G1058" s="113"/>
      <c r="J1058" s="28">
        <f>IFERROR(VLOOKUP(TEXT(B1058,"0"),STOCK!A:H,7,0),1)</f>
        <v>1</v>
      </c>
    </row>
    <row r="1059" spans="7:10" ht="35.450000000000003" hidden="1" customHeight="1">
      <c r="G1059" s="113"/>
      <c r="J1059" s="28">
        <f>IFERROR(VLOOKUP(TEXT(B1059,"0"),STOCK!A:H,7,0),1)</f>
        <v>1</v>
      </c>
    </row>
    <row r="1060" spans="7:10" ht="35.450000000000003" hidden="1" customHeight="1">
      <c r="G1060" s="113"/>
      <c r="J1060" s="28">
        <f>IFERROR(VLOOKUP(TEXT(B1060,"0"),STOCK!A:H,7,0),1)</f>
        <v>1</v>
      </c>
    </row>
    <row r="1061" spans="7:10" ht="35.450000000000003" hidden="1" customHeight="1">
      <c r="G1061" s="113"/>
      <c r="J1061" s="28">
        <f>IFERROR(VLOOKUP(TEXT(B1061,"0"),STOCK!A:H,7,0),1)</f>
        <v>1</v>
      </c>
    </row>
    <row r="1062" spans="7:10" ht="35.450000000000003" hidden="1" customHeight="1">
      <c r="G1062" s="113"/>
      <c r="J1062" s="28">
        <f>IFERROR(VLOOKUP(TEXT(B1062,"0"),STOCK!A:H,7,0),1)</f>
        <v>1</v>
      </c>
    </row>
    <row r="1063" spans="7:10" ht="35.450000000000003" hidden="1" customHeight="1">
      <c r="G1063" s="113"/>
      <c r="J1063" s="28">
        <f>IFERROR(VLOOKUP(TEXT(B1063,"0"),STOCK!A:H,7,0),1)</f>
        <v>1</v>
      </c>
    </row>
    <row r="1064" spans="7:10" ht="35.450000000000003" hidden="1" customHeight="1">
      <c r="G1064" s="113"/>
      <c r="J1064" s="28">
        <f>IFERROR(VLOOKUP(TEXT(B1064,"0"),STOCK!A:H,7,0),1)</f>
        <v>1</v>
      </c>
    </row>
    <row r="1065" spans="7:10" ht="35.450000000000003" hidden="1" customHeight="1">
      <c r="G1065" s="113"/>
      <c r="J1065" s="28">
        <f>IFERROR(VLOOKUP(TEXT(B1065,"0"),STOCK!A:H,7,0),1)</f>
        <v>1</v>
      </c>
    </row>
    <row r="1066" spans="7:10" ht="35.450000000000003" hidden="1" customHeight="1">
      <c r="G1066" s="113"/>
      <c r="J1066" s="28">
        <f>IFERROR(VLOOKUP(TEXT(B1066,"0"),STOCK!A:H,7,0),1)</f>
        <v>1</v>
      </c>
    </row>
    <row r="1067" spans="7:10" ht="35.450000000000003" hidden="1" customHeight="1">
      <c r="G1067" s="113"/>
      <c r="J1067" s="28">
        <f>IFERROR(VLOOKUP(TEXT(B1067,"0"),STOCK!A:H,7,0),1)</f>
        <v>1</v>
      </c>
    </row>
    <row r="1068" spans="7:10" ht="35.450000000000003" hidden="1" customHeight="1">
      <c r="G1068" s="113"/>
      <c r="J1068" s="28">
        <f>IFERROR(VLOOKUP(TEXT(B1068,"0"),STOCK!A:H,7,0),1)</f>
        <v>1</v>
      </c>
    </row>
    <row r="1069" spans="7:10" ht="35.450000000000003" hidden="1" customHeight="1">
      <c r="G1069" s="113"/>
      <c r="J1069" s="28">
        <f>IFERROR(VLOOKUP(TEXT(B1069,"0"),STOCK!A:H,7,0),1)</f>
        <v>1</v>
      </c>
    </row>
    <row r="1070" spans="7:10" ht="35.450000000000003" hidden="1" customHeight="1">
      <c r="G1070" s="113"/>
      <c r="J1070" s="28">
        <f>IFERROR(VLOOKUP(TEXT(B1070,"0"),STOCK!A:H,7,0),1)</f>
        <v>1</v>
      </c>
    </row>
    <row r="1071" spans="7:10" ht="35.450000000000003" hidden="1" customHeight="1">
      <c r="G1071" s="113"/>
      <c r="J1071" s="28">
        <f>IFERROR(VLOOKUP(TEXT(B1071,"0"),STOCK!A:H,7,0),1)</f>
        <v>1</v>
      </c>
    </row>
    <row r="1072" spans="7:10" ht="35.450000000000003" hidden="1" customHeight="1">
      <c r="G1072" s="113"/>
      <c r="J1072" s="28">
        <f>IFERROR(VLOOKUP(TEXT(B1072,"0"),STOCK!A:H,7,0),1)</f>
        <v>1</v>
      </c>
    </row>
    <row r="1073" spans="7:10" ht="35.450000000000003" hidden="1" customHeight="1">
      <c r="G1073" s="113"/>
      <c r="J1073" s="28">
        <f>IFERROR(VLOOKUP(TEXT(B1073,"0"),STOCK!A:H,7,0),1)</f>
        <v>1</v>
      </c>
    </row>
    <row r="1074" spans="7:10" ht="35.450000000000003" hidden="1" customHeight="1">
      <c r="G1074" s="113"/>
      <c r="J1074" s="28">
        <f>IFERROR(VLOOKUP(TEXT(B1074,"0"),STOCK!A:H,7,0),1)</f>
        <v>1</v>
      </c>
    </row>
    <row r="1075" spans="7:10" ht="35.450000000000003" hidden="1" customHeight="1">
      <c r="G1075" s="113"/>
      <c r="J1075" s="28">
        <f>IFERROR(VLOOKUP(TEXT(B1075,"0"),STOCK!A:H,7,0),1)</f>
        <v>1</v>
      </c>
    </row>
    <row r="1076" spans="7:10" ht="35.450000000000003" hidden="1" customHeight="1">
      <c r="G1076" s="113"/>
      <c r="J1076" s="28">
        <f>IFERROR(VLOOKUP(TEXT(B1076,"0"),STOCK!A:H,7,0),1)</f>
        <v>1</v>
      </c>
    </row>
    <row r="1077" spans="7:10" ht="35.450000000000003" hidden="1" customHeight="1">
      <c r="G1077" s="113"/>
      <c r="J1077" s="28">
        <f>IFERROR(VLOOKUP(TEXT(B1077,"0"),STOCK!A:H,7,0),1)</f>
        <v>1</v>
      </c>
    </row>
    <row r="1078" spans="7:10" ht="35.450000000000003" hidden="1" customHeight="1">
      <c r="G1078" s="113"/>
      <c r="J1078" s="28">
        <f>IFERROR(VLOOKUP(TEXT(B1078,"0"),STOCK!A:H,7,0),1)</f>
        <v>1</v>
      </c>
    </row>
    <row r="1079" spans="7:10" ht="35.450000000000003" hidden="1" customHeight="1">
      <c r="G1079" s="113"/>
      <c r="J1079" s="28">
        <f>IFERROR(VLOOKUP(TEXT(B1079,"0"),STOCK!A:H,7,0),1)</f>
        <v>1</v>
      </c>
    </row>
    <row r="1080" spans="7:10" ht="35.450000000000003" hidden="1" customHeight="1">
      <c r="G1080" s="113"/>
      <c r="J1080" s="28">
        <f>IFERROR(VLOOKUP(TEXT(B1080,"0"),STOCK!A:H,7,0),1)</f>
        <v>1</v>
      </c>
    </row>
    <row r="1081" spans="7:10" ht="35.450000000000003" hidden="1" customHeight="1">
      <c r="G1081" s="113"/>
      <c r="J1081" s="28">
        <f>IFERROR(VLOOKUP(TEXT(B1081,"0"),STOCK!A:H,7,0),1)</f>
        <v>1</v>
      </c>
    </row>
    <row r="1082" spans="7:10" ht="35.450000000000003" hidden="1" customHeight="1">
      <c r="G1082" s="113"/>
      <c r="J1082" s="28">
        <f>IFERROR(VLOOKUP(TEXT(B1082,"0"),STOCK!A:H,7,0),1)</f>
        <v>1</v>
      </c>
    </row>
    <row r="1083" spans="7:10" ht="35.450000000000003" hidden="1" customHeight="1">
      <c r="G1083" s="113"/>
      <c r="J1083" s="28">
        <f>IFERROR(VLOOKUP(TEXT(B1083,"0"),STOCK!A:H,7,0),1)</f>
        <v>1</v>
      </c>
    </row>
    <row r="1084" spans="7:10" ht="35.450000000000003" hidden="1" customHeight="1">
      <c r="G1084" s="113"/>
      <c r="J1084" s="28">
        <f>IFERROR(VLOOKUP(TEXT(B1084,"0"),STOCK!A:H,7,0),1)</f>
        <v>1</v>
      </c>
    </row>
    <row r="1085" spans="7:10" ht="35.450000000000003" hidden="1" customHeight="1">
      <c r="G1085" s="113"/>
      <c r="J1085" s="28">
        <f>IFERROR(VLOOKUP(TEXT(B1085,"0"),STOCK!A:H,7,0),1)</f>
        <v>1</v>
      </c>
    </row>
    <row r="1086" spans="7:10" ht="35.450000000000003" hidden="1" customHeight="1">
      <c r="G1086" s="113"/>
      <c r="J1086" s="28">
        <f>IFERROR(VLOOKUP(TEXT(B1086,"0"),STOCK!A:H,7,0),1)</f>
        <v>1</v>
      </c>
    </row>
    <row r="1087" spans="7:10" ht="35.450000000000003" hidden="1" customHeight="1">
      <c r="G1087" s="113"/>
      <c r="J1087" s="28">
        <f>IFERROR(VLOOKUP(TEXT(B1087,"0"),STOCK!A:H,7,0),1)</f>
        <v>1</v>
      </c>
    </row>
    <row r="1088" spans="7:10" ht="35.450000000000003" hidden="1" customHeight="1">
      <c r="G1088" s="113"/>
      <c r="J1088" s="28">
        <f>IFERROR(VLOOKUP(TEXT(B1088,"0"),STOCK!A:H,7,0),1)</f>
        <v>1</v>
      </c>
    </row>
    <row r="1089" spans="7:10" ht="35.450000000000003" hidden="1" customHeight="1">
      <c r="G1089" s="113"/>
      <c r="J1089" s="28">
        <f>IFERROR(VLOOKUP(TEXT(B1089,"0"),STOCK!A:H,7,0),1)</f>
        <v>1</v>
      </c>
    </row>
    <row r="1090" spans="7:10" ht="35.450000000000003" hidden="1" customHeight="1">
      <c r="G1090" s="113"/>
      <c r="J1090" s="28">
        <f>IFERROR(VLOOKUP(TEXT(B1090,"0"),STOCK!A:H,7,0),1)</f>
        <v>1</v>
      </c>
    </row>
    <row r="1091" spans="7:10" ht="35.450000000000003" hidden="1" customHeight="1">
      <c r="G1091" s="113"/>
      <c r="J1091" s="28">
        <f>IFERROR(VLOOKUP(TEXT(B1091,"0"),STOCK!A:H,7,0),1)</f>
        <v>1</v>
      </c>
    </row>
    <row r="1092" spans="7:10" ht="35.450000000000003" hidden="1" customHeight="1">
      <c r="G1092" s="113"/>
      <c r="J1092" s="28">
        <f>IFERROR(VLOOKUP(TEXT(B1092,"0"),STOCK!A:H,7,0),1)</f>
        <v>1</v>
      </c>
    </row>
    <row r="1093" spans="7:10" ht="35.450000000000003" hidden="1" customHeight="1">
      <c r="G1093" s="113"/>
      <c r="J1093" s="28">
        <f>IFERROR(VLOOKUP(TEXT(B1093,"0"),STOCK!A:H,7,0),1)</f>
        <v>1</v>
      </c>
    </row>
    <row r="1094" spans="7:10" ht="35.450000000000003" hidden="1" customHeight="1">
      <c r="G1094" s="113"/>
      <c r="J1094" s="28">
        <f>IFERROR(VLOOKUP(TEXT(B1094,"0"),STOCK!A:H,7,0),1)</f>
        <v>1</v>
      </c>
    </row>
    <row r="1095" spans="7:10" ht="35.450000000000003" hidden="1" customHeight="1">
      <c r="G1095" s="113"/>
      <c r="J1095" s="28">
        <f>IFERROR(VLOOKUP(TEXT(B1095,"0"),STOCK!A:H,7,0),1)</f>
        <v>1</v>
      </c>
    </row>
    <row r="1096" spans="7:10" ht="35.450000000000003" hidden="1" customHeight="1">
      <c r="G1096" s="113"/>
      <c r="J1096" s="28">
        <f>IFERROR(VLOOKUP(TEXT(B1096,"0"),STOCK!A:H,7,0),1)</f>
        <v>1</v>
      </c>
    </row>
    <row r="1097" spans="7:10" ht="35.450000000000003" hidden="1" customHeight="1">
      <c r="G1097" s="113"/>
      <c r="J1097" s="28">
        <f>IFERROR(VLOOKUP(TEXT(B1097,"0"),STOCK!A:H,7,0),1)</f>
        <v>1</v>
      </c>
    </row>
    <row r="1098" spans="7:10" ht="35.450000000000003" hidden="1" customHeight="1">
      <c r="G1098" s="113"/>
      <c r="J1098" s="28">
        <f>IFERROR(VLOOKUP(TEXT(B1098,"0"),STOCK!A:H,7,0),1)</f>
        <v>1</v>
      </c>
    </row>
    <row r="1099" spans="7:10" ht="35.450000000000003" hidden="1" customHeight="1">
      <c r="G1099" s="113"/>
      <c r="J1099" s="28">
        <f>IFERROR(VLOOKUP(TEXT(B1099,"0"),STOCK!A:H,7,0),1)</f>
        <v>1</v>
      </c>
    </row>
    <row r="1100" spans="7:10" ht="35.450000000000003" hidden="1" customHeight="1">
      <c r="G1100" s="113"/>
      <c r="J1100" s="28">
        <f>IFERROR(VLOOKUP(TEXT(B1100,"0"),STOCK!A:H,7,0),1)</f>
        <v>1</v>
      </c>
    </row>
    <row r="1101" spans="7:10" ht="35.450000000000003" hidden="1" customHeight="1">
      <c r="G1101" s="113"/>
      <c r="J1101" s="28">
        <f>IFERROR(VLOOKUP(TEXT(B1101,"0"),STOCK!A:H,7,0),1)</f>
        <v>1</v>
      </c>
    </row>
    <row r="1102" spans="7:10" ht="35.450000000000003" hidden="1" customHeight="1">
      <c r="G1102" s="113"/>
      <c r="J1102" s="28">
        <f>IFERROR(VLOOKUP(TEXT(B1102,"0"),STOCK!A:H,7,0),1)</f>
        <v>1</v>
      </c>
    </row>
    <row r="1103" spans="7:10" ht="35.450000000000003" hidden="1" customHeight="1">
      <c r="G1103" s="113"/>
      <c r="J1103" s="28">
        <f>IFERROR(VLOOKUP(TEXT(B1103,"0"),STOCK!A:H,7,0),1)</f>
        <v>1</v>
      </c>
    </row>
    <row r="1104" spans="7:10" ht="35.450000000000003" hidden="1" customHeight="1">
      <c r="G1104" s="113"/>
      <c r="J1104" s="28">
        <f>IFERROR(VLOOKUP(TEXT(B1104,"0"),STOCK!A:H,7,0),1)</f>
        <v>1</v>
      </c>
    </row>
    <row r="1105" spans="7:10" ht="35.450000000000003" hidden="1" customHeight="1">
      <c r="G1105" s="113"/>
      <c r="J1105" s="28">
        <f>IFERROR(VLOOKUP(TEXT(B1105,"0"),STOCK!A:H,7,0),1)</f>
        <v>1</v>
      </c>
    </row>
    <row r="1106" spans="7:10" ht="35.450000000000003" hidden="1" customHeight="1">
      <c r="G1106" s="113"/>
      <c r="J1106" s="28">
        <f>IFERROR(VLOOKUP(TEXT(B1106,"0"),STOCK!A:H,7,0),1)</f>
        <v>1</v>
      </c>
    </row>
    <row r="1107" spans="7:10" ht="35.450000000000003" hidden="1" customHeight="1">
      <c r="G1107" s="113"/>
      <c r="J1107" s="28">
        <f>IFERROR(VLOOKUP(TEXT(B1107,"0"),STOCK!A:H,7,0),1)</f>
        <v>1</v>
      </c>
    </row>
    <row r="1108" spans="7:10" ht="35.450000000000003" hidden="1" customHeight="1">
      <c r="G1108" s="113"/>
      <c r="J1108" s="28">
        <f>IFERROR(VLOOKUP(TEXT(B1108,"0"),STOCK!A:H,7,0),1)</f>
        <v>1</v>
      </c>
    </row>
    <row r="1109" spans="7:10" ht="35.450000000000003" hidden="1" customHeight="1">
      <c r="G1109" s="113"/>
      <c r="J1109" s="28">
        <f>IFERROR(VLOOKUP(TEXT(B1109,"0"),STOCK!A:H,7,0),1)</f>
        <v>1</v>
      </c>
    </row>
    <row r="1110" spans="7:10" ht="35.450000000000003" hidden="1" customHeight="1">
      <c r="G1110" s="113"/>
      <c r="J1110" s="28">
        <f>IFERROR(VLOOKUP(TEXT(B1110,"0"),STOCK!A:H,7,0),1)</f>
        <v>1</v>
      </c>
    </row>
    <row r="1111" spans="7:10" ht="35.450000000000003" hidden="1" customHeight="1">
      <c r="G1111" s="113"/>
      <c r="J1111" s="28">
        <f>IFERROR(VLOOKUP(TEXT(B1111,"0"),STOCK!A:H,7,0),1)</f>
        <v>1</v>
      </c>
    </row>
    <row r="1112" spans="7:10" ht="35.450000000000003" hidden="1" customHeight="1">
      <c r="G1112" s="113"/>
      <c r="J1112" s="28">
        <f>IFERROR(VLOOKUP(TEXT(B1112,"0"),STOCK!A:H,7,0),1)</f>
        <v>1</v>
      </c>
    </row>
    <row r="1113" spans="7:10" ht="35.450000000000003" hidden="1" customHeight="1">
      <c r="G1113" s="113"/>
      <c r="J1113" s="28">
        <f>IFERROR(VLOOKUP(TEXT(B1113,"0"),STOCK!A:H,7,0),1)</f>
        <v>1</v>
      </c>
    </row>
    <row r="1114" spans="7:10" ht="35.450000000000003" hidden="1" customHeight="1">
      <c r="G1114" s="113"/>
      <c r="J1114" s="28">
        <f>IFERROR(VLOOKUP(TEXT(B1114,"0"),STOCK!A:H,7,0),1)</f>
        <v>1</v>
      </c>
    </row>
    <row r="1115" spans="7:10" ht="35.450000000000003" hidden="1" customHeight="1">
      <c r="G1115" s="113"/>
      <c r="J1115" s="28">
        <f>IFERROR(VLOOKUP(TEXT(B1115,"0"),STOCK!A:H,7,0),1)</f>
        <v>1</v>
      </c>
    </row>
    <row r="1116" spans="7:10" ht="35.450000000000003" hidden="1" customHeight="1">
      <c r="G1116" s="113"/>
      <c r="J1116" s="28">
        <f>IFERROR(VLOOKUP(TEXT(B1116,"0"),STOCK!A:H,7,0),1)</f>
        <v>1</v>
      </c>
    </row>
    <row r="1117" spans="7:10" ht="35.450000000000003" hidden="1" customHeight="1">
      <c r="G1117" s="113"/>
      <c r="J1117" s="28">
        <f>IFERROR(VLOOKUP(TEXT(B1117,"0"),STOCK!A:H,7,0),1)</f>
        <v>1</v>
      </c>
    </row>
    <row r="1118" spans="7:10" ht="35.450000000000003" hidden="1" customHeight="1">
      <c r="G1118" s="113"/>
      <c r="J1118" s="28">
        <f>IFERROR(VLOOKUP(TEXT(B1118,"0"),STOCK!A:H,7,0),1)</f>
        <v>1</v>
      </c>
    </row>
    <row r="1119" spans="7:10" ht="35.450000000000003" hidden="1" customHeight="1">
      <c r="G1119" s="113"/>
      <c r="J1119" s="28">
        <f>IFERROR(VLOOKUP(TEXT(B1119,"0"),STOCK!A:H,7,0),1)</f>
        <v>1</v>
      </c>
    </row>
    <row r="1120" spans="7:10" ht="35.450000000000003" hidden="1" customHeight="1">
      <c r="G1120" s="113"/>
      <c r="J1120" s="28">
        <f>IFERROR(VLOOKUP(TEXT(B1120,"0"),STOCK!A:H,7,0),1)</f>
        <v>1</v>
      </c>
    </row>
    <row r="1121" spans="7:10" ht="35.450000000000003" hidden="1" customHeight="1">
      <c r="G1121" s="113"/>
      <c r="J1121" s="28">
        <f>IFERROR(VLOOKUP(TEXT(B1121,"0"),STOCK!A:H,7,0),1)</f>
        <v>1</v>
      </c>
    </row>
    <row r="1122" spans="7:10" ht="35.450000000000003" hidden="1" customHeight="1">
      <c r="G1122" s="113"/>
      <c r="J1122" s="28">
        <f>IFERROR(VLOOKUP(TEXT(B1122,"0"),STOCK!A:H,7,0),1)</f>
        <v>1</v>
      </c>
    </row>
    <row r="1123" spans="7:10" ht="35.450000000000003" hidden="1" customHeight="1">
      <c r="G1123" s="113"/>
      <c r="J1123" s="28">
        <f>IFERROR(VLOOKUP(TEXT(B1123,"0"),STOCK!A:H,7,0),1)</f>
        <v>1</v>
      </c>
    </row>
    <row r="1124" spans="7:10" ht="35.450000000000003" hidden="1" customHeight="1">
      <c r="G1124" s="113"/>
      <c r="J1124" s="28">
        <f>IFERROR(VLOOKUP(TEXT(B1124,"0"),STOCK!A:H,7,0),1)</f>
        <v>1</v>
      </c>
    </row>
    <row r="1125" spans="7:10" ht="35.450000000000003" hidden="1" customHeight="1">
      <c r="G1125" s="113"/>
      <c r="J1125" s="28">
        <f>IFERROR(VLOOKUP(TEXT(B1125,"0"),STOCK!A:H,7,0),1)</f>
        <v>1</v>
      </c>
    </row>
    <row r="1126" spans="7:10" ht="35.450000000000003" hidden="1" customHeight="1">
      <c r="G1126" s="113"/>
      <c r="J1126" s="28">
        <f>IFERROR(VLOOKUP(TEXT(B1126,"0"),STOCK!A:H,7,0),1)</f>
        <v>1</v>
      </c>
    </row>
    <row r="1127" spans="7:10" ht="35.450000000000003" hidden="1" customHeight="1">
      <c r="G1127" s="113"/>
      <c r="J1127" s="28">
        <f>IFERROR(VLOOKUP(TEXT(B1127,"0"),STOCK!A:H,7,0),1)</f>
        <v>1</v>
      </c>
    </row>
    <row r="1128" spans="7:10" ht="35.450000000000003" hidden="1" customHeight="1">
      <c r="G1128" s="113"/>
      <c r="J1128" s="28">
        <f>IFERROR(VLOOKUP(TEXT(B1128,"0"),STOCK!A:H,7,0),1)</f>
        <v>1</v>
      </c>
    </row>
    <row r="1129" spans="7:10" ht="35.450000000000003" hidden="1" customHeight="1">
      <c r="G1129" s="113"/>
      <c r="J1129" s="28">
        <f>IFERROR(VLOOKUP(TEXT(B1129,"0"),STOCK!A:H,7,0),1)</f>
        <v>1</v>
      </c>
    </row>
    <row r="1130" spans="7:10" ht="35.450000000000003" hidden="1" customHeight="1">
      <c r="G1130" s="113"/>
      <c r="J1130" s="28">
        <f>IFERROR(VLOOKUP(TEXT(B1130,"0"),STOCK!A:H,7,0),1)</f>
        <v>1</v>
      </c>
    </row>
    <row r="1131" spans="7:10" ht="35.450000000000003" hidden="1" customHeight="1">
      <c r="G1131" s="113"/>
      <c r="J1131" s="28">
        <f>IFERROR(VLOOKUP(TEXT(B1131,"0"),STOCK!A:H,7,0),1)</f>
        <v>1</v>
      </c>
    </row>
    <row r="1132" spans="7:10" ht="35.450000000000003" hidden="1" customHeight="1">
      <c r="G1132" s="113"/>
      <c r="J1132" s="28">
        <f>IFERROR(VLOOKUP(TEXT(B1132,"0"),STOCK!A:H,7,0),1)</f>
        <v>1</v>
      </c>
    </row>
    <row r="1133" spans="7:10" ht="35.450000000000003" hidden="1" customHeight="1">
      <c r="G1133" s="113"/>
      <c r="J1133" s="28">
        <f>IFERROR(VLOOKUP(TEXT(B1133,"0"),STOCK!A:H,7,0),1)</f>
        <v>1</v>
      </c>
    </row>
    <row r="1134" spans="7:10" ht="35.450000000000003" hidden="1" customHeight="1">
      <c r="G1134" s="113"/>
      <c r="J1134" s="28">
        <f>IFERROR(VLOOKUP(TEXT(B1134,"0"),STOCK!A:H,7,0),1)</f>
        <v>1</v>
      </c>
    </row>
    <row r="1135" spans="7:10" ht="35.450000000000003" hidden="1" customHeight="1">
      <c r="G1135" s="113"/>
      <c r="J1135" s="28">
        <f>IFERROR(VLOOKUP(TEXT(B1135,"0"),STOCK!A:H,7,0),1)</f>
        <v>1</v>
      </c>
    </row>
    <row r="1136" spans="7:10" ht="35.450000000000003" hidden="1" customHeight="1">
      <c r="G1136" s="113"/>
      <c r="J1136" s="28">
        <f>IFERROR(VLOOKUP(TEXT(B1136,"0"),STOCK!A:H,7,0),1)</f>
        <v>1</v>
      </c>
    </row>
    <row r="1137" spans="7:10" ht="35.450000000000003" hidden="1" customHeight="1">
      <c r="G1137" s="113"/>
      <c r="J1137" s="28">
        <f>IFERROR(VLOOKUP(TEXT(B1137,"0"),STOCK!A:H,7,0),1)</f>
        <v>1</v>
      </c>
    </row>
    <row r="1138" spans="7:10" ht="35.450000000000003" hidden="1" customHeight="1">
      <c r="G1138" s="113"/>
      <c r="J1138" s="28">
        <f>IFERROR(VLOOKUP(TEXT(B1138,"0"),STOCK!A:H,7,0),1)</f>
        <v>1</v>
      </c>
    </row>
    <row r="1139" spans="7:10" ht="35.450000000000003" hidden="1" customHeight="1">
      <c r="G1139" s="113"/>
      <c r="J1139" s="28">
        <f>IFERROR(VLOOKUP(TEXT(B1139,"0"),STOCK!A:H,7,0),1)</f>
        <v>1</v>
      </c>
    </row>
    <row r="1140" spans="7:10" ht="35.450000000000003" hidden="1" customHeight="1">
      <c r="G1140" s="113"/>
      <c r="J1140" s="28">
        <f>IFERROR(VLOOKUP(TEXT(B1140,"0"),STOCK!A:H,7,0),1)</f>
        <v>1</v>
      </c>
    </row>
    <row r="1141" spans="7:10" ht="35.450000000000003" hidden="1" customHeight="1">
      <c r="G1141" s="113"/>
      <c r="J1141" s="28">
        <f>IFERROR(VLOOKUP(TEXT(B1141,"0"),STOCK!A:H,7,0),1)</f>
        <v>1</v>
      </c>
    </row>
    <row r="1142" spans="7:10" ht="35.450000000000003" hidden="1" customHeight="1">
      <c r="G1142" s="113"/>
      <c r="J1142" s="28">
        <f>IFERROR(VLOOKUP(TEXT(B1142,"0"),STOCK!A:H,7,0),1)</f>
        <v>1</v>
      </c>
    </row>
    <row r="1143" spans="7:10" ht="35.450000000000003" hidden="1" customHeight="1">
      <c r="G1143" s="113"/>
      <c r="J1143" s="28">
        <f>IFERROR(VLOOKUP(TEXT(B1143,"0"),STOCK!A:H,7,0),1)</f>
        <v>1</v>
      </c>
    </row>
    <row r="1144" spans="7:10" ht="35.450000000000003" hidden="1" customHeight="1">
      <c r="G1144" s="113"/>
      <c r="J1144" s="28">
        <f>IFERROR(VLOOKUP(TEXT(B1144,"0"),STOCK!A:H,7,0),1)</f>
        <v>1</v>
      </c>
    </row>
    <row r="1145" spans="7:10" ht="35.450000000000003" hidden="1" customHeight="1">
      <c r="G1145" s="113"/>
      <c r="J1145" s="28">
        <f>IFERROR(VLOOKUP(TEXT(B1145,"0"),STOCK!A:H,7,0),1)</f>
        <v>1</v>
      </c>
    </row>
    <row r="1146" spans="7:10" ht="35.450000000000003" hidden="1" customHeight="1">
      <c r="G1146" s="113"/>
      <c r="J1146" s="28">
        <f>IFERROR(VLOOKUP(TEXT(B1146,"0"),STOCK!A:H,7,0),1)</f>
        <v>1</v>
      </c>
    </row>
    <row r="1147" spans="7:10" ht="35.450000000000003" hidden="1" customHeight="1">
      <c r="G1147" s="113"/>
      <c r="J1147" s="28">
        <f>IFERROR(VLOOKUP(TEXT(B1147,"0"),STOCK!A:H,7,0),1)</f>
        <v>1</v>
      </c>
    </row>
    <row r="1148" spans="7:10" ht="35.450000000000003" hidden="1" customHeight="1">
      <c r="G1148" s="113"/>
      <c r="J1148" s="28">
        <f>IFERROR(VLOOKUP(TEXT(B1148,"0"),STOCK!A:H,7,0),1)</f>
        <v>1</v>
      </c>
    </row>
    <row r="1149" spans="7:10" ht="35.450000000000003" hidden="1" customHeight="1">
      <c r="G1149" s="113"/>
      <c r="J1149" s="28">
        <f>IFERROR(VLOOKUP(TEXT(B1149,"0"),STOCK!A:H,7,0),1)</f>
        <v>1</v>
      </c>
    </row>
    <row r="1150" spans="7:10" ht="35.450000000000003" hidden="1" customHeight="1">
      <c r="G1150" s="113"/>
      <c r="J1150" s="28">
        <f>IFERROR(VLOOKUP(TEXT(B1150,"0"),STOCK!A:H,7,0),1)</f>
        <v>1</v>
      </c>
    </row>
    <row r="1151" spans="7:10" ht="35.450000000000003" hidden="1" customHeight="1">
      <c r="G1151" s="113"/>
      <c r="J1151" s="28">
        <f>IFERROR(VLOOKUP(TEXT(B1151,"0"),STOCK!A:H,7,0),1)</f>
        <v>1</v>
      </c>
    </row>
    <row r="1152" spans="7:10" ht="35.450000000000003" hidden="1" customHeight="1">
      <c r="G1152" s="113"/>
      <c r="J1152" s="28">
        <f>IFERROR(VLOOKUP(TEXT(B1152,"0"),STOCK!A:H,7,0),1)</f>
        <v>1</v>
      </c>
    </row>
    <row r="1153" spans="7:10" ht="35.450000000000003" hidden="1" customHeight="1">
      <c r="G1153" s="113"/>
      <c r="J1153" s="28">
        <f>IFERROR(VLOOKUP(TEXT(B1153,"0"),STOCK!A:H,7,0),1)</f>
        <v>1</v>
      </c>
    </row>
    <row r="1154" spans="7:10" ht="35.450000000000003" hidden="1" customHeight="1">
      <c r="G1154" s="113"/>
      <c r="J1154" s="28">
        <f>IFERROR(VLOOKUP(TEXT(B1154,"0"),STOCK!A:H,7,0),1)</f>
        <v>1</v>
      </c>
    </row>
    <row r="1155" spans="7:10" ht="35.450000000000003" hidden="1" customHeight="1">
      <c r="G1155" s="113"/>
      <c r="J1155" s="28">
        <f>IFERROR(VLOOKUP(TEXT(B1155,"0"),STOCK!A:H,7,0),1)</f>
        <v>1</v>
      </c>
    </row>
    <row r="1156" spans="7:10" ht="35.450000000000003" hidden="1" customHeight="1">
      <c r="G1156" s="113"/>
      <c r="J1156" s="28">
        <f>IFERROR(VLOOKUP(TEXT(B1156,"0"),STOCK!A:H,7,0),1)</f>
        <v>1</v>
      </c>
    </row>
    <row r="1157" spans="7:10" ht="35.450000000000003" hidden="1" customHeight="1">
      <c r="G1157" s="113"/>
      <c r="J1157" s="28">
        <f>IFERROR(VLOOKUP(TEXT(B1157,"0"),STOCK!A:H,7,0),1)</f>
        <v>1</v>
      </c>
    </row>
    <row r="1158" spans="7:10" ht="35.450000000000003" hidden="1" customHeight="1">
      <c r="G1158" s="113"/>
      <c r="J1158" s="28">
        <f>IFERROR(VLOOKUP(TEXT(B1158,"0"),STOCK!A:H,7,0),1)</f>
        <v>1</v>
      </c>
    </row>
    <row r="1159" spans="7:10" ht="35.450000000000003" hidden="1" customHeight="1">
      <c r="G1159" s="113"/>
      <c r="J1159" s="28">
        <f>IFERROR(VLOOKUP(TEXT(B1159,"0"),STOCK!A:H,7,0),1)</f>
        <v>1</v>
      </c>
    </row>
    <row r="1160" spans="7:10" ht="35.450000000000003" hidden="1" customHeight="1">
      <c r="G1160" s="113"/>
      <c r="J1160" s="28">
        <f>IFERROR(VLOOKUP(TEXT(B1160,"0"),STOCK!A:H,7,0),1)</f>
        <v>1</v>
      </c>
    </row>
    <row r="1161" spans="7:10" ht="35.450000000000003" hidden="1" customHeight="1">
      <c r="G1161" s="113"/>
      <c r="J1161" s="28">
        <f>IFERROR(VLOOKUP(TEXT(B1161,"0"),STOCK!A:H,7,0),1)</f>
        <v>1</v>
      </c>
    </row>
    <row r="1162" spans="7:10" ht="35.450000000000003" hidden="1" customHeight="1">
      <c r="G1162" s="113"/>
      <c r="J1162" s="28">
        <f>IFERROR(VLOOKUP(TEXT(B1162,"0"),STOCK!A:H,7,0),1)</f>
        <v>1</v>
      </c>
    </row>
    <row r="1163" spans="7:10" ht="35.450000000000003" hidden="1" customHeight="1">
      <c r="G1163" s="113"/>
      <c r="J1163" s="28">
        <f>IFERROR(VLOOKUP(TEXT(B1163,"0"),STOCK!A:H,7,0),1)</f>
        <v>1</v>
      </c>
    </row>
    <row r="1164" spans="7:10" ht="35.450000000000003" hidden="1" customHeight="1">
      <c r="G1164" s="113"/>
      <c r="J1164" s="28">
        <f>IFERROR(VLOOKUP(TEXT(B1164,"0"),STOCK!A:H,7,0),1)</f>
        <v>1</v>
      </c>
    </row>
    <row r="1165" spans="7:10" ht="35.450000000000003" hidden="1" customHeight="1">
      <c r="G1165" s="113"/>
      <c r="J1165" s="28">
        <f>IFERROR(VLOOKUP(TEXT(B1165,"0"),STOCK!A:H,7,0),1)</f>
        <v>1</v>
      </c>
    </row>
    <row r="1166" spans="7:10" ht="35.450000000000003" hidden="1" customHeight="1">
      <c r="G1166" s="113"/>
      <c r="J1166" s="28">
        <f>IFERROR(VLOOKUP(TEXT(B1166,"0"),STOCK!A:H,7,0),1)</f>
        <v>1</v>
      </c>
    </row>
    <row r="1167" spans="7:10" ht="35.450000000000003" hidden="1" customHeight="1">
      <c r="G1167" s="113"/>
      <c r="J1167" s="28">
        <f>IFERROR(VLOOKUP(TEXT(B1167,"0"),STOCK!A:H,7,0),1)</f>
        <v>1</v>
      </c>
    </row>
    <row r="1168" spans="7:10" ht="35.450000000000003" hidden="1" customHeight="1">
      <c r="G1168" s="113"/>
      <c r="J1168" s="28">
        <f>IFERROR(VLOOKUP(TEXT(B1168,"0"),STOCK!A:H,7,0),1)</f>
        <v>1</v>
      </c>
    </row>
    <row r="1169" spans="7:10" ht="35.450000000000003" hidden="1" customHeight="1">
      <c r="G1169" s="113"/>
      <c r="J1169" s="28">
        <f>IFERROR(VLOOKUP(TEXT(B1169,"0"),STOCK!A:H,7,0),1)</f>
        <v>1</v>
      </c>
    </row>
    <row r="1170" spans="7:10" ht="35.450000000000003" hidden="1" customHeight="1">
      <c r="G1170" s="113"/>
      <c r="J1170" s="28">
        <f>IFERROR(VLOOKUP(TEXT(B1170,"0"),STOCK!A:H,7,0),1)</f>
        <v>1</v>
      </c>
    </row>
    <row r="1171" spans="7:10" ht="35.450000000000003" hidden="1" customHeight="1">
      <c r="G1171" s="113"/>
      <c r="J1171" s="28">
        <f>IFERROR(VLOOKUP(TEXT(B1171,"0"),STOCK!A:H,7,0),1)</f>
        <v>1</v>
      </c>
    </row>
    <row r="1172" spans="7:10" ht="35.450000000000003" hidden="1" customHeight="1">
      <c r="G1172" s="113"/>
      <c r="J1172" s="28">
        <f>IFERROR(VLOOKUP(TEXT(B1172,"0"),STOCK!A:H,7,0),1)</f>
        <v>1</v>
      </c>
    </row>
    <row r="1173" spans="7:10" ht="35.450000000000003" hidden="1" customHeight="1">
      <c r="G1173" s="113"/>
      <c r="J1173" s="28">
        <f>IFERROR(VLOOKUP(TEXT(B1173,"0"),STOCK!A:H,7,0),1)</f>
        <v>1</v>
      </c>
    </row>
    <row r="1174" spans="7:10" ht="35.450000000000003" hidden="1" customHeight="1">
      <c r="G1174" s="113"/>
      <c r="J1174" s="28">
        <f>IFERROR(VLOOKUP(TEXT(B1174,"0"),STOCK!A:H,7,0),1)</f>
        <v>1</v>
      </c>
    </row>
    <row r="1175" spans="7:10" ht="35.450000000000003" hidden="1" customHeight="1">
      <c r="G1175" s="113"/>
      <c r="J1175" s="28">
        <f>IFERROR(VLOOKUP(TEXT(B1175,"0"),STOCK!A:H,7,0),1)</f>
        <v>1</v>
      </c>
    </row>
    <row r="1176" spans="7:10" ht="35.450000000000003" hidden="1" customHeight="1">
      <c r="G1176" s="113"/>
      <c r="J1176" s="28">
        <f>IFERROR(VLOOKUP(TEXT(B1176,"0"),STOCK!A:H,7,0),1)</f>
        <v>1</v>
      </c>
    </row>
    <row r="1177" spans="7:10" ht="35.450000000000003" hidden="1" customHeight="1">
      <c r="G1177" s="113"/>
      <c r="J1177" s="28">
        <f>IFERROR(VLOOKUP(TEXT(B1177,"0"),STOCK!A:H,7,0),1)</f>
        <v>1</v>
      </c>
    </row>
    <row r="1178" spans="7:10" ht="35.450000000000003" hidden="1" customHeight="1">
      <c r="G1178" s="113"/>
      <c r="J1178" s="28">
        <f>IFERROR(VLOOKUP(TEXT(B1178,"0"),STOCK!A:H,7,0),1)</f>
        <v>1</v>
      </c>
    </row>
    <row r="1179" spans="7:10" ht="35.450000000000003" hidden="1" customHeight="1">
      <c r="G1179" s="113"/>
      <c r="J1179" s="28">
        <f>IFERROR(VLOOKUP(TEXT(B1179,"0"),STOCK!A:H,7,0),1)</f>
        <v>1</v>
      </c>
    </row>
    <row r="1180" spans="7:10" ht="35.450000000000003" hidden="1" customHeight="1">
      <c r="G1180" s="113"/>
      <c r="J1180" s="28">
        <f>IFERROR(VLOOKUP(TEXT(B1180,"0"),STOCK!A:H,7,0),1)</f>
        <v>1</v>
      </c>
    </row>
    <row r="1181" spans="7:10" ht="35.450000000000003" hidden="1" customHeight="1">
      <c r="G1181" s="113"/>
      <c r="J1181" s="28">
        <f>IFERROR(VLOOKUP(TEXT(B1181,"0"),STOCK!A:H,7,0),1)</f>
        <v>1</v>
      </c>
    </row>
    <row r="1182" spans="7:10" ht="35.450000000000003" hidden="1" customHeight="1">
      <c r="G1182" s="113"/>
      <c r="J1182" s="28">
        <f>IFERROR(VLOOKUP(TEXT(B1182,"0"),STOCK!A:H,7,0),1)</f>
        <v>1</v>
      </c>
    </row>
    <row r="1183" spans="7:10" ht="35.450000000000003" hidden="1" customHeight="1">
      <c r="G1183" s="113"/>
      <c r="J1183" s="28">
        <f>IFERROR(VLOOKUP(TEXT(B1183,"0"),STOCK!A:H,7,0),1)</f>
        <v>1</v>
      </c>
    </row>
    <row r="1184" spans="7:10" ht="35.450000000000003" hidden="1" customHeight="1">
      <c r="G1184" s="113"/>
      <c r="J1184" s="28">
        <f>IFERROR(VLOOKUP(TEXT(B1184,"0"),STOCK!A:H,7,0),1)</f>
        <v>1</v>
      </c>
    </row>
    <row r="1185" spans="7:10" ht="35.450000000000003" hidden="1" customHeight="1">
      <c r="G1185" s="113"/>
      <c r="J1185" s="28">
        <f>IFERROR(VLOOKUP(TEXT(B1185,"0"),STOCK!A:H,7,0),1)</f>
        <v>1</v>
      </c>
    </row>
    <row r="1186" spans="7:10" ht="35.450000000000003" hidden="1" customHeight="1">
      <c r="G1186" s="113"/>
      <c r="J1186" s="28">
        <f>IFERROR(VLOOKUP(TEXT(B1186,"0"),STOCK!A:H,7,0),1)</f>
        <v>1</v>
      </c>
    </row>
    <row r="1187" spans="7:10" ht="35.450000000000003" hidden="1" customHeight="1">
      <c r="G1187" s="113"/>
      <c r="J1187" s="28">
        <f>IFERROR(VLOOKUP(TEXT(B1187,"0"),STOCK!A:H,7,0),1)</f>
        <v>1</v>
      </c>
    </row>
    <row r="1188" spans="7:10" ht="35.450000000000003" hidden="1" customHeight="1">
      <c r="G1188" s="113"/>
      <c r="J1188" s="28">
        <f>IFERROR(VLOOKUP(TEXT(B1188,"0"),STOCK!A:H,7,0),1)</f>
        <v>1</v>
      </c>
    </row>
    <row r="1189" spans="7:10" ht="35.450000000000003" hidden="1" customHeight="1">
      <c r="G1189" s="113"/>
      <c r="J1189" s="28">
        <f>IFERROR(VLOOKUP(TEXT(B1189,"0"),STOCK!A:H,7,0),1)</f>
        <v>1</v>
      </c>
    </row>
    <row r="1190" spans="7:10" ht="35.450000000000003" hidden="1" customHeight="1">
      <c r="G1190" s="113"/>
      <c r="J1190" s="28">
        <f>IFERROR(VLOOKUP(TEXT(B1190,"0"),STOCK!A:H,7,0),1)</f>
        <v>1</v>
      </c>
    </row>
    <row r="1191" spans="7:10" ht="35.450000000000003" hidden="1" customHeight="1">
      <c r="G1191" s="113"/>
      <c r="J1191" s="28">
        <f>IFERROR(VLOOKUP(TEXT(B1191,"0"),STOCK!A:H,7,0),1)</f>
        <v>1</v>
      </c>
    </row>
    <row r="1192" spans="7:10" ht="35.450000000000003" hidden="1" customHeight="1">
      <c r="G1192" s="113"/>
      <c r="J1192" s="28">
        <f>IFERROR(VLOOKUP(TEXT(B1192,"0"),STOCK!A:H,7,0),1)</f>
        <v>1</v>
      </c>
    </row>
    <row r="1193" spans="7:10" ht="35.450000000000003" hidden="1" customHeight="1">
      <c r="G1193" s="113"/>
      <c r="J1193" s="28">
        <f>IFERROR(VLOOKUP(TEXT(B1193,"0"),STOCK!A:H,7,0),1)</f>
        <v>1</v>
      </c>
    </row>
    <row r="1194" spans="7:10" ht="35.450000000000003" hidden="1" customHeight="1">
      <c r="G1194" s="113"/>
      <c r="J1194" s="28">
        <f>IFERROR(VLOOKUP(TEXT(B1194,"0"),STOCK!A:H,7,0),1)</f>
        <v>1</v>
      </c>
    </row>
    <row r="1195" spans="7:10" ht="35.450000000000003" hidden="1" customHeight="1">
      <c r="G1195" s="113"/>
      <c r="J1195" s="28">
        <f>IFERROR(VLOOKUP(TEXT(B1195,"0"),STOCK!A:H,7,0),1)</f>
        <v>1</v>
      </c>
    </row>
    <row r="1196" spans="7:10" ht="35.450000000000003" hidden="1" customHeight="1">
      <c r="G1196" s="113"/>
      <c r="J1196" s="28">
        <f>IFERROR(VLOOKUP(TEXT(B1196,"0"),STOCK!A:H,7,0),1)</f>
        <v>1</v>
      </c>
    </row>
    <row r="1197" spans="7:10" ht="35.450000000000003" hidden="1" customHeight="1">
      <c r="G1197" s="113"/>
      <c r="J1197" s="28">
        <f>IFERROR(VLOOKUP(TEXT(B1197,"0"),STOCK!A:H,7,0),1)</f>
        <v>1</v>
      </c>
    </row>
    <row r="1198" spans="7:10" ht="35.450000000000003" hidden="1" customHeight="1">
      <c r="G1198" s="113"/>
      <c r="J1198" s="28">
        <f>IFERROR(VLOOKUP(TEXT(B1198,"0"),STOCK!A:H,7,0),1)</f>
        <v>1</v>
      </c>
    </row>
    <row r="1199" spans="7:10" ht="35.450000000000003" hidden="1" customHeight="1">
      <c r="G1199" s="113"/>
      <c r="J1199" s="28">
        <f>IFERROR(VLOOKUP(TEXT(B1199,"0"),STOCK!A:H,7,0),1)</f>
        <v>1</v>
      </c>
    </row>
    <row r="1200" spans="7:10" ht="35.450000000000003" hidden="1" customHeight="1">
      <c r="G1200" s="113"/>
      <c r="J1200" s="28">
        <f>IFERROR(VLOOKUP(TEXT(B1200,"0"),STOCK!A:H,7,0),1)</f>
        <v>1</v>
      </c>
    </row>
    <row r="1201" spans="7:10" ht="35.450000000000003" hidden="1" customHeight="1">
      <c r="G1201" s="113"/>
      <c r="J1201" s="28">
        <f>IFERROR(VLOOKUP(TEXT(B1201,"0"),STOCK!A:H,7,0),1)</f>
        <v>1</v>
      </c>
    </row>
    <row r="1202" spans="7:10" ht="35.450000000000003" hidden="1" customHeight="1">
      <c r="G1202" s="113"/>
      <c r="J1202" s="28">
        <f>IFERROR(VLOOKUP(TEXT(B1202,"0"),STOCK!A:H,7,0),1)</f>
        <v>1</v>
      </c>
    </row>
    <row r="1203" spans="7:10" ht="35.450000000000003" hidden="1" customHeight="1">
      <c r="G1203" s="113"/>
      <c r="J1203" s="28">
        <f>IFERROR(VLOOKUP(TEXT(B1203,"0"),STOCK!A:H,7,0),1)</f>
        <v>1</v>
      </c>
    </row>
    <row r="1204" spans="7:10" ht="35.450000000000003" hidden="1" customHeight="1">
      <c r="G1204" s="113"/>
      <c r="J1204" s="28">
        <f>IFERROR(VLOOKUP(TEXT(B1204,"0"),STOCK!A:H,7,0),1)</f>
        <v>1</v>
      </c>
    </row>
    <row r="1205" spans="7:10" ht="35.450000000000003" hidden="1" customHeight="1">
      <c r="G1205" s="113"/>
      <c r="J1205" s="28">
        <f>IFERROR(VLOOKUP(TEXT(B1205,"0"),STOCK!A:H,7,0),1)</f>
        <v>1</v>
      </c>
    </row>
    <row r="1206" spans="7:10" ht="35.450000000000003" hidden="1" customHeight="1">
      <c r="G1206" s="113"/>
      <c r="J1206" s="28">
        <f>IFERROR(VLOOKUP(TEXT(B1206,"0"),STOCK!A:H,7,0),1)</f>
        <v>1</v>
      </c>
    </row>
    <row r="1207" spans="7:10" ht="35.450000000000003" hidden="1" customHeight="1">
      <c r="G1207" s="113"/>
      <c r="J1207" s="28">
        <f>IFERROR(VLOOKUP(TEXT(B1207,"0"),STOCK!A:H,7,0),1)</f>
        <v>1</v>
      </c>
    </row>
    <row r="1208" spans="7:10" ht="35.450000000000003" hidden="1" customHeight="1">
      <c r="G1208" s="113"/>
      <c r="J1208" s="28">
        <f>IFERROR(VLOOKUP(TEXT(B1208,"0"),STOCK!A:H,7,0),1)</f>
        <v>1</v>
      </c>
    </row>
    <row r="1209" spans="7:10" ht="35.450000000000003" hidden="1" customHeight="1">
      <c r="G1209" s="113"/>
      <c r="J1209" s="28">
        <f>IFERROR(VLOOKUP(TEXT(B1209,"0"),STOCK!A:H,7,0),1)</f>
        <v>1</v>
      </c>
    </row>
    <row r="1210" spans="7:10" ht="35.450000000000003" hidden="1" customHeight="1">
      <c r="G1210" s="113"/>
      <c r="J1210" s="28">
        <f>IFERROR(VLOOKUP(TEXT(B1210,"0"),STOCK!A:H,7,0),1)</f>
        <v>1</v>
      </c>
    </row>
    <row r="1211" spans="7:10" ht="35.450000000000003" hidden="1" customHeight="1">
      <c r="G1211" s="113"/>
      <c r="J1211" s="28">
        <f>IFERROR(VLOOKUP(TEXT(B1211,"0"),STOCK!A:H,7,0),1)</f>
        <v>1</v>
      </c>
    </row>
    <row r="1212" spans="7:10" ht="35.450000000000003" hidden="1" customHeight="1">
      <c r="G1212" s="113"/>
      <c r="J1212" s="28">
        <f>IFERROR(VLOOKUP(TEXT(B1212,"0"),STOCK!A:H,7,0),1)</f>
        <v>1</v>
      </c>
    </row>
    <row r="1213" spans="7:10" ht="35.450000000000003" hidden="1" customHeight="1">
      <c r="G1213" s="113"/>
      <c r="J1213" s="28">
        <f>IFERROR(VLOOKUP(TEXT(B1213,"0"),STOCK!A:H,7,0),1)</f>
        <v>1</v>
      </c>
    </row>
    <row r="1214" spans="7:10" ht="35.450000000000003" hidden="1" customHeight="1">
      <c r="G1214" s="113"/>
      <c r="J1214" s="28">
        <f>IFERROR(VLOOKUP(TEXT(B1214,"0"),STOCK!A:H,7,0),1)</f>
        <v>1</v>
      </c>
    </row>
    <row r="1215" spans="7:10" ht="35.450000000000003" hidden="1" customHeight="1">
      <c r="G1215" s="113"/>
      <c r="J1215" s="28">
        <f>IFERROR(VLOOKUP(TEXT(B1215,"0"),STOCK!A:H,7,0),1)</f>
        <v>1</v>
      </c>
    </row>
    <row r="1216" spans="7:10" ht="35.450000000000003" hidden="1" customHeight="1">
      <c r="G1216" s="113"/>
      <c r="J1216" s="28">
        <f>IFERROR(VLOOKUP(TEXT(B1216,"0"),STOCK!A:H,7,0),1)</f>
        <v>1</v>
      </c>
    </row>
    <row r="1217" spans="7:10" ht="35.450000000000003" hidden="1" customHeight="1">
      <c r="G1217" s="113"/>
      <c r="J1217" s="28">
        <f>IFERROR(VLOOKUP(TEXT(B1217,"0"),STOCK!A:H,7,0),1)</f>
        <v>1</v>
      </c>
    </row>
    <row r="1218" spans="7:10" ht="35.450000000000003" hidden="1" customHeight="1">
      <c r="G1218" s="113"/>
      <c r="J1218" s="28">
        <f>IFERROR(VLOOKUP(TEXT(B1218,"0"),STOCK!A:H,7,0),1)</f>
        <v>1</v>
      </c>
    </row>
    <row r="1219" spans="7:10" ht="35.450000000000003" hidden="1" customHeight="1">
      <c r="G1219" s="113"/>
      <c r="J1219" s="28">
        <f>IFERROR(VLOOKUP(TEXT(B1219,"0"),STOCK!A:H,7,0),1)</f>
        <v>1</v>
      </c>
    </row>
    <row r="1220" spans="7:10" ht="35.450000000000003" hidden="1" customHeight="1">
      <c r="G1220" s="113"/>
      <c r="J1220" s="28">
        <f>IFERROR(VLOOKUP(TEXT(B1220,"0"),STOCK!A:H,7,0),1)</f>
        <v>1</v>
      </c>
    </row>
    <row r="1221" spans="7:10" ht="35.450000000000003" hidden="1" customHeight="1">
      <c r="G1221" s="113"/>
      <c r="J1221" s="28">
        <f>IFERROR(VLOOKUP(TEXT(B1221,"0"),STOCK!A:H,7,0),1)</f>
        <v>1</v>
      </c>
    </row>
    <row r="1222" spans="7:10" ht="35.450000000000003" hidden="1" customHeight="1">
      <c r="G1222" s="113"/>
      <c r="J1222" s="28">
        <f>IFERROR(VLOOKUP(TEXT(B1222,"0"),STOCK!A:H,7,0),1)</f>
        <v>1</v>
      </c>
    </row>
    <row r="1223" spans="7:10" ht="35.450000000000003" hidden="1" customHeight="1">
      <c r="G1223" s="113"/>
      <c r="J1223" s="28">
        <f>IFERROR(VLOOKUP(TEXT(B1223,"0"),STOCK!A:H,7,0),1)</f>
        <v>1</v>
      </c>
    </row>
    <row r="1224" spans="7:10" ht="35.450000000000003" hidden="1" customHeight="1">
      <c r="G1224" s="113"/>
      <c r="J1224" s="28">
        <f>IFERROR(VLOOKUP(TEXT(B1224,"0"),STOCK!A:H,7,0),1)</f>
        <v>1</v>
      </c>
    </row>
    <row r="1225" spans="7:10" ht="35.450000000000003" hidden="1" customHeight="1">
      <c r="G1225" s="113"/>
      <c r="J1225" s="28">
        <f>IFERROR(VLOOKUP(TEXT(B1225,"0"),STOCK!A:H,7,0),1)</f>
        <v>1</v>
      </c>
    </row>
    <row r="1226" spans="7:10" ht="35.450000000000003" hidden="1" customHeight="1">
      <c r="G1226" s="113"/>
      <c r="J1226" s="28">
        <f>IFERROR(VLOOKUP(TEXT(B1226,"0"),STOCK!A:H,7,0),1)</f>
        <v>1</v>
      </c>
    </row>
    <row r="1227" spans="7:10" ht="35.450000000000003" hidden="1" customHeight="1">
      <c r="G1227" s="113"/>
      <c r="J1227" s="28">
        <f>IFERROR(VLOOKUP(TEXT(B1227,"0"),STOCK!A:H,7,0),1)</f>
        <v>1</v>
      </c>
    </row>
    <row r="1228" spans="7:10" ht="35.450000000000003" hidden="1" customHeight="1">
      <c r="G1228" s="113"/>
      <c r="J1228" s="28">
        <f>IFERROR(VLOOKUP(TEXT(B1228,"0"),STOCK!A:H,7,0),1)</f>
        <v>1</v>
      </c>
    </row>
    <row r="1229" spans="7:10" ht="35.450000000000003" hidden="1" customHeight="1">
      <c r="G1229" s="113"/>
      <c r="J1229" s="28">
        <f>IFERROR(VLOOKUP(TEXT(B1229,"0"),STOCK!A:H,7,0),1)</f>
        <v>1</v>
      </c>
    </row>
    <row r="1230" spans="7:10" ht="35.450000000000003" hidden="1" customHeight="1">
      <c r="G1230" s="113"/>
      <c r="J1230" s="28">
        <f>IFERROR(VLOOKUP(TEXT(B1230,"0"),STOCK!A:H,7,0),1)</f>
        <v>1</v>
      </c>
    </row>
    <row r="1231" spans="7:10" ht="35.450000000000003" hidden="1" customHeight="1">
      <c r="G1231" s="113"/>
      <c r="J1231" s="28">
        <f>IFERROR(VLOOKUP(TEXT(B1231,"0"),STOCK!A:H,7,0),1)</f>
        <v>1</v>
      </c>
    </row>
    <row r="1232" spans="7:10" ht="35.450000000000003" hidden="1" customHeight="1">
      <c r="G1232" s="113"/>
      <c r="J1232" s="28">
        <f>IFERROR(VLOOKUP(TEXT(B1232,"0"),STOCK!A:H,7,0),1)</f>
        <v>1</v>
      </c>
    </row>
    <row r="1233" spans="7:10" ht="35.450000000000003" hidden="1" customHeight="1">
      <c r="G1233" s="113"/>
      <c r="J1233" s="28">
        <f>IFERROR(VLOOKUP(TEXT(B1233,"0"),STOCK!A:H,7,0),1)</f>
        <v>1</v>
      </c>
    </row>
    <row r="1234" spans="7:10" ht="35.450000000000003" hidden="1" customHeight="1">
      <c r="G1234" s="113"/>
      <c r="J1234" s="28">
        <f>IFERROR(VLOOKUP(TEXT(B1234,"0"),STOCK!A:H,7,0),1)</f>
        <v>1</v>
      </c>
    </row>
    <row r="1235" spans="7:10" ht="35.450000000000003" hidden="1" customHeight="1">
      <c r="G1235" s="113"/>
      <c r="J1235" s="28">
        <f>IFERROR(VLOOKUP(TEXT(B1235,"0"),STOCK!A:H,7,0),1)</f>
        <v>1</v>
      </c>
    </row>
    <row r="1236" spans="7:10" ht="35.450000000000003" hidden="1" customHeight="1">
      <c r="G1236" s="113"/>
      <c r="J1236" s="28">
        <f>IFERROR(VLOOKUP(TEXT(B1236,"0"),STOCK!A:H,7,0),1)</f>
        <v>1</v>
      </c>
    </row>
    <row r="1237" spans="7:10" ht="35.450000000000003" hidden="1" customHeight="1">
      <c r="G1237" s="113"/>
      <c r="J1237" s="28">
        <f>IFERROR(VLOOKUP(TEXT(B1237,"0"),STOCK!A:H,7,0),1)</f>
        <v>1</v>
      </c>
    </row>
    <row r="1238" spans="7:10" ht="35.450000000000003" hidden="1" customHeight="1">
      <c r="G1238" s="113"/>
      <c r="J1238" s="28">
        <f>IFERROR(VLOOKUP(TEXT(B1238,"0"),STOCK!A:H,7,0),1)</f>
        <v>1</v>
      </c>
    </row>
    <row r="1239" spans="7:10" ht="35.450000000000003" hidden="1" customHeight="1">
      <c r="G1239" s="113"/>
      <c r="J1239" s="28">
        <f>IFERROR(VLOOKUP(TEXT(B1239,"0"),STOCK!A:H,7,0),1)</f>
        <v>1</v>
      </c>
    </row>
    <row r="1240" spans="7:10" ht="35.450000000000003" hidden="1" customHeight="1">
      <c r="G1240" s="113"/>
      <c r="J1240" s="28">
        <f>IFERROR(VLOOKUP(TEXT(B1240,"0"),STOCK!A:H,7,0),1)</f>
        <v>1</v>
      </c>
    </row>
    <row r="1241" spans="7:10" ht="35.450000000000003" hidden="1" customHeight="1">
      <c r="G1241" s="113"/>
      <c r="J1241" s="28">
        <f>IFERROR(VLOOKUP(TEXT(B1241,"0"),STOCK!A:H,7,0),1)</f>
        <v>1</v>
      </c>
    </row>
    <row r="1242" spans="7:10" ht="35.450000000000003" hidden="1" customHeight="1">
      <c r="G1242" s="113"/>
      <c r="J1242" s="28">
        <f>IFERROR(VLOOKUP(TEXT(B1242,"0"),STOCK!A:H,7,0),1)</f>
        <v>1</v>
      </c>
    </row>
    <row r="1243" spans="7:10" ht="35.450000000000003" hidden="1" customHeight="1">
      <c r="G1243" s="113"/>
      <c r="J1243" s="28">
        <f>IFERROR(VLOOKUP(TEXT(B1243,"0"),STOCK!A:H,7,0),1)</f>
        <v>1</v>
      </c>
    </row>
    <row r="1244" spans="7:10" ht="35.450000000000003" hidden="1" customHeight="1">
      <c r="G1244" s="113"/>
      <c r="J1244" s="28">
        <f>IFERROR(VLOOKUP(TEXT(B1244,"0"),STOCK!A:H,7,0),1)</f>
        <v>1</v>
      </c>
    </row>
    <row r="1245" spans="7:10" ht="35.450000000000003" hidden="1" customHeight="1">
      <c r="G1245" s="113"/>
      <c r="J1245" s="28">
        <f>IFERROR(VLOOKUP(TEXT(B1245,"0"),STOCK!A:H,7,0),1)</f>
        <v>1</v>
      </c>
    </row>
    <row r="1246" spans="7:10" ht="35.450000000000003" hidden="1" customHeight="1">
      <c r="G1246" s="113"/>
      <c r="J1246" s="28">
        <f>IFERROR(VLOOKUP(TEXT(B1246,"0"),STOCK!A:H,7,0),1)</f>
        <v>1</v>
      </c>
    </row>
    <row r="1247" spans="7:10" ht="35.450000000000003" hidden="1" customHeight="1">
      <c r="G1247" s="113"/>
      <c r="J1247" s="28">
        <f>IFERROR(VLOOKUP(TEXT(B1247,"0"),STOCK!A:H,7,0),1)</f>
        <v>1</v>
      </c>
    </row>
    <row r="1248" spans="7:10" ht="35.450000000000003" hidden="1" customHeight="1">
      <c r="G1248" s="113"/>
      <c r="J1248" s="28">
        <f>IFERROR(VLOOKUP(TEXT(B1248,"0"),STOCK!A:H,7,0),1)</f>
        <v>1</v>
      </c>
    </row>
    <row r="1249" spans="7:10" ht="35.450000000000003" hidden="1" customHeight="1">
      <c r="G1249" s="113"/>
      <c r="J1249" s="28">
        <f>IFERROR(VLOOKUP(TEXT(B1249,"0"),STOCK!A:H,7,0),1)</f>
        <v>1</v>
      </c>
    </row>
    <row r="1250" spans="7:10" ht="35.450000000000003" hidden="1" customHeight="1">
      <c r="G1250" s="113"/>
      <c r="J1250" s="28">
        <f>IFERROR(VLOOKUP(TEXT(B1250,"0"),STOCK!A:H,7,0),1)</f>
        <v>1</v>
      </c>
    </row>
    <row r="1251" spans="7:10" ht="35.450000000000003" hidden="1" customHeight="1">
      <c r="G1251" s="113"/>
      <c r="J1251" s="28">
        <f>IFERROR(VLOOKUP(TEXT(B1251,"0"),STOCK!A:H,7,0),1)</f>
        <v>1</v>
      </c>
    </row>
    <row r="1252" spans="7:10" ht="35.450000000000003" hidden="1" customHeight="1">
      <c r="G1252" s="113"/>
      <c r="J1252" s="28">
        <f>IFERROR(VLOOKUP(TEXT(B1252,"0"),STOCK!A:H,7,0),1)</f>
        <v>1</v>
      </c>
    </row>
    <row r="1253" spans="7:10" ht="35.450000000000003" hidden="1" customHeight="1">
      <c r="G1253" s="113"/>
      <c r="J1253" s="28">
        <f>IFERROR(VLOOKUP(TEXT(B1253,"0"),STOCK!A:H,7,0),1)</f>
        <v>1</v>
      </c>
    </row>
    <row r="1254" spans="7:10" ht="35.450000000000003" hidden="1" customHeight="1">
      <c r="G1254" s="113"/>
      <c r="J1254" s="28">
        <f>IFERROR(VLOOKUP(TEXT(B1254,"0"),STOCK!A:H,7,0),1)</f>
        <v>1</v>
      </c>
    </row>
    <row r="1255" spans="7:10" ht="35.450000000000003" hidden="1" customHeight="1">
      <c r="G1255" s="113"/>
      <c r="J1255" s="28">
        <f>IFERROR(VLOOKUP(TEXT(B1255,"0"),STOCK!A:H,7,0),1)</f>
        <v>1</v>
      </c>
    </row>
    <row r="1256" spans="7:10" ht="35.450000000000003" hidden="1" customHeight="1">
      <c r="G1256" s="113"/>
      <c r="J1256" s="28">
        <f>IFERROR(VLOOKUP(TEXT(B1256,"0"),STOCK!A:H,7,0),1)</f>
        <v>1</v>
      </c>
    </row>
    <row r="1257" spans="7:10" ht="35.450000000000003" hidden="1" customHeight="1">
      <c r="G1257" s="113"/>
      <c r="J1257" s="28">
        <f>IFERROR(VLOOKUP(TEXT(B1257,"0"),STOCK!A:H,7,0),1)</f>
        <v>1</v>
      </c>
    </row>
    <row r="1258" spans="7:10" ht="35.450000000000003" hidden="1" customHeight="1">
      <c r="G1258" s="113"/>
      <c r="J1258" s="28">
        <f>IFERROR(VLOOKUP(TEXT(B1258,"0"),STOCK!A:H,7,0),1)</f>
        <v>1</v>
      </c>
    </row>
    <row r="1259" spans="7:10" ht="35.450000000000003" hidden="1" customHeight="1">
      <c r="G1259" s="113"/>
      <c r="J1259" s="28">
        <f>IFERROR(VLOOKUP(TEXT(B1259,"0"),STOCK!A:H,7,0),1)</f>
        <v>1</v>
      </c>
    </row>
    <row r="1260" spans="7:10" ht="35.450000000000003" hidden="1" customHeight="1">
      <c r="G1260" s="113"/>
      <c r="J1260" s="28">
        <f>IFERROR(VLOOKUP(TEXT(B1260,"0"),STOCK!A:H,7,0),1)</f>
        <v>1</v>
      </c>
    </row>
    <row r="1261" spans="7:10" ht="35.450000000000003" hidden="1" customHeight="1">
      <c r="G1261" s="113"/>
      <c r="J1261" s="28">
        <f>IFERROR(VLOOKUP(TEXT(B1261,"0"),STOCK!A:H,7,0),1)</f>
        <v>1</v>
      </c>
    </row>
    <row r="1262" spans="7:10" ht="35.450000000000003" hidden="1" customHeight="1">
      <c r="G1262" s="113"/>
      <c r="J1262" s="28">
        <f>IFERROR(VLOOKUP(TEXT(B1262,"0"),STOCK!A:H,7,0),1)</f>
        <v>1</v>
      </c>
    </row>
    <row r="1263" spans="7:10" ht="35.450000000000003" hidden="1" customHeight="1">
      <c r="G1263" s="113"/>
      <c r="J1263" s="28">
        <f>IFERROR(VLOOKUP(TEXT(B1263,"0"),STOCK!A:H,7,0),1)</f>
        <v>1</v>
      </c>
    </row>
    <row r="1264" spans="7:10" ht="35.450000000000003" hidden="1" customHeight="1">
      <c r="G1264" s="113"/>
      <c r="J1264" s="28">
        <f>IFERROR(VLOOKUP(TEXT(B1264,"0"),STOCK!A:H,7,0),1)</f>
        <v>1</v>
      </c>
    </row>
    <row r="1265" spans="7:10" ht="35.450000000000003" hidden="1" customHeight="1">
      <c r="G1265" s="113"/>
      <c r="J1265" s="28">
        <f>IFERROR(VLOOKUP(TEXT(B1265,"0"),STOCK!A:H,7,0),1)</f>
        <v>1</v>
      </c>
    </row>
    <row r="1266" spans="7:10" ht="35.450000000000003" hidden="1" customHeight="1">
      <c r="G1266" s="113"/>
      <c r="J1266" s="28">
        <f>IFERROR(VLOOKUP(TEXT(B1266,"0"),STOCK!A:H,7,0),1)</f>
        <v>1</v>
      </c>
    </row>
    <row r="1267" spans="7:10" ht="35.450000000000003" hidden="1" customHeight="1">
      <c r="G1267" s="113"/>
      <c r="J1267" s="28">
        <f>IFERROR(VLOOKUP(TEXT(B1267,"0"),STOCK!A:H,7,0),1)</f>
        <v>1</v>
      </c>
    </row>
    <row r="1268" spans="7:10" ht="35.450000000000003" hidden="1" customHeight="1">
      <c r="G1268" s="113"/>
      <c r="J1268" s="28">
        <f>IFERROR(VLOOKUP(TEXT(B1268,"0"),STOCK!A:H,7,0),1)</f>
        <v>1</v>
      </c>
    </row>
    <row r="1269" spans="7:10" ht="35.450000000000003" hidden="1" customHeight="1">
      <c r="G1269" s="113"/>
      <c r="J1269" s="28">
        <f>IFERROR(VLOOKUP(TEXT(B1269,"0"),STOCK!A:H,7,0),1)</f>
        <v>1</v>
      </c>
    </row>
    <row r="1270" spans="7:10" ht="35.450000000000003" hidden="1" customHeight="1">
      <c r="G1270" s="113"/>
      <c r="J1270" s="28">
        <f>IFERROR(VLOOKUP(TEXT(B1270,"0"),STOCK!A:H,7,0),1)</f>
        <v>1</v>
      </c>
    </row>
    <row r="1271" spans="7:10" ht="35.450000000000003" hidden="1" customHeight="1">
      <c r="G1271" s="113"/>
      <c r="J1271" s="28">
        <f>IFERROR(VLOOKUP(TEXT(B1271,"0"),STOCK!A:H,7,0),1)</f>
        <v>1</v>
      </c>
    </row>
    <row r="1272" spans="7:10" ht="35.450000000000003" hidden="1" customHeight="1">
      <c r="G1272" s="113"/>
      <c r="J1272" s="28">
        <f>IFERROR(VLOOKUP(TEXT(B1272,"0"),STOCK!A:H,7,0),1)</f>
        <v>1</v>
      </c>
    </row>
    <row r="1273" spans="7:10" ht="35.450000000000003" hidden="1" customHeight="1">
      <c r="G1273" s="113"/>
      <c r="J1273" s="28">
        <f>IFERROR(VLOOKUP(TEXT(B1273,"0"),STOCK!A:H,7,0),1)</f>
        <v>1</v>
      </c>
    </row>
    <row r="1274" spans="7:10" ht="35.450000000000003" hidden="1" customHeight="1">
      <c r="G1274" s="113"/>
      <c r="J1274" s="28">
        <f>IFERROR(VLOOKUP(TEXT(B1274,"0"),STOCK!A:H,7,0),1)</f>
        <v>1</v>
      </c>
    </row>
    <row r="1275" spans="7:10" ht="35.450000000000003" hidden="1" customHeight="1">
      <c r="G1275" s="113"/>
      <c r="J1275" s="28">
        <f>IFERROR(VLOOKUP(TEXT(B1275,"0"),STOCK!A:H,7,0),1)</f>
        <v>1</v>
      </c>
    </row>
    <row r="1276" spans="7:10" ht="35.450000000000003" hidden="1" customHeight="1">
      <c r="G1276" s="113"/>
      <c r="J1276" s="28">
        <f>IFERROR(VLOOKUP(TEXT(B1276,"0"),STOCK!A:H,7,0),1)</f>
        <v>1</v>
      </c>
    </row>
    <row r="1277" spans="7:10" ht="35.450000000000003" hidden="1" customHeight="1">
      <c r="G1277" s="113"/>
      <c r="J1277" s="28">
        <f>IFERROR(VLOOKUP(TEXT(B1277,"0"),STOCK!A:H,7,0),1)</f>
        <v>1</v>
      </c>
    </row>
    <row r="1278" spans="7:10" ht="35.450000000000003" hidden="1" customHeight="1">
      <c r="G1278" s="113"/>
      <c r="J1278" s="28">
        <f>IFERROR(VLOOKUP(TEXT(B1278,"0"),STOCK!A:H,7,0),1)</f>
        <v>1</v>
      </c>
    </row>
    <row r="1279" spans="7:10" ht="35.450000000000003" hidden="1" customHeight="1">
      <c r="G1279" s="113"/>
      <c r="J1279" s="28">
        <f>IFERROR(VLOOKUP(TEXT(B1279,"0"),STOCK!A:H,7,0),1)</f>
        <v>1</v>
      </c>
    </row>
    <row r="1280" spans="7:10" ht="35.450000000000003" hidden="1" customHeight="1">
      <c r="G1280" s="113"/>
      <c r="J1280" s="28">
        <f>IFERROR(VLOOKUP(TEXT(B1280,"0"),STOCK!A:H,7,0),1)</f>
        <v>1</v>
      </c>
    </row>
    <row r="1281" spans="7:10" ht="35.450000000000003" hidden="1" customHeight="1">
      <c r="G1281" s="113"/>
      <c r="J1281" s="28">
        <f>IFERROR(VLOOKUP(TEXT(B1281,"0"),STOCK!A:H,7,0),1)</f>
        <v>1</v>
      </c>
    </row>
    <row r="1282" spans="7:10" ht="35.450000000000003" hidden="1" customHeight="1">
      <c r="G1282" s="113"/>
      <c r="J1282" s="28">
        <f>IFERROR(VLOOKUP(TEXT(B1282,"0"),STOCK!A:H,7,0),1)</f>
        <v>1</v>
      </c>
    </row>
    <row r="1283" spans="7:10" ht="35.450000000000003" hidden="1" customHeight="1">
      <c r="G1283" s="113"/>
      <c r="J1283" s="28">
        <f>IFERROR(VLOOKUP(TEXT(B1283,"0"),STOCK!A:H,7,0),1)</f>
        <v>1</v>
      </c>
    </row>
    <row r="1284" spans="7:10" ht="35.450000000000003" hidden="1" customHeight="1">
      <c r="G1284" s="113"/>
      <c r="J1284" s="28">
        <f>IFERROR(VLOOKUP(TEXT(B1284,"0"),STOCK!A:H,7,0),1)</f>
        <v>1</v>
      </c>
    </row>
    <row r="1285" spans="7:10" ht="35.450000000000003" hidden="1" customHeight="1">
      <c r="G1285" s="113"/>
      <c r="J1285" s="28">
        <f>IFERROR(VLOOKUP(TEXT(B1285,"0"),STOCK!A:H,7,0),1)</f>
        <v>1</v>
      </c>
    </row>
    <row r="1286" spans="7:10" ht="35.450000000000003" hidden="1" customHeight="1">
      <c r="G1286" s="113"/>
      <c r="J1286" s="28">
        <f>IFERROR(VLOOKUP(TEXT(B1286,"0"),STOCK!A:H,7,0),1)</f>
        <v>1</v>
      </c>
    </row>
    <row r="1287" spans="7:10" ht="35.450000000000003" hidden="1" customHeight="1">
      <c r="G1287" s="113"/>
      <c r="J1287" s="28">
        <f>IFERROR(VLOOKUP(TEXT(B1287,"0"),STOCK!A:H,7,0),1)</f>
        <v>1</v>
      </c>
    </row>
    <row r="1288" spans="7:10" ht="35.450000000000003" hidden="1" customHeight="1">
      <c r="G1288" s="113"/>
      <c r="J1288" s="28">
        <f>IFERROR(VLOOKUP(TEXT(B1288,"0"),STOCK!A:H,7,0),1)</f>
        <v>1</v>
      </c>
    </row>
    <row r="1289" spans="7:10" ht="35.450000000000003" hidden="1" customHeight="1">
      <c r="G1289" s="113"/>
      <c r="J1289" s="28">
        <f>IFERROR(VLOOKUP(TEXT(B1289,"0"),STOCK!A:H,7,0),1)</f>
        <v>1</v>
      </c>
    </row>
    <row r="1290" spans="7:10" ht="35.450000000000003" hidden="1" customHeight="1">
      <c r="G1290" s="113"/>
      <c r="J1290" s="28">
        <f>IFERROR(VLOOKUP(TEXT(B1290,"0"),STOCK!A:H,7,0),1)</f>
        <v>1</v>
      </c>
    </row>
    <row r="1291" spans="7:10" ht="35.450000000000003" hidden="1" customHeight="1">
      <c r="G1291" s="113"/>
      <c r="J1291" s="28">
        <f>IFERROR(VLOOKUP(TEXT(B1291,"0"),STOCK!A:H,7,0),1)</f>
        <v>1</v>
      </c>
    </row>
    <row r="1292" spans="7:10" ht="35.450000000000003" hidden="1" customHeight="1">
      <c r="G1292" s="113"/>
      <c r="J1292" s="28">
        <f>IFERROR(VLOOKUP(TEXT(B1292,"0"),STOCK!A:H,7,0),1)</f>
        <v>1</v>
      </c>
    </row>
    <row r="1293" spans="7:10" ht="35.450000000000003" hidden="1" customHeight="1">
      <c r="G1293" s="113"/>
      <c r="J1293" s="28">
        <f>IFERROR(VLOOKUP(TEXT(B1293,"0"),STOCK!A:H,7,0),1)</f>
        <v>1</v>
      </c>
    </row>
    <row r="1294" spans="7:10" ht="35.450000000000003" hidden="1" customHeight="1">
      <c r="G1294" s="113"/>
      <c r="J1294" s="28">
        <f>IFERROR(VLOOKUP(TEXT(B1294,"0"),STOCK!A:H,7,0),1)</f>
        <v>1</v>
      </c>
    </row>
    <row r="1295" spans="7:10" ht="35.450000000000003" hidden="1" customHeight="1">
      <c r="G1295" s="113"/>
      <c r="J1295" s="28">
        <f>IFERROR(VLOOKUP(TEXT(B1295,"0"),STOCK!A:H,7,0),1)</f>
        <v>1</v>
      </c>
    </row>
    <row r="1296" spans="7:10" ht="35.450000000000003" hidden="1" customHeight="1">
      <c r="G1296" s="113"/>
      <c r="J1296" s="28">
        <f>IFERROR(VLOOKUP(TEXT(B1296,"0"),STOCK!A:H,7,0),1)</f>
        <v>1</v>
      </c>
    </row>
    <row r="1297" spans="7:10" ht="35.450000000000003" hidden="1" customHeight="1">
      <c r="G1297" s="113"/>
      <c r="J1297" s="28">
        <f>IFERROR(VLOOKUP(TEXT(B1297,"0"),STOCK!A:H,7,0),1)</f>
        <v>1</v>
      </c>
    </row>
    <row r="1298" spans="7:10" ht="35.450000000000003" hidden="1" customHeight="1">
      <c r="G1298" s="113"/>
      <c r="J1298" s="28">
        <f>IFERROR(VLOOKUP(TEXT(B1298,"0"),STOCK!A:H,7,0),1)</f>
        <v>1</v>
      </c>
    </row>
    <row r="1299" spans="7:10" ht="35.450000000000003" hidden="1" customHeight="1">
      <c r="G1299" s="113"/>
      <c r="J1299" s="28">
        <f>IFERROR(VLOOKUP(TEXT(B1299,"0"),STOCK!A:H,7,0),1)</f>
        <v>1</v>
      </c>
    </row>
    <row r="1300" spans="7:10" ht="35.450000000000003" hidden="1" customHeight="1">
      <c r="G1300" s="113"/>
      <c r="J1300" s="28">
        <f>IFERROR(VLOOKUP(TEXT(B1300,"0"),STOCK!A:H,7,0),1)</f>
        <v>1</v>
      </c>
    </row>
    <row r="1301" spans="7:10" ht="35.450000000000003" hidden="1" customHeight="1">
      <c r="G1301" s="113"/>
      <c r="J1301" s="28">
        <f>IFERROR(VLOOKUP(TEXT(B1301,"0"),STOCK!A:H,7,0),1)</f>
        <v>1</v>
      </c>
    </row>
    <row r="1302" spans="7:10" ht="35.450000000000003" hidden="1" customHeight="1">
      <c r="G1302" s="113"/>
      <c r="J1302" s="28">
        <f>IFERROR(VLOOKUP(TEXT(B1302,"0"),STOCK!A:H,7,0),1)</f>
        <v>1</v>
      </c>
    </row>
    <row r="1303" spans="7:10" ht="35.450000000000003" hidden="1" customHeight="1">
      <c r="G1303" s="113"/>
      <c r="J1303" s="28">
        <f>IFERROR(VLOOKUP(TEXT(B1303,"0"),STOCK!A:H,7,0),1)</f>
        <v>1</v>
      </c>
    </row>
    <row r="1304" spans="7:10" ht="35.450000000000003" hidden="1" customHeight="1">
      <c r="G1304" s="113"/>
      <c r="J1304" s="28">
        <f>IFERROR(VLOOKUP(TEXT(B1304,"0"),STOCK!A:H,7,0),1)</f>
        <v>1</v>
      </c>
    </row>
    <row r="1305" spans="7:10" ht="35.450000000000003" hidden="1" customHeight="1">
      <c r="G1305" s="113"/>
      <c r="J1305" s="28">
        <f>IFERROR(VLOOKUP(TEXT(B1305,"0"),STOCK!A:H,7,0),1)</f>
        <v>1</v>
      </c>
    </row>
    <row r="1306" spans="7:10" ht="35.450000000000003" hidden="1" customHeight="1">
      <c r="G1306" s="113"/>
      <c r="J1306" s="28">
        <f>IFERROR(VLOOKUP(TEXT(B1306,"0"),STOCK!A:H,7,0),1)</f>
        <v>1</v>
      </c>
    </row>
    <row r="1307" spans="7:10" ht="35.450000000000003" hidden="1" customHeight="1">
      <c r="G1307" s="113"/>
      <c r="J1307" s="28">
        <f>IFERROR(VLOOKUP(TEXT(B1307,"0"),STOCK!A:H,7,0),1)</f>
        <v>1</v>
      </c>
    </row>
    <row r="1308" spans="7:10" ht="35.450000000000003" hidden="1" customHeight="1">
      <c r="G1308" s="113"/>
      <c r="J1308" s="28">
        <f>IFERROR(VLOOKUP(TEXT(B1308,"0"),STOCK!A:H,7,0),1)</f>
        <v>1</v>
      </c>
    </row>
    <row r="1309" spans="7:10" ht="35.450000000000003" hidden="1" customHeight="1">
      <c r="G1309" s="113"/>
      <c r="J1309" s="28">
        <f>IFERROR(VLOOKUP(TEXT(B1309,"0"),STOCK!A:H,7,0),1)</f>
        <v>1</v>
      </c>
    </row>
    <row r="1310" spans="7:10" ht="35.450000000000003" hidden="1" customHeight="1">
      <c r="G1310" s="113"/>
      <c r="J1310" s="28">
        <f>IFERROR(VLOOKUP(TEXT(B1310,"0"),STOCK!A:H,7,0),1)</f>
        <v>1</v>
      </c>
    </row>
    <row r="1311" spans="7:10" ht="35.450000000000003" hidden="1" customHeight="1">
      <c r="G1311" s="113"/>
      <c r="J1311" s="28">
        <f>IFERROR(VLOOKUP(TEXT(B1311,"0"),STOCK!A:H,7,0),1)</f>
        <v>1</v>
      </c>
    </row>
    <row r="1312" spans="7:10" ht="35.450000000000003" hidden="1" customHeight="1">
      <c r="G1312" s="113"/>
      <c r="J1312" s="28">
        <f>IFERROR(VLOOKUP(TEXT(B1312,"0"),STOCK!A:H,7,0),1)</f>
        <v>1</v>
      </c>
    </row>
    <row r="1313" spans="7:10" ht="35.450000000000003" hidden="1" customHeight="1">
      <c r="G1313" s="113"/>
      <c r="J1313" s="28">
        <f>IFERROR(VLOOKUP(TEXT(B1313,"0"),STOCK!A:H,7,0),1)</f>
        <v>1</v>
      </c>
    </row>
    <row r="1314" spans="7:10" ht="35.450000000000003" hidden="1" customHeight="1">
      <c r="G1314" s="113"/>
      <c r="J1314" s="28">
        <f>IFERROR(VLOOKUP(TEXT(B1314,"0"),STOCK!A:H,7,0),1)</f>
        <v>1</v>
      </c>
    </row>
    <row r="1315" spans="7:10" ht="35.450000000000003" hidden="1" customHeight="1">
      <c r="G1315" s="113"/>
      <c r="J1315" s="28">
        <f>IFERROR(VLOOKUP(TEXT(B1315,"0"),STOCK!A:H,7,0),1)</f>
        <v>1</v>
      </c>
    </row>
    <row r="1316" spans="7:10" ht="35.450000000000003" hidden="1" customHeight="1">
      <c r="G1316" s="113"/>
      <c r="J1316" s="28">
        <f>IFERROR(VLOOKUP(TEXT(B1316,"0"),STOCK!A:H,7,0),1)</f>
        <v>1</v>
      </c>
    </row>
    <row r="1317" spans="7:10" ht="35.450000000000003" hidden="1" customHeight="1">
      <c r="G1317" s="113"/>
      <c r="J1317" s="28">
        <f>IFERROR(VLOOKUP(TEXT(B1317,"0"),STOCK!A:H,7,0),1)</f>
        <v>1</v>
      </c>
    </row>
    <row r="1318" spans="7:10" ht="35.450000000000003" hidden="1" customHeight="1">
      <c r="G1318" s="113"/>
      <c r="J1318" s="28">
        <f>IFERROR(VLOOKUP(TEXT(B1318,"0"),STOCK!A:H,7,0),1)</f>
        <v>1</v>
      </c>
    </row>
    <row r="1319" spans="7:10" ht="35.450000000000003" hidden="1" customHeight="1">
      <c r="G1319" s="113"/>
      <c r="J1319" s="28">
        <f>IFERROR(VLOOKUP(TEXT(B1319,"0"),STOCK!A:H,7,0),1)</f>
        <v>1</v>
      </c>
    </row>
    <row r="1320" spans="7:10" ht="35.450000000000003" hidden="1" customHeight="1">
      <c r="G1320" s="113"/>
      <c r="J1320" s="28">
        <f>IFERROR(VLOOKUP(TEXT(B1320,"0"),STOCK!A:H,7,0),1)</f>
        <v>1</v>
      </c>
    </row>
    <row r="1321" spans="7:10" ht="35.450000000000003" hidden="1" customHeight="1">
      <c r="G1321" s="113"/>
      <c r="J1321" s="28">
        <f>IFERROR(VLOOKUP(TEXT(B1321,"0"),STOCK!A:H,7,0),1)</f>
        <v>1</v>
      </c>
    </row>
    <row r="1322" spans="7:10" ht="35.450000000000003" hidden="1" customHeight="1">
      <c r="G1322" s="113"/>
      <c r="J1322" s="28">
        <f>IFERROR(VLOOKUP(TEXT(B1322,"0"),STOCK!A:H,7,0),1)</f>
        <v>1</v>
      </c>
    </row>
    <row r="1323" spans="7:10" ht="35.450000000000003" hidden="1" customHeight="1">
      <c r="G1323" s="113"/>
      <c r="J1323" s="28">
        <f>IFERROR(VLOOKUP(TEXT(B1323,"0"),STOCK!A:H,7,0),1)</f>
        <v>1</v>
      </c>
    </row>
    <row r="1324" spans="7:10" ht="35.450000000000003" hidden="1" customHeight="1">
      <c r="G1324" s="113"/>
      <c r="J1324" s="28">
        <f>IFERROR(VLOOKUP(TEXT(B1324,"0"),STOCK!A:H,7,0),1)</f>
        <v>1</v>
      </c>
    </row>
    <row r="1325" spans="7:10" ht="35.450000000000003" hidden="1" customHeight="1">
      <c r="G1325" s="113"/>
      <c r="J1325" s="28">
        <f>IFERROR(VLOOKUP(TEXT(B1325,"0"),STOCK!A:H,7,0),1)</f>
        <v>1</v>
      </c>
    </row>
    <row r="1326" spans="7:10" ht="35.450000000000003" hidden="1" customHeight="1">
      <c r="G1326" s="113"/>
      <c r="J1326" s="28">
        <f>IFERROR(VLOOKUP(TEXT(B1326,"0"),STOCK!A:H,7,0),1)</f>
        <v>1</v>
      </c>
    </row>
    <row r="1327" spans="7:10" ht="35.450000000000003" hidden="1" customHeight="1">
      <c r="G1327" s="113"/>
      <c r="J1327" s="28">
        <f>IFERROR(VLOOKUP(TEXT(B1327,"0"),STOCK!A:H,7,0),1)</f>
        <v>1</v>
      </c>
    </row>
    <row r="1328" spans="7:10" ht="35.450000000000003" hidden="1" customHeight="1">
      <c r="G1328" s="113"/>
      <c r="J1328" s="28">
        <f>IFERROR(VLOOKUP(TEXT(B1328,"0"),STOCK!A:H,7,0),1)</f>
        <v>1</v>
      </c>
    </row>
    <row r="1329" spans="7:10" ht="35.450000000000003" hidden="1" customHeight="1">
      <c r="G1329" s="113"/>
      <c r="J1329" s="28">
        <f>IFERROR(VLOOKUP(TEXT(B1329,"0"),STOCK!A:H,7,0),1)</f>
        <v>1</v>
      </c>
    </row>
    <row r="1330" spans="7:10" ht="35.450000000000003" hidden="1" customHeight="1">
      <c r="G1330" s="113"/>
      <c r="J1330" s="28">
        <f>IFERROR(VLOOKUP(TEXT(B1330,"0"),STOCK!A:H,7,0),1)</f>
        <v>1</v>
      </c>
    </row>
    <row r="1331" spans="7:10" ht="35.450000000000003" hidden="1" customHeight="1">
      <c r="G1331" s="113"/>
      <c r="J1331" s="28">
        <f>IFERROR(VLOOKUP(TEXT(B1331,"0"),STOCK!A:H,7,0),1)</f>
        <v>1</v>
      </c>
    </row>
    <row r="1332" spans="7:10" ht="35.450000000000003" hidden="1" customHeight="1">
      <c r="G1332" s="113"/>
      <c r="J1332" s="28">
        <f>IFERROR(VLOOKUP(TEXT(B1332,"0"),STOCK!A:H,7,0),1)</f>
        <v>1</v>
      </c>
    </row>
    <row r="1333" spans="7:10" ht="35.450000000000003" hidden="1" customHeight="1">
      <c r="G1333" s="113"/>
      <c r="J1333" s="28">
        <f>IFERROR(VLOOKUP(TEXT(B1333,"0"),STOCK!A:H,7,0),1)</f>
        <v>1</v>
      </c>
    </row>
    <row r="1334" spans="7:10" ht="35.450000000000003" hidden="1" customHeight="1">
      <c r="G1334" s="113"/>
      <c r="J1334" s="28">
        <f>IFERROR(VLOOKUP(TEXT(B1334,"0"),STOCK!A:H,7,0),1)</f>
        <v>1</v>
      </c>
    </row>
    <row r="1335" spans="7:10" ht="35.450000000000003" hidden="1" customHeight="1">
      <c r="G1335" s="113"/>
      <c r="J1335" s="28">
        <f>IFERROR(VLOOKUP(TEXT(B1335,"0"),STOCK!A:H,7,0),1)</f>
        <v>1</v>
      </c>
    </row>
    <row r="1336" spans="7:10" ht="35.450000000000003" hidden="1" customHeight="1">
      <c r="G1336" s="113"/>
      <c r="J1336" s="28">
        <f>IFERROR(VLOOKUP(TEXT(B1336,"0"),STOCK!A:H,7,0),1)</f>
        <v>1</v>
      </c>
    </row>
    <row r="1337" spans="7:10" ht="35.450000000000003" hidden="1" customHeight="1">
      <c r="G1337" s="113"/>
      <c r="J1337" s="28">
        <f>IFERROR(VLOOKUP(TEXT(B1337,"0"),STOCK!A:H,7,0),1)</f>
        <v>1</v>
      </c>
    </row>
    <row r="1338" spans="7:10" ht="35.450000000000003" hidden="1" customHeight="1">
      <c r="G1338" s="113"/>
      <c r="J1338" s="28">
        <f>IFERROR(VLOOKUP(TEXT(B1338,"0"),STOCK!A:H,7,0),1)</f>
        <v>1</v>
      </c>
    </row>
    <row r="1339" spans="7:10" ht="35.450000000000003" hidden="1" customHeight="1">
      <c r="G1339" s="113"/>
      <c r="J1339" s="28">
        <f>IFERROR(VLOOKUP(TEXT(B1339,"0"),STOCK!A:H,7,0),1)</f>
        <v>1</v>
      </c>
    </row>
    <row r="1340" spans="7:10" ht="35.450000000000003" hidden="1" customHeight="1">
      <c r="G1340" s="113"/>
      <c r="J1340" s="28">
        <f>IFERROR(VLOOKUP(TEXT(B1340,"0"),STOCK!A:H,7,0),1)</f>
        <v>1</v>
      </c>
    </row>
    <row r="1341" spans="7:10" ht="35.450000000000003" hidden="1" customHeight="1">
      <c r="G1341" s="113"/>
      <c r="J1341" s="28">
        <f>IFERROR(VLOOKUP(TEXT(B1341,"0"),STOCK!A:H,7,0),1)</f>
        <v>1</v>
      </c>
    </row>
    <row r="1342" spans="7:10" ht="35.450000000000003" hidden="1" customHeight="1">
      <c r="G1342" s="113"/>
      <c r="J1342" s="28">
        <f>IFERROR(VLOOKUP(TEXT(B1342,"0"),STOCK!A:H,7,0),1)</f>
        <v>1</v>
      </c>
    </row>
    <row r="1343" spans="7:10" ht="35.450000000000003" hidden="1" customHeight="1">
      <c r="G1343" s="113"/>
      <c r="J1343" s="28">
        <f>IFERROR(VLOOKUP(TEXT(B1343,"0"),STOCK!A:H,7,0),1)</f>
        <v>1</v>
      </c>
    </row>
    <row r="1344" spans="7:10" ht="35.450000000000003" hidden="1" customHeight="1">
      <c r="G1344" s="113"/>
      <c r="J1344" s="28">
        <f>IFERROR(VLOOKUP(TEXT(B1344,"0"),STOCK!A:H,7,0),1)</f>
        <v>1</v>
      </c>
    </row>
    <row r="1345" spans="7:10" ht="35.450000000000003" hidden="1" customHeight="1">
      <c r="G1345" s="113"/>
      <c r="J1345" s="28">
        <f>IFERROR(VLOOKUP(TEXT(B1345,"0"),STOCK!A:H,7,0),1)</f>
        <v>1</v>
      </c>
    </row>
    <row r="1346" spans="7:10" ht="35.450000000000003" hidden="1" customHeight="1">
      <c r="G1346" s="113"/>
      <c r="J1346" s="28">
        <f>IFERROR(VLOOKUP(TEXT(B1346,"0"),STOCK!A:H,7,0),1)</f>
        <v>1</v>
      </c>
    </row>
    <row r="1347" spans="7:10" ht="35.450000000000003" hidden="1" customHeight="1">
      <c r="G1347" s="113"/>
      <c r="J1347" s="28">
        <f>IFERROR(VLOOKUP(TEXT(B1347,"0"),STOCK!A:H,7,0),1)</f>
        <v>1</v>
      </c>
    </row>
    <row r="1348" spans="7:10" ht="35.450000000000003" hidden="1" customHeight="1">
      <c r="G1348" s="113"/>
      <c r="J1348" s="28">
        <f>IFERROR(VLOOKUP(TEXT(B1348,"0"),STOCK!A:H,7,0),1)</f>
        <v>1</v>
      </c>
    </row>
    <row r="1349" spans="7:10" ht="35.450000000000003" hidden="1" customHeight="1">
      <c r="G1349" s="113"/>
      <c r="J1349" s="28">
        <f>IFERROR(VLOOKUP(TEXT(B1349,"0"),STOCK!A:H,7,0),1)</f>
        <v>1</v>
      </c>
    </row>
    <row r="1350" spans="7:10" ht="35.450000000000003" hidden="1" customHeight="1">
      <c r="G1350" s="113"/>
      <c r="J1350" s="28">
        <f>IFERROR(VLOOKUP(TEXT(B1350,"0"),STOCK!A:H,7,0),1)</f>
        <v>1</v>
      </c>
    </row>
    <row r="1351" spans="7:10" ht="35.450000000000003" hidden="1" customHeight="1">
      <c r="G1351" s="113"/>
      <c r="J1351" s="28">
        <f>IFERROR(VLOOKUP(TEXT(B1351,"0"),STOCK!A:H,7,0),1)</f>
        <v>1</v>
      </c>
    </row>
    <row r="1352" spans="7:10" ht="35.450000000000003" hidden="1" customHeight="1">
      <c r="G1352" s="113"/>
      <c r="J1352" s="28">
        <f>IFERROR(VLOOKUP(TEXT(B1352,"0"),STOCK!A:H,7,0),1)</f>
        <v>1</v>
      </c>
    </row>
    <row r="1353" spans="7:10" ht="35.450000000000003" hidden="1" customHeight="1">
      <c r="G1353" s="113"/>
      <c r="J1353" s="28">
        <f>IFERROR(VLOOKUP(TEXT(B1353,"0"),STOCK!A:H,7,0),1)</f>
        <v>1</v>
      </c>
    </row>
    <row r="1354" spans="7:10" ht="35.450000000000003" hidden="1" customHeight="1">
      <c r="G1354" s="113"/>
      <c r="J1354" s="28">
        <f>IFERROR(VLOOKUP(TEXT(B1354,"0"),STOCK!A:H,7,0),1)</f>
        <v>1</v>
      </c>
    </row>
    <row r="1355" spans="7:10" ht="35.450000000000003" hidden="1" customHeight="1">
      <c r="G1355" s="113"/>
      <c r="J1355" s="28">
        <f>IFERROR(VLOOKUP(TEXT(B1355,"0"),STOCK!A:H,7,0),1)</f>
        <v>1</v>
      </c>
    </row>
    <row r="1356" spans="7:10" ht="35.450000000000003" hidden="1" customHeight="1">
      <c r="G1356" s="113"/>
      <c r="J1356" s="28">
        <f>IFERROR(VLOOKUP(TEXT(B1356,"0"),STOCK!A:H,7,0),1)</f>
        <v>1</v>
      </c>
    </row>
    <row r="1357" spans="7:10" ht="35.450000000000003" hidden="1" customHeight="1">
      <c r="G1357" s="113"/>
      <c r="J1357" s="28">
        <f>IFERROR(VLOOKUP(TEXT(B1357,"0"),STOCK!A:H,7,0),1)</f>
        <v>1</v>
      </c>
    </row>
    <row r="1358" spans="7:10" ht="35.450000000000003" hidden="1" customHeight="1">
      <c r="G1358" s="113"/>
      <c r="J1358" s="28">
        <f>IFERROR(VLOOKUP(TEXT(B1358,"0"),STOCK!A:H,7,0),1)</f>
        <v>1</v>
      </c>
    </row>
    <row r="1359" spans="7:10" ht="35.450000000000003" hidden="1" customHeight="1">
      <c r="G1359" s="113"/>
      <c r="J1359" s="28">
        <f>IFERROR(VLOOKUP(TEXT(B1359,"0"),STOCK!A:H,7,0),1)</f>
        <v>1</v>
      </c>
    </row>
    <row r="1360" spans="7:10" ht="35.450000000000003" hidden="1" customHeight="1">
      <c r="G1360" s="113"/>
      <c r="J1360" s="28">
        <f>IFERROR(VLOOKUP(TEXT(B1360,"0"),STOCK!A:H,7,0),1)</f>
        <v>1</v>
      </c>
    </row>
    <row r="1361" spans="7:10" ht="35.450000000000003" hidden="1" customHeight="1">
      <c r="G1361" s="113"/>
      <c r="J1361" s="28">
        <f>IFERROR(VLOOKUP(TEXT(B1361,"0"),STOCK!A:H,7,0),1)</f>
        <v>1</v>
      </c>
    </row>
    <row r="1362" spans="7:10" ht="35.450000000000003" hidden="1" customHeight="1">
      <c r="G1362" s="113"/>
      <c r="J1362" s="28">
        <f>IFERROR(VLOOKUP(TEXT(B1362,"0"),STOCK!A:H,7,0),1)</f>
        <v>1</v>
      </c>
    </row>
    <row r="1363" spans="7:10" ht="35.450000000000003" hidden="1" customHeight="1">
      <c r="G1363" s="113"/>
      <c r="J1363" s="28">
        <f>IFERROR(VLOOKUP(TEXT(B1363,"0"),STOCK!A:H,7,0),1)</f>
        <v>1</v>
      </c>
    </row>
    <row r="1364" spans="7:10" ht="35.450000000000003" hidden="1" customHeight="1">
      <c r="G1364" s="113"/>
      <c r="J1364" s="28">
        <f>IFERROR(VLOOKUP(TEXT(B1364,"0"),STOCK!A:H,7,0),1)</f>
        <v>1</v>
      </c>
    </row>
    <row r="1365" spans="7:10" ht="35.450000000000003" hidden="1" customHeight="1">
      <c r="G1365" s="113"/>
      <c r="J1365" s="28">
        <f>IFERROR(VLOOKUP(TEXT(B1365,"0"),STOCK!A:H,7,0),1)</f>
        <v>1</v>
      </c>
    </row>
    <row r="1366" spans="7:10" ht="35.450000000000003" hidden="1" customHeight="1">
      <c r="G1366" s="113"/>
      <c r="J1366" s="28">
        <f>IFERROR(VLOOKUP(TEXT(B1366,"0"),STOCK!A:H,7,0),1)</f>
        <v>1</v>
      </c>
    </row>
    <row r="1367" spans="7:10" ht="35.450000000000003" hidden="1" customHeight="1">
      <c r="G1367" s="113"/>
      <c r="J1367" s="28">
        <f>IFERROR(VLOOKUP(TEXT(B1367,"0"),STOCK!A:H,7,0),1)</f>
        <v>1</v>
      </c>
    </row>
    <row r="1368" spans="7:10" ht="35.450000000000003" hidden="1" customHeight="1">
      <c r="G1368" s="113"/>
      <c r="J1368" s="28">
        <f>IFERROR(VLOOKUP(TEXT(B1368,"0"),STOCK!A:H,7,0),1)</f>
        <v>1</v>
      </c>
    </row>
    <row r="1369" spans="7:10" ht="35.450000000000003" hidden="1" customHeight="1">
      <c r="G1369" s="113"/>
      <c r="J1369" s="28">
        <f>IFERROR(VLOOKUP(TEXT(B1369,"0"),STOCK!A:H,7,0),1)</f>
        <v>1</v>
      </c>
    </row>
    <row r="1370" spans="7:10" ht="35.450000000000003" hidden="1" customHeight="1">
      <c r="G1370" s="113"/>
      <c r="J1370" s="28">
        <f>IFERROR(VLOOKUP(TEXT(B1370,"0"),STOCK!A:H,7,0),1)</f>
        <v>1</v>
      </c>
    </row>
    <row r="1371" spans="7:10" ht="35.450000000000003" hidden="1" customHeight="1">
      <c r="G1371" s="113"/>
      <c r="J1371" s="28">
        <f>IFERROR(VLOOKUP(TEXT(B1371,"0"),STOCK!A:H,7,0),1)</f>
        <v>1</v>
      </c>
    </row>
    <row r="1372" spans="7:10" ht="35.450000000000003" hidden="1" customHeight="1">
      <c r="G1372" s="113"/>
      <c r="J1372" s="28">
        <f>IFERROR(VLOOKUP(TEXT(B1372,"0"),STOCK!A:H,7,0),1)</f>
        <v>1</v>
      </c>
    </row>
    <row r="1373" spans="7:10" ht="35.450000000000003" hidden="1" customHeight="1">
      <c r="G1373" s="113"/>
      <c r="J1373" s="28">
        <f>IFERROR(VLOOKUP(TEXT(B1373,"0"),STOCK!A:H,7,0),1)</f>
        <v>1</v>
      </c>
    </row>
    <row r="1374" spans="7:10" ht="35.450000000000003" hidden="1" customHeight="1">
      <c r="G1374" s="113"/>
      <c r="J1374" s="28">
        <f>IFERROR(VLOOKUP(TEXT(B1374,"0"),STOCK!A:H,7,0),1)</f>
        <v>1</v>
      </c>
    </row>
    <row r="1375" spans="7:10" ht="35.450000000000003" hidden="1" customHeight="1">
      <c r="G1375" s="113"/>
      <c r="J1375" s="28">
        <f>IFERROR(VLOOKUP(TEXT(B1375,"0"),STOCK!A:H,7,0),1)</f>
        <v>1</v>
      </c>
    </row>
    <row r="1376" spans="7:10" ht="35.450000000000003" hidden="1" customHeight="1">
      <c r="G1376" s="113"/>
      <c r="J1376" s="28">
        <f>IFERROR(VLOOKUP(TEXT(B1376,"0"),STOCK!A:H,7,0),1)</f>
        <v>1</v>
      </c>
    </row>
    <row r="1377" spans="7:10" ht="35.450000000000003" hidden="1" customHeight="1">
      <c r="G1377" s="113"/>
      <c r="J1377" s="28">
        <f>IFERROR(VLOOKUP(TEXT(B1377,"0"),STOCK!A:H,7,0),1)</f>
        <v>1</v>
      </c>
    </row>
    <row r="1378" spans="7:10" ht="35.450000000000003" hidden="1" customHeight="1">
      <c r="G1378" s="113"/>
      <c r="J1378" s="28">
        <f>IFERROR(VLOOKUP(TEXT(B1378,"0"),STOCK!A:H,7,0),1)</f>
        <v>1</v>
      </c>
    </row>
    <row r="1379" spans="7:10" ht="35.450000000000003" hidden="1" customHeight="1">
      <c r="G1379" s="113"/>
      <c r="J1379" s="28">
        <f>IFERROR(VLOOKUP(TEXT(B1379,"0"),STOCK!A:H,7,0),1)</f>
        <v>1</v>
      </c>
    </row>
    <row r="1380" spans="7:10" ht="35.450000000000003" hidden="1" customHeight="1">
      <c r="G1380" s="113"/>
      <c r="J1380" s="28">
        <f>IFERROR(VLOOKUP(TEXT(B1380,"0"),STOCK!A:H,7,0),1)</f>
        <v>1</v>
      </c>
    </row>
    <row r="1381" spans="7:10" ht="35.450000000000003" hidden="1" customHeight="1">
      <c r="G1381" s="113"/>
      <c r="J1381" s="28">
        <f>IFERROR(VLOOKUP(TEXT(B1381,"0"),STOCK!A:H,7,0),1)</f>
        <v>1</v>
      </c>
    </row>
    <row r="1382" spans="7:10" ht="35.450000000000003" hidden="1" customHeight="1">
      <c r="G1382" s="113"/>
      <c r="J1382" s="28">
        <f>IFERROR(VLOOKUP(TEXT(B1382,"0"),STOCK!A:H,7,0),1)</f>
        <v>1</v>
      </c>
    </row>
    <row r="1383" spans="7:10" ht="35.450000000000003" hidden="1" customHeight="1">
      <c r="G1383" s="113"/>
      <c r="J1383" s="28">
        <f>IFERROR(VLOOKUP(TEXT(B1383,"0"),STOCK!A:H,7,0),1)</f>
        <v>1</v>
      </c>
    </row>
    <row r="1384" spans="7:10" ht="35.450000000000003" hidden="1" customHeight="1">
      <c r="G1384" s="113"/>
      <c r="J1384" s="28">
        <f>IFERROR(VLOOKUP(TEXT(B1384,"0"),STOCK!A:H,7,0),1)</f>
        <v>1</v>
      </c>
    </row>
    <row r="1385" spans="7:10" ht="35.450000000000003" hidden="1" customHeight="1">
      <c r="G1385" s="113"/>
      <c r="J1385" s="28">
        <f>IFERROR(VLOOKUP(TEXT(B1385,"0"),STOCK!A:H,7,0),1)</f>
        <v>1</v>
      </c>
    </row>
    <row r="1386" spans="7:10" ht="35.450000000000003" hidden="1" customHeight="1">
      <c r="G1386" s="113"/>
      <c r="J1386" s="28">
        <f>IFERROR(VLOOKUP(TEXT(B1386,"0"),STOCK!A:H,7,0),1)</f>
        <v>1</v>
      </c>
    </row>
    <row r="1387" spans="7:10" ht="35.450000000000003" hidden="1" customHeight="1">
      <c r="G1387" s="113"/>
      <c r="J1387" s="28">
        <f>IFERROR(VLOOKUP(TEXT(B1387,"0"),STOCK!A:H,7,0),1)</f>
        <v>1</v>
      </c>
    </row>
    <row r="1388" spans="7:10" ht="35.450000000000003" hidden="1" customHeight="1">
      <c r="G1388" s="113"/>
      <c r="J1388" s="28">
        <f>IFERROR(VLOOKUP(TEXT(B1388,"0"),STOCK!A:H,7,0),1)</f>
        <v>1</v>
      </c>
    </row>
    <row r="1389" spans="7:10" ht="35.450000000000003" hidden="1" customHeight="1">
      <c r="G1389" s="113"/>
      <c r="J1389" s="28">
        <f>IFERROR(VLOOKUP(TEXT(B1389,"0"),STOCK!A:H,7,0),1)</f>
        <v>1</v>
      </c>
    </row>
    <row r="1390" spans="7:10" ht="35.450000000000003" hidden="1" customHeight="1">
      <c r="G1390" s="113"/>
      <c r="J1390" s="28">
        <f>IFERROR(VLOOKUP(TEXT(B1390,"0"),STOCK!A:H,7,0),1)</f>
        <v>1</v>
      </c>
    </row>
    <row r="1391" spans="7:10" ht="35.450000000000003" hidden="1" customHeight="1">
      <c r="G1391" s="113"/>
      <c r="J1391" s="28">
        <f>IFERROR(VLOOKUP(TEXT(B1391,"0"),STOCK!A:H,7,0),1)</f>
        <v>1</v>
      </c>
    </row>
    <row r="1392" spans="7:10" ht="35.450000000000003" hidden="1" customHeight="1">
      <c r="G1392" s="113"/>
      <c r="J1392" s="28">
        <f>IFERROR(VLOOKUP(TEXT(B1392,"0"),STOCK!A:H,7,0),1)</f>
        <v>1</v>
      </c>
    </row>
    <row r="1393" spans="7:10" ht="35.450000000000003" hidden="1" customHeight="1">
      <c r="G1393" s="113"/>
      <c r="J1393" s="28">
        <f>IFERROR(VLOOKUP(TEXT(B1393,"0"),STOCK!A:H,7,0),1)</f>
        <v>1</v>
      </c>
    </row>
    <row r="1394" spans="7:10" ht="35.450000000000003" hidden="1" customHeight="1">
      <c r="G1394" s="113"/>
      <c r="J1394" s="28">
        <f>IFERROR(VLOOKUP(TEXT(B1394,"0"),STOCK!A:H,7,0),1)</f>
        <v>1</v>
      </c>
    </row>
    <row r="1395" spans="7:10" ht="35.450000000000003" hidden="1" customHeight="1">
      <c r="G1395" s="113"/>
      <c r="J1395" s="28">
        <f>IFERROR(VLOOKUP(TEXT(B1395,"0"),STOCK!A:H,7,0),1)</f>
        <v>1</v>
      </c>
    </row>
    <row r="1396" spans="7:10" ht="35.450000000000003" hidden="1" customHeight="1">
      <c r="G1396" s="113"/>
      <c r="J1396" s="28">
        <f>IFERROR(VLOOKUP(TEXT(B1396,"0"),STOCK!A:H,7,0),1)</f>
        <v>1</v>
      </c>
    </row>
    <row r="1397" spans="7:10" ht="35.450000000000003" hidden="1" customHeight="1">
      <c r="G1397" s="113"/>
      <c r="J1397" s="28">
        <f>IFERROR(VLOOKUP(TEXT(B1397,"0"),STOCK!A:H,7,0),1)</f>
        <v>1</v>
      </c>
    </row>
    <row r="1398" spans="7:10" ht="35.450000000000003" hidden="1" customHeight="1">
      <c r="G1398" s="113"/>
      <c r="J1398" s="28">
        <f>IFERROR(VLOOKUP(TEXT(B1398,"0"),STOCK!A:H,7,0),1)</f>
        <v>1</v>
      </c>
    </row>
    <row r="1399" spans="7:10" ht="35.450000000000003" hidden="1" customHeight="1">
      <c r="G1399" s="113"/>
      <c r="J1399" s="28">
        <f>IFERROR(VLOOKUP(TEXT(B1399,"0"),STOCK!A:H,7,0),1)</f>
        <v>1</v>
      </c>
    </row>
    <row r="1400" spans="7:10" ht="35.450000000000003" hidden="1" customHeight="1">
      <c r="G1400" s="113"/>
      <c r="J1400" s="28">
        <f>IFERROR(VLOOKUP(TEXT(B1400,"0"),STOCK!A:H,7,0),1)</f>
        <v>1</v>
      </c>
    </row>
    <row r="1401" spans="7:10" ht="35.450000000000003" hidden="1" customHeight="1">
      <c r="G1401" s="113"/>
      <c r="J1401" s="28">
        <f>IFERROR(VLOOKUP(TEXT(B1401,"0"),STOCK!A:H,7,0),1)</f>
        <v>1</v>
      </c>
    </row>
    <row r="1402" spans="7:10" ht="35.450000000000003" hidden="1" customHeight="1">
      <c r="G1402" s="113"/>
      <c r="J1402" s="28">
        <f>IFERROR(VLOOKUP(TEXT(B1402,"0"),STOCK!A:H,7,0),1)</f>
        <v>1</v>
      </c>
    </row>
    <row r="1403" spans="7:10" ht="35.450000000000003" hidden="1" customHeight="1">
      <c r="G1403" s="113"/>
      <c r="J1403" s="28">
        <f>IFERROR(VLOOKUP(TEXT(B1403,"0"),STOCK!A:H,7,0),1)</f>
        <v>1</v>
      </c>
    </row>
    <row r="1404" spans="7:10" ht="35.450000000000003" hidden="1" customHeight="1">
      <c r="G1404" s="113"/>
      <c r="J1404" s="28">
        <f>IFERROR(VLOOKUP(TEXT(B1404,"0"),STOCK!A:H,7,0),1)</f>
        <v>1</v>
      </c>
    </row>
    <row r="1405" spans="7:10" ht="35.450000000000003" hidden="1" customHeight="1">
      <c r="G1405" s="113"/>
      <c r="J1405" s="28">
        <f>IFERROR(VLOOKUP(TEXT(B1405,"0"),STOCK!A:H,7,0),1)</f>
        <v>1</v>
      </c>
    </row>
    <row r="1406" spans="7:10" ht="35.450000000000003" hidden="1" customHeight="1">
      <c r="G1406" s="113"/>
      <c r="J1406" s="28">
        <f>IFERROR(VLOOKUP(TEXT(B1406,"0"),STOCK!A:H,7,0),1)</f>
        <v>1</v>
      </c>
    </row>
    <row r="1407" spans="7:10" ht="35.450000000000003" hidden="1" customHeight="1">
      <c r="G1407" s="113"/>
      <c r="J1407" s="28">
        <f>IFERROR(VLOOKUP(TEXT(B1407,"0"),STOCK!A:H,7,0),1)</f>
        <v>1</v>
      </c>
    </row>
    <row r="1408" spans="7:10" ht="35.450000000000003" hidden="1" customHeight="1">
      <c r="G1408" s="113"/>
      <c r="J1408" s="28">
        <f>IFERROR(VLOOKUP(TEXT(B1408,"0"),STOCK!A:H,7,0),1)</f>
        <v>1</v>
      </c>
    </row>
    <row r="1409" spans="7:10" ht="35.450000000000003" hidden="1" customHeight="1">
      <c r="G1409" s="113"/>
      <c r="J1409" s="28">
        <f>IFERROR(VLOOKUP(TEXT(B1409,"0"),STOCK!A:H,7,0),1)</f>
        <v>1</v>
      </c>
    </row>
    <row r="1410" spans="7:10" ht="35.450000000000003" hidden="1" customHeight="1">
      <c r="G1410" s="113"/>
      <c r="J1410" s="28">
        <f>IFERROR(VLOOKUP(TEXT(B1410,"0"),STOCK!A:H,7,0),1)</f>
        <v>1</v>
      </c>
    </row>
    <row r="1411" spans="7:10" ht="35.450000000000003" hidden="1" customHeight="1">
      <c r="G1411" s="113"/>
      <c r="J1411" s="28">
        <f>IFERROR(VLOOKUP(TEXT(B1411,"0"),STOCK!A:H,7,0),1)</f>
        <v>1</v>
      </c>
    </row>
    <row r="1412" spans="7:10" ht="35.450000000000003" hidden="1" customHeight="1">
      <c r="G1412" s="113"/>
      <c r="J1412" s="28">
        <f>IFERROR(VLOOKUP(TEXT(B1412,"0"),STOCK!A:H,7,0),1)</f>
        <v>1</v>
      </c>
    </row>
    <row r="1413" spans="7:10" ht="35.450000000000003" hidden="1" customHeight="1">
      <c r="G1413" s="113"/>
      <c r="J1413" s="28">
        <f>IFERROR(VLOOKUP(TEXT(B1413,"0"),STOCK!A:H,7,0),1)</f>
        <v>1</v>
      </c>
    </row>
    <row r="1414" spans="7:10" ht="35.450000000000003" hidden="1" customHeight="1">
      <c r="G1414" s="113"/>
      <c r="J1414" s="28">
        <f>IFERROR(VLOOKUP(TEXT(B1414,"0"),STOCK!A:H,7,0),1)</f>
        <v>1</v>
      </c>
    </row>
    <row r="1415" spans="7:10" ht="35.450000000000003" hidden="1" customHeight="1">
      <c r="G1415" s="113"/>
      <c r="J1415" s="28">
        <f>IFERROR(VLOOKUP(TEXT(B1415,"0"),STOCK!A:H,7,0),1)</f>
        <v>1</v>
      </c>
    </row>
    <row r="1416" spans="7:10" ht="35.450000000000003" hidden="1" customHeight="1">
      <c r="G1416" s="113"/>
      <c r="J1416" s="28">
        <f>IFERROR(VLOOKUP(TEXT(B1416,"0"),STOCK!A:H,7,0),1)</f>
        <v>1</v>
      </c>
    </row>
    <row r="1417" spans="7:10" ht="35.450000000000003" hidden="1" customHeight="1">
      <c r="G1417" s="113"/>
      <c r="J1417" s="28">
        <f>IFERROR(VLOOKUP(TEXT(B1417,"0"),STOCK!A:H,7,0),1)</f>
        <v>1</v>
      </c>
    </row>
    <row r="1418" spans="7:10" ht="35.450000000000003" hidden="1" customHeight="1">
      <c r="G1418" s="113"/>
      <c r="J1418" s="28">
        <f>IFERROR(VLOOKUP(TEXT(B1418,"0"),STOCK!A:H,7,0),1)</f>
        <v>1</v>
      </c>
    </row>
    <row r="1419" spans="7:10" ht="35.450000000000003" hidden="1" customHeight="1">
      <c r="G1419" s="113"/>
      <c r="J1419" s="28">
        <f>IFERROR(VLOOKUP(TEXT(B1419,"0"),STOCK!A:H,7,0),1)</f>
        <v>1</v>
      </c>
    </row>
    <row r="1420" spans="7:10" ht="35.450000000000003" hidden="1" customHeight="1">
      <c r="G1420" s="113"/>
      <c r="J1420" s="28">
        <f>IFERROR(VLOOKUP(TEXT(B1420,"0"),STOCK!A:H,7,0),1)</f>
        <v>1</v>
      </c>
    </row>
    <row r="1421" spans="7:10" ht="35.450000000000003" hidden="1" customHeight="1">
      <c r="G1421" s="113"/>
      <c r="J1421" s="28">
        <f>IFERROR(VLOOKUP(TEXT(B1421,"0"),STOCK!A:H,7,0),1)</f>
        <v>1</v>
      </c>
    </row>
    <row r="1422" spans="7:10" ht="35.450000000000003" hidden="1" customHeight="1">
      <c r="G1422" s="113"/>
      <c r="J1422" s="28">
        <f>IFERROR(VLOOKUP(TEXT(B1422,"0"),STOCK!A:H,7,0),1)</f>
        <v>1</v>
      </c>
    </row>
    <row r="1423" spans="7:10" ht="35.450000000000003" hidden="1" customHeight="1">
      <c r="G1423" s="113"/>
      <c r="J1423" s="28">
        <f>IFERROR(VLOOKUP(TEXT(B1423,"0"),STOCK!A:H,7,0),1)</f>
        <v>1</v>
      </c>
    </row>
    <row r="1424" spans="7:10" ht="35.450000000000003" hidden="1" customHeight="1">
      <c r="G1424" s="113"/>
      <c r="J1424" s="28">
        <f>IFERROR(VLOOKUP(TEXT(B1424,"0"),STOCK!A:H,7,0),1)</f>
        <v>1</v>
      </c>
    </row>
    <row r="1425" spans="7:10" ht="35.450000000000003" hidden="1" customHeight="1">
      <c r="G1425" s="113"/>
      <c r="J1425" s="28">
        <f>IFERROR(VLOOKUP(TEXT(B1425,"0"),STOCK!A:H,7,0),1)</f>
        <v>1</v>
      </c>
    </row>
    <row r="1426" spans="7:10" ht="35.450000000000003" hidden="1" customHeight="1">
      <c r="G1426" s="113"/>
      <c r="J1426" s="28">
        <f>IFERROR(VLOOKUP(TEXT(B1426,"0"),STOCK!A:H,7,0),1)</f>
        <v>1</v>
      </c>
    </row>
    <row r="1427" spans="7:10" ht="35.450000000000003" hidden="1" customHeight="1">
      <c r="G1427" s="113"/>
      <c r="J1427" s="28">
        <f>IFERROR(VLOOKUP(TEXT(B1427,"0"),STOCK!A:H,7,0),1)</f>
        <v>1</v>
      </c>
    </row>
    <row r="1428" spans="7:10" ht="35.450000000000003" hidden="1" customHeight="1">
      <c r="G1428" s="113"/>
      <c r="J1428" s="28">
        <f>IFERROR(VLOOKUP(TEXT(B1428,"0"),STOCK!A:H,7,0),1)</f>
        <v>1</v>
      </c>
    </row>
    <row r="1429" spans="7:10" ht="35.450000000000003" hidden="1" customHeight="1">
      <c r="G1429" s="113"/>
      <c r="J1429" s="28">
        <f>IFERROR(VLOOKUP(TEXT(B1429,"0"),STOCK!A:H,7,0),1)</f>
        <v>1</v>
      </c>
    </row>
    <row r="1430" spans="7:10" ht="35.450000000000003" hidden="1" customHeight="1">
      <c r="G1430" s="113"/>
      <c r="J1430" s="28">
        <f>IFERROR(VLOOKUP(TEXT(B1430,"0"),STOCK!A:H,7,0),1)</f>
        <v>1</v>
      </c>
    </row>
    <row r="1431" spans="7:10" ht="35.450000000000003" hidden="1" customHeight="1">
      <c r="G1431" s="113"/>
      <c r="J1431" s="28">
        <f>IFERROR(VLOOKUP(TEXT(B1431,"0"),STOCK!A:H,7,0),1)</f>
        <v>1</v>
      </c>
    </row>
    <row r="1432" spans="7:10" ht="35.450000000000003" hidden="1" customHeight="1">
      <c r="G1432" s="113"/>
      <c r="J1432" s="28">
        <f>IFERROR(VLOOKUP(TEXT(B1432,"0"),STOCK!A:H,7,0),1)</f>
        <v>1</v>
      </c>
    </row>
    <row r="1433" spans="7:10" ht="35.450000000000003" hidden="1" customHeight="1">
      <c r="G1433" s="113"/>
      <c r="J1433" s="28">
        <f>IFERROR(VLOOKUP(TEXT(B1433,"0"),STOCK!A:H,7,0),1)</f>
        <v>1</v>
      </c>
    </row>
    <row r="1434" spans="7:10" ht="35.450000000000003" hidden="1" customHeight="1">
      <c r="G1434" s="113"/>
      <c r="J1434" s="28">
        <f>IFERROR(VLOOKUP(TEXT(B1434,"0"),STOCK!A:H,7,0),1)</f>
        <v>1</v>
      </c>
    </row>
    <row r="1435" spans="7:10" ht="35.450000000000003" hidden="1" customHeight="1">
      <c r="G1435" s="113"/>
      <c r="J1435" s="28">
        <f>IFERROR(VLOOKUP(TEXT(B1435,"0"),STOCK!A:H,7,0),1)</f>
        <v>1</v>
      </c>
    </row>
    <row r="1436" spans="7:10" ht="35.450000000000003" hidden="1" customHeight="1">
      <c r="G1436" s="113"/>
      <c r="J1436" s="28">
        <f>IFERROR(VLOOKUP(TEXT(B1436,"0"),STOCK!A:H,7,0),1)</f>
        <v>1</v>
      </c>
    </row>
    <row r="1437" spans="7:10" ht="35.450000000000003" hidden="1" customHeight="1">
      <c r="G1437" s="113"/>
      <c r="J1437" s="28">
        <f>IFERROR(VLOOKUP(TEXT(B1437,"0"),STOCK!A:H,7,0),1)</f>
        <v>1</v>
      </c>
    </row>
    <row r="1438" spans="7:10" ht="35.450000000000003" hidden="1" customHeight="1">
      <c r="G1438" s="113"/>
      <c r="J1438" s="28">
        <f>IFERROR(VLOOKUP(TEXT(B1438,"0"),STOCK!A:H,7,0),1)</f>
        <v>1</v>
      </c>
    </row>
    <row r="1439" spans="7:10" ht="35.450000000000003" hidden="1" customHeight="1">
      <c r="G1439" s="113"/>
      <c r="J1439" s="28">
        <f>IFERROR(VLOOKUP(TEXT(B1439,"0"),STOCK!A:H,7,0),1)</f>
        <v>1</v>
      </c>
    </row>
    <row r="1440" spans="7:10" ht="35.450000000000003" hidden="1" customHeight="1">
      <c r="G1440" s="113"/>
      <c r="J1440" s="28">
        <f>IFERROR(VLOOKUP(TEXT(B1440,"0"),STOCK!A:H,7,0),1)</f>
        <v>1</v>
      </c>
    </row>
    <row r="1441" spans="7:10" ht="35.450000000000003" hidden="1" customHeight="1">
      <c r="G1441" s="113"/>
      <c r="J1441" s="28">
        <f>IFERROR(VLOOKUP(TEXT(B1441,"0"),STOCK!A:H,7,0),1)</f>
        <v>1</v>
      </c>
    </row>
    <row r="1442" spans="7:10" ht="35.450000000000003" hidden="1" customHeight="1">
      <c r="G1442" s="113"/>
      <c r="J1442" s="28">
        <f>IFERROR(VLOOKUP(TEXT(B1442,"0"),STOCK!A:H,7,0),1)</f>
        <v>1</v>
      </c>
    </row>
    <row r="1443" spans="7:10" ht="35.450000000000003" hidden="1" customHeight="1">
      <c r="G1443" s="113"/>
      <c r="J1443" s="28">
        <f>IFERROR(VLOOKUP(TEXT(B1443,"0"),STOCK!A:H,7,0),1)</f>
        <v>1</v>
      </c>
    </row>
    <row r="1444" spans="7:10" ht="35.450000000000003" hidden="1" customHeight="1">
      <c r="G1444" s="113"/>
      <c r="J1444" s="28">
        <f>IFERROR(VLOOKUP(TEXT(B1444,"0"),STOCK!A:H,7,0),1)</f>
        <v>1</v>
      </c>
    </row>
    <row r="1445" spans="7:10" ht="35.450000000000003" hidden="1" customHeight="1">
      <c r="G1445" s="113"/>
      <c r="J1445" s="28">
        <f>IFERROR(VLOOKUP(TEXT(B1445,"0"),STOCK!A:H,7,0),1)</f>
        <v>1</v>
      </c>
    </row>
    <row r="1446" spans="7:10" ht="35.450000000000003" hidden="1" customHeight="1">
      <c r="G1446" s="113"/>
      <c r="J1446" s="28">
        <f>IFERROR(VLOOKUP(TEXT(B1446,"0"),STOCK!A:H,7,0),1)</f>
        <v>1</v>
      </c>
    </row>
    <row r="1447" spans="7:10" ht="35.450000000000003" hidden="1" customHeight="1">
      <c r="G1447" s="113"/>
      <c r="J1447" s="28">
        <f>IFERROR(VLOOKUP(TEXT(B1447,"0"),STOCK!A:H,7,0),1)</f>
        <v>1</v>
      </c>
    </row>
    <row r="1448" spans="7:10" ht="35.450000000000003" hidden="1" customHeight="1">
      <c r="G1448" s="113"/>
      <c r="J1448" s="28">
        <f>IFERROR(VLOOKUP(TEXT(B1448,"0"),STOCK!A:H,7,0),1)</f>
        <v>1</v>
      </c>
    </row>
    <row r="1449" spans="7:10" ht="35.450000000000003" hidden="1" customHeight="1">
      <c r="G1449" s="113"/>
      <c r="J1449" s="28">
        <f>IFERROR(VLOOKUP(TEXT(B1449,"0"),STOCK!A:H,7,0),1)</f>
        <v>1</v>
      </c>
    </row>
    <row r="1450" spans="7:10" ht="35.450000000000003" hidden="1" customHeight="1">
      <c r="G1450" s="113"/>
      <c r="J1450" s="28">
        <f>IFERROR(VLOOKUP(TEXT(B1450,"0"),STOCK!A:H,7,0),1)</f>
        <v>1</v>
      </c>
    </row>
    <row r="1451" spans="7:10" ht="35.450000000000003" hidden="1" customHeight="1">
      <c r="G1451" s="113"/>
      <c r="J1451" s="28">
        <f>IFERROR(VLOOKUP(TEXT(B1451,"0"),STOCK!A:H,7,0),1)</f>
        <v>1</v>
      </c>
    </row>
    <row r="1452" spans="7:10" ht="35.450000000000003" hidden="1" customHeight="1">
      <c r="G1452" s="113"/>
      <c r="J1452" s="28">
        <f>IFERROR(VLOOKUP(TEXT(B1452,"0"),STOCK!A:H,7,0),1)</f>
        <v>1</v>
      </c>
    </row>
    <row r="1453" spans="7:10" ht="35.450000000000003" hidden="1" customHeight="1">
      <c r="G1453" s="113"/>
      <c r="J1453" s="28">
        <f>IFERROR(VLOOKUP(TEXT(B1453,"0"),STOCK!A:H,7,0),1)</f>
        <v>1</v>
      </c>
    </row>
    <row r="1454" spans="7:10" ht="35.450000000000003" hidden="1" customHeight="1">
      <c r="G1454" s="113"/>
      <c r="J1454" s="28">
        <f>IFERROR(VLOOKUP(TEXT(B1454,"0"),STOCK!A:H,7,0),1)</f>
        <v>1</v>
      </c>
    </row>
    <row r="1455" spans="7:10" ht="35.450000000000003" hidden="1" customHeight="1">
      <c r="G1455" s="113"/>
      <c r="J1455" s="28">
        <f>IFERROR(VLOOKUP(TEXT(B1455,"0"),STOCK!A:H,7,0),1)</f>
        <v>1</v>
      </c>
    </row>
    <row r="1456" spans="7:10" ht="35.450000000000003" hidden="1" customHeight="1">
      <c r="G1456" s="113"/>
      <c r="J1456" s="28">
        <f>IFERROR(VLOOKUP(TEXT(B1456,"0"),STOCK!A:H,7,0),1)</f>
        <v>1</v>
      </c>
    </row>
    <row r="1457" spans="7:10" ht="35.450000000000003" hidden="1" customHeight="1">
      <c r="G1457" s="113"/>
      <c r="J1457" s="28">
        <f>IFERROR(VLOOKUP(TEXT(B1457,"0"),STOCK!A:H,7,0),1)</f>
        <v>1</v>
      </c>
    </row>
    <row r="1458" spans="7:10" ht="35.450000000000003" hidden="1" customHeight="1">
      <c r="G1458" s="113"/>
      <c r="J1458" s="28">
        <f>IFERROR(VLOOKUP(TEXT(B1458,"0"),STOCK!A:H,7,0),1)</f>
        <v>1</v>
      </c>
    </row>
    <row r="1459" spans="7:10" ht="35.450000000000003" hidden="1" customHeight="1">
      <c r="G1459" s="113"/>
      <c r="J1459" s="28">
        <f>IFERROR(VLOOKUP(TEXT(B1459,"0"),STOCK!A:H,7,0),1)</f>
        <v>1</v>
      </c>
    </row>
    <row r="1460" spans="7:10" ht="35.450000000000003" hidden="1" customHeight="1">
      <c r="G1460" s="113"/>
      <c r="J1460" s="28">
        <f>IFERROR(VLOOKUP(TEXT(B1460,"0"),STOCK!A:H,7,0),1)</f>
        <v>1</v>
      </c>
    </row>
    <row r="1461" spans="7:10" ht="35.450000000000003" hidden="1" customHeight="1">
      <c r="G1461" s="113"/>
      <c r="J1461" s="28">
        <f>IFERROR(VLOOKUP(TEXT(B1461,"0"),STOCK!A:H,7,0),1)</f>
        <v>1</v>
      </c>
    </row>
    <row r="1462" spans="7:10" ht="35.450000000000003" hidden="1" customHeight="1">
      <c r="G1462" s="113"/>
      <c r="J1462" s="28">
        <f>IFERROR(VLOOKUP(TEXT(B1462,"0"),STOCK!A:H,7,0),1)</f>
        <v>1</v>
      </c>
    </row>
    <row r="1463" spans="7:10" ht="35.450000000000003" hidden="1" customHeight="1">
      <c r="G1463" s="113"/>
      <c r="J1463" s="28">
        <f>IFERROR(VLOOKUP(TEXT(B1463,"0"),STOCK!A:H,7,0),1)</f>
        <v>1</v>
      </c>
    </row>
    <row r="1464" spans="7:10" ht="35.450000000000003" hidden="1" customHeight="1">
      <c r="G1464" s="113"/>
      <c r="J1464" s="28">
        <f>IFERROR(VLOOKUP(TEXT(B1464,"0"),STOCK!A:H,7,0),1)</f>
        <v>1</v>
      </c>
    </row>
    <row r="1465" spans="7:10" ht="35.450000000000003" hidden="1" customHeight="1">
      <c r="G1465" s="113"/>
      <c r="J1465" s="28">
        <f>IFERROR(VLOOKUP(TEXT(B1465,"0"),STOCK!A:H,7,0),1)</f>
        <v>1</v>
      </c>
    </row>
    <row r="1466" spans="7:10" ht="35.450000000000003" hidden="1" customHeight="1">
      <c r="G1466" s="113"/>
      <c r="J1466" s="28">
        <f>IFERROR(VLOOKUP(TEXT(B1466,"0"),STOCK!A:H,7,0),1)</f>
        <v>1</v>
      </c>
    </row>
    <row r="1467" spans="7:10" ht="35.450000000000003" hidden="1" customHeight="1">
      <c r="G1467" s="113"/>
      <c r="J1467" s="28">
        <f>IFERROR(VLOOKUP(TEXT(B1467,"0"),STOCK!A:H,7,0),1)</f>
        <v>1</v>
      </c>
    </row>
    <row r="1468" spans="7:10" ht="35.450000000000003" hidden="1" customHeight="1">
      <c r="G1468" s="113"/>
      <c r="J1468" s="28">
        <f>IFERROR(VLOOKUP(TEXT(B1468,"0"),STOCK!A:H,7,0),1)</f>
        <v>1</v>
      </c>
    </row>
    <row r="1469" spans="7:10" ht="35.450000000000003" hidden="1" customHeight="1">
      <c r="G1469" s="113"/>
      <c r="J1469" s="28">
        <f>IFERROR(VLOOKUP(TEXT(B1469,"0"),STOCK!A:H,7,0),1)</f>
        <v>1</v>
      </c>
    </row>
    <row r="1470" spans="7:10" ht="35.450000000000003" hidden="1" customHeight="1">
      <c r="G1470" s="113"/>
      <c r="J1470" s="28">
        <f>IFERROR(VLOOKUP(TEXT(B1470,"0"),STOCK!A:H,7,0),1)</f>
        <v>1</v>
      </c>
    </row>
    <row r="1471" spans="7:10" ht="35.450000000000003" hidden="1" customHeight="1">
      <c r="G1471" s="113"/>
      <c r="J1471" s="28">
        <f>IFERROR(VLOOKUP(TEXT(B1471,"0"),STOCK!A:H,7,0),1)</f>
        <v>1</v>
      </c>
    </row>
    <row r="1472" spans="7:10" ht="35.450000000000003" hidden="1" customHeight="1">
      <c r="G1472" s="113"/>
      <c r="J1472" s="28">
        <f>IFERROR(VLOOKUP(TEXT(B1472,"0"),STOCK!A:H,7,0),1)</f>
        <v>1</v>
      </c>
    </row>
    <row r="1473" spans="7:10" ht="35.450000000000003" hidden="1" customHeight="1">
      <c r="G1473" s="113"/>
      <c r="J1473" s="28">
        <f>IFERROR(VLOOKUP(TEXT(B1473,"0"),STOCK!A:H,7,0),1)</f>
        <v>1</v>
      </c>
    </row>
    <row r="1474" spans="7:10" ht="35.450000000000003" hidden="1" customHeight="1">
      <c r="G1474" s="113"/>
      <c r="J1474" s="28">
        <f>IFERROR(VLOOKUP(TEXT(B1474,"0"),STOCK!A:H,7,0),1)</f>
        <v>1</v>
      </c>
    </row>
    <row r="1475" spans="7:10" ht="35.450000000000003" hidden="1" customHeight="1">
      <c r="G1475" s="113"/>
      <c r="J1475" s="28">
        <f>IFERROR(VLOOKUP(TEXT(B1475,"0"),STOCK!A:H,7,0),1)</f>
        <v>1</v>
      </c>
    </row>
    <row r="1476" spans="7:10" ht="35.450000000000003" hidden="1" customHeight="1">
      <c r="G1476" s="113"/>
      <c r="J1476" s="28">
        <f>IFERROR(VLOOKUP(TEXT(B1476,"0"),STOCK!A:H,7,0),1)</f>
        <v>1</v>
      </c>
    </row>
    <row r="1477" spans="7:10" ht="35.450000000000003" hidden="1" customHeight="1">
      <c r="G1477" s="113"/>
      <c r="J1477" s="28">
        <f>IFERROR(VLOOKUP(TEXT(B1477,"0"),STOCK!A:H,7,0),1)</f>
        <v>1</v>
      </c>
    </row>
    <row r="1478" spans="7:10" ht="35.450000000000003" hidden="1" customHeight="1">
      <c r="G1478" s="113"/>
      <c r="J1478" s="28">
        <f>IFERROR(VLOOKUP(TEXT(B1478,"0"),STOCK!A:H,7,0),1)</f>
        <v>1</v>
      </c>
    </row>
    <row r="1479" spans="7:10" ht="35.450000000000003" hidden="1" customHeight="1">
      <c r="G1479" s="113"/>
      <c r="J1479" s="28">
        <f>IFERROR(VLOOKUP(TEXT(B1479,"0"),STOCK!A:H,7,0),1)</f>
        <v>1</v>
      </c>
    </row>
    <row r="1480" spans="7:10" ht="35.450000000000003" hidden="1" customHeight="1">
      <c r="G1480" s="113"/>
      <c r="J1480" s="28">
        <f>IFERROR(VLOOKUP(TEXT(B1480,"0"),STOCK!A:H,7,0),1)</f>
        <v>1</v>
      </c>
    </row>
    <row r="1481" spans="7:10" ht="35.450000000000003" hidden="1" customHeight="1">
      <c r="G1481" s="113"/>
      <c r="J1481" s="28">
        <f>IFERROR(VLOOKUP(TEXT(B1481,"0"),STOCK!A:H,7,0),1)</f>
        <v>1</v>
      </c>
    </row>
    <row r="1482" spans="7:10" ht="35.450000000000003" hidden="1" customHeight="1">
      <c r="G1482" s="113"/>
      <c r="J1482" s="28">
        <f>IFERROR(VLOOKUP(TEXT(B1482,"0"),STOCK!A:H,7,0),1)</f>
        <v>1</v>
      </c>
    </row>
    <row r="1483" spans="7:10" ht="35.450000000000003" hidden="1" customHeight="1">
      <c r="G1483" s="113"/>
      <c r="J1483" s="28">
        <f>IFERROR(VLOOKUP(TEXT(B1483,"0"),STOCK!A:H,7,0),1)</f>
        <v>1</v>
      </c>
    </row>
    <row r="1484" spans="7:10" ht="35.450000000000003" hidden="1" customHeight="1">
      <c r="G1484" s="113"/>
      <c r="J1484" s="28">
        <f>IFERROR(VLOOKUP(TEXT(B1484,"0"),STOCK!A:H,7,0),1)</f>
        <v>1</v>
      </c>
    </row>
    <row r="1485" spans="7:10" ht="35.450000000000003" hidden="1" customHeight="1">
      <c r="G1485" s="113"/>
      <c r="J1485" s="28">
        <f>IFERROR(VLOOKUP(TEXT(B1485,"0"),STOCK!A:H,7,0),1)</f>
        <v>1</v>
      </c>
    </row>
    <row r="1486" spans="7:10" ht="35.450000000000003" hidden="1" customHeight="1">
      <c r="G1486" s="113"/>
      <c r="J1486" s="28">
        <f>IFERROR(VLOOKUP(TEXT(B1486,"0"),STOCK!A:H,7,0),1)</f>
        <v>1</v>
      </c>
    </row>
    <row r="1487" spans="7:10" ht="35.450000000000003" hidden="1" customHeight="1">
      <c r="G1487" s="113"/>
      <c r="J1487" s="28">
        <f>IFERROR(VLOOKUP(TEXT(B1487,"0"),STOCK!A:H,7,0),1)</f>
        <v>1</v>
      </c>
    </row>
    <row r="1488" spans="7:10" ht="35.450000000000003" hidden="1" customHeight="1">
      <c r="G1488" s="113"/>
      <c r="J1488" s="28">
        <f>IFERROR(VLOOKUP(TEXT(B1488,"0"),STOCK!A:H,7,0),1)</f>
        <v>1</v>
      </c>
    </row>
    <row r="1489" spans="7:10" ht="35.450000000000003" hidden="1" customHeight="1">
      <c r="G1489" s="113"/>
      <c r="J1489" s="28">
        <f>IFERROR(VLOOKUP(TEXT(B1489,"0"),STOCK!A:H,7,0),1)</f>
        <v>1</v>
      </c>
    </row>
    <row r="1490" spans="7:10" ht="35.450000000000003" hidden="1" customHeight="1">
      <c r="G1490" s="113"/>
      <c r="J1490" s="28">
        <f>IFERROR(VLOOKUP(TEXT(B1490,"0"),STOCK!A:H,7,0),1)</f>
        <v>1</v>
      </c>
    </row>
    <row r="1491" spans="7:10" ht="35.450000000000003" hidden="1" customHeight="1">
      <c r="G1491" s="113"/>
      <c r="J1491" s="28">
        <f>IFERROR(VLOOKUP(TEXT(B1491,"0"),STOCK!A:H,7,0),1)</f>
        <v>1</v>
      </c>
    </row>
    <row r="1492" spans="7:10" ht="35.450000000000003" hidden="1" customHeight="1">
      <c r="G1492" s="113"/>
      <c r="J1492" s="28">
        <f>IFERROR(VLOOKUP(TEXT(B1492,"0"),STOCK!A:H,7,0),1)</f>
        <v>1</v>
      </c>
    </row>
    <row r="1493" spans="7:10" ht="35.450000000000003" hidden="1" customHeight="1">
      <c r="G1493" s="113"/>
      <c r="J1493" s="28">
        <f>IFERROR(VLOOKUP(TEXT(B1493,"0"),STOCK!A:H,7,0),1)</f>
        <v>1</v>
      </c>
    </row>
    <row r="1494" spans="7:10" ht="35.450000000000003" hidden="1" customHeight="1">
      <c r="G1494" s="113"/>
      <c r="J1494" s="28">
        <f>IFERROR(VLOOKUP(TEXT(B1494,"0"),STOCK!A:H,7,0),1)</f>
        <v>1</v>
      </c>
    </row>
    <row r="1495" spans="7:10" ht="35.450000000000003" hidden="1" customHeight="1">
      <c r="G1495" s="113"/>
      <c r="J1495" s="28">
        <f>IFERROR(VLOOKUP(TEXT(B1495,"0"),STOCK!A:H,7,0),1)</f>
        <v>1</v>
      </c>
    </row>
    <row r="1496" spans="7:10" ht="35.450000000000003" hidden="1" customHeight="1">
      <c r="G1496" s="113"/>
      <c r="J1496" s="28">
        <f>IFERROR(VLOOKUP(TEXT(B1496,"0"),STOCK!A:H,7,0),1)</f>
        <v>1</v>
      </c>
    </row>
    <row r="1497" spans="7:10" ht="35.450000000000003" hidden="1" customHeight="1">
      <c r="G1497" s="113"/>
      <c r="J1497" s="28">
        <f>IFERROR(VLOOKUP(TEXT(B1497,"0"),STOCK!A:H,7,0),1)</f>
        <v>1</v>
      </c>
    </row>
    <row r="1498" spans="7:10" ht="35.450000000000003" hidden="1" customHeight="1">
      <c r="G1498" s="113"/>
      <c r="J1498" s="28">
        <f>IFERROR(VLOOKUP(TEXT(B1498,"0"),STOCK!A:H,7,0),1)</f>
        <v>1</v>
      </c>
    </row>
    <row r="1499" spans="7:10" ht="35.450000000000003" hidden="1" customHeight="1">
      <c r="G1499" s="113"/>
      <c r="J1499" s="28">
        <f>IFERROR(VLOOKUP(TEXT(B1499,"0"),STOCK!A:H,7,0),1)</f>
        <v>1</v>
      </c>
    </row>
    <row r="1500" spans="7:10" ht="35.450000000000003" hidden="1" customHeight="1">
      <c r="G1500" s="113"/>
      <c r="J1500" s="28">
        <f>IFERROR(VLOOKUP(TEXT(B1500,"0"),STOCK!A:H,7,0),1)</f>
        <v>1</v>
      </c>
    </row>
    <row r="1501" spans="7:10" ht="35.450000000000003" hidden="1" customHeight="1">
      <c r="G1501" s="113"/>
      <c r="J1501" s="28">
        <f>IFERROR(VLOOKUP(TEXT(B1501,"0"),STOCK!A:H,7,0),1)</f>
        <v>1</v>
      </c>
    </row>
    <row r="1502" spans="7:10" ht="35.450000000000003" hidden="1" customHeight="1">
      <c r="G1502" s="113"/>
      <c r="J1502" s="28">
        <f>IFERROR(VLOOKUP(TEXT(B1502,"0"),STOCK!A:H,7,0),1)</f>
        <v>1</v>
      </c>
    </row>
    <row r="1503" spans="7:10" ht="35.450000000000003" hidden="1" customHeight="1">
      <c r="G1503" s="113"/>
      <c r="J1503" s="28">
        <f>IFERROR(VLOOKUP(TEXT(B1503,"0"),STOCK!A:H,7,0),1)</f>
        <v>1</v>
      </c>
    </row>
    <row r="1504" spans="7:10" ht="35.450000000000003" hidden="1" customHeight="1">
      <c r="G1504" s="113"/>
      <c r="J1504" s="28">
        <f>IFERROR(VLOOKUP(TEXT(B1504,"0"),STOCK!A:H,7,0),1)</f>
        <v>1</v>
      </c>
    </row>
    <row r="1505" spans="7:10" ht="35.450000000000003" hidden="1" customHeight="1">
      <c r="G1505" s="113"/>
      <c r="J1505" s="28">
        <f>IFERROR(VLOOKUP(TEXT(B1505,"0"),STOCK!A:H,7,0),1)</f>
        <v>1</v>
      </c>
    </row>
    <row r="1506" spans="7:10" ht="35.450000000000003" hidden="1" customHeight="1">
      <c r="G1506" s="113"/>
      <c r="J1506" s="28">
        <f>IFERROR(VLOOKUP(TEXT(B1506,"0"),STOCK!A:H,7,0),1)</f>
        <v>1</v>
      </c>
    </row>
    <row r="1507" spans="7:10" ht="35.450000000000003" hidden="1" customHeight="1">
      <c r="G1507" s="113"/>
      <c r="J1507" s="28">
        <f>IFERROR(VLOOKUP(TEXT(B1507,"0"),STOCK!A:H,7,0),1)</f>
        <v>1</v>
      </c>
    </row>
    <row r="1508" spans="7:10" ht="35.450000000000003" hidden="1" customHeight="1">
      <c r="G1508" s="113"/>
      <c r="J1508" s="28">
        <f>IFERROR(VLOOKUP(TEXT(B1508,"0"),STOCK!A:H,7,0),1)</f>
        <v>1</v>
      </c>
    </row>
    <row r="1509" spans="7:10" ht="35.450000000000003" hidden="1" customHeight="1">
      <c r="G1509" s="113"/>
      <c r="J1509" s="28">
        <f>IFERROR(VLOOKUP(TEXT(B1509,"0"),STOCK!A:H,7,0),1)</f>
        <v>1</v>
      </c>
    </row>
    <row r="1510" spans="7:10" ht="35.450000000000003" hidden="1" customHeight="1">
      <c r="G1510" s="113"/>
      <c r="J1510" s="28">
        <f>IFERROR(VLOOKUP(TEXT(B1510,"0"),STOCK!A:H,7,0),1)</f>
        <v>1</v>
      </c>
    </row>
    <row r="1511" spans="7:10" ht="35.450000000000003" hidden="1" customHeight="1">
      <c r="G1511" s="113"/>
      <c r="J1511" s="28">
        <f>IFERROR(VLOOKUP(TEXT(B1511,"0"),STOCK!A:H,7,0),1)</f>
        <v>1</v>
      </c>
    </row>
    <row r="1512" spans="7:10" ht="35.450000000000003" hidden="1" customHeight="1">
      <c r="G1512" s="113"/>
      <c r="J1512" s="28">
        <f>IFERROR(VLOOKUP(TEXT(B1512,"0"),STOCK!A:H,7,0),1)</f>
        <v>1</v>
      </c>
    </row>
    <row r="1513" spans="7:10" ht="35.450000000000003" hidden="1" customHeight="1">
      <c r="G1513" s="113"/>
      <c r="J1513" s="28">
        <f>IFERROR(VLOOKUP(TEXT(B1513,"0"),STOCK!A:H,7,0),1)</f>
        <v>1</v>
      </c>
    </row>
    <row r="1514" spans="7:10" ht="35.450000000000003" hidden="1" customHeight="1">
      <c r="G1514" s="113"/>
      <c r="J1514" s="28">
        <f>IFERROR(VLOOKUP(TEXT(B1514,"0"),STOCK!A:H,7,0),1)</f>
        <v>1</v>
      </c>
    </row>
    <row r="1515" spans="7:10" ht="35.450000000000003" hidden="1" customHeight="1">
      <c r="G1515" s="113"/>
      <c r="J1515" s="28">
        <f>IFERROR(VLOOKUP(TEXT(B1515,"0"),STOCK!A:H,7,0),1)</f>
        <v>1</v>
      </c>
    </row>
    <row r="1516" spans="7:10" ht="35.450000000000003" hidden="1" customHeight="1">
      <c r="G1516" s="113"/>
      <c r="J1516" s="28">
        <f>IFERROR(VLOOKUP(TEXT(B1516,"0"),STOCK!A:H,7,0),1)</f>
        <v>1</v>
      </c>
    </row>
    <row r="1517" spans="7:10" ht="35.450000000000003" hidden="1" customHeight="1">
      <c r="G1517" s="113"/>
      <c r="J1517" s="28">
        <f>IFERROR(VLOOKUP(TEXT(B1517,"0"),STOCK!A:H,7,0),1)</f>
        <v>1</v>
      </c>
    </row>
    <row r="1518" spans="7:10" ht="35.450000000000003" hidden="1" customHeight="1">
      <c r="G1518" s="113"/>
      <c r="J1518" s="28">
        <f>IFERROR(VLOOKUP(TEXT(B1518,"0"),STOCK!A:H,7,0),1)</f>
        <v>1</v>
      </c>
    </row>
    <row r="1519" spans="7:10" ht="35.450000000000003" hidden="1" customHeight="1">
      <c r="G1519" s="113"/>
      <c r="J1519" s="28">
        <f>IFERROR(VLOOKUP(TEXT(B1519,"0"),STOCK!A:H,7,0),1)</f>
        <v>1</v>
      </c>
    </row>
    <row r="1520" spans="7:10" ht="35.450000000000003" hidden="1" customHeight="1">
      <c r="G1520" s="113"/>
      <c r="J1520" s="28">
        <f>IFERROR(VLOOKUP(TEXT(B1520,"0"),STOCK!A:H,7,0),1)</f>
        <v>1</v>
      </c>
    </row>
    <row r="1521" spans="7:10" ht="35.450000000000003" hidden="1" customHeight="1">
      <c r="G1521" s="113"/>
      <c r="J1521" s="28">
        <f>IFERROR(VLOOKUP(TEXT(B1521,"0"),STOCK!A:H,7,0),1)</f>
        <v>1</v>
      </c>
    </row>
    <row r="1522" spans="7:10" ht="35.450000000000003" hidden="1" customHeight="1">
      <c r="G1522" s="113"/>
      <c r="J1522" s="28">
        <f>IFERROR(VLOOKUP(TEXT(B1522,"0"),STOCK!A:H,7,0),1)</f>
        <v>1</v>
      </c>
    </row>
    <row r="1523" spans="7:10" ht="35.450000000000003" hidden="1" customHeight="1">
      <c r="G1523" s="113"/>
      <c r="J1523" s="28">
        <f>IFERROR(VLOOKUP(TEXT(B1523,"0"),STOCK!A:H,7,0),1)</f>
        <v>1</v>
      </c>
    </row>
    <row r="1524" spans="7:10" ht="35.450000000000003" hidden="1" customHeight="1">
      <c r="G1524" s="113"/>
      <c r="J1524" s="28">
        <f>IFERROR(VLOOKUP(TEXT(B1524,"0"),STOCK!A:H,7,0),1)</f>
        <v>1</v>
      </c>
    </row>
    <row r="1525" spans="7:10" ht="35.450000000000003" hidden="1" customHeight="1">
      <c r="G1525" s="113"/>
      <c r="J1525" s="28">
        <f>IFERROR(VLOOKUP(TEXT(B1525,"0"),STOCK!A:H,7,0),1)</f>
        <v>1</v>
      </c>
    </row>
    <row r="1526" spans="7:10" ht="35.450000000000003" hidden="1" customHeight="1">
      <c r="G1526" s="113"/>
      <c r="J1526" s="28">
        <f>IFERROR(VLOOKUP(TEXT(B1526,"0"),STOCK!A:H,7,0),1)</f>
        <v>1</v>
      </c>
    </row>
    <row r="1527" spans="7:10" ht="35.450000000000003" hidden="1" customHeight="1">
      <c r="G1527" s="113"/>
      <c r="J1527" s="28">
        <f>IFERROR(VLOOKUP(TEXT(B1527,"0"),STOCK!A:H,7,0),1)</f>
        <v>1</v>
      </c>
    </row>
    <row r="1528" spans="7:10" ht="35.450000000000003" hidden="1" customHeight="1">
      <c r="G1528" s="113"/>
      <c r="J1528" s="28">
        <f>IFERROR(VLOOKUP(TEXT(B1528,"0"),STOCK!A:H,7,0),1)</f>
        <v>1</v>
      </c>
    </row>
    <row r="1529" spans="7:10" ht="35.450000000000003" hidden="1" customHeight="1">
      <c r="G1529" s="113"/>
      <c r="J1529" s="28">
        <f>IFERROR(VLOOKUP(TEXT(B1529,"0"),STOCK!A:H,7,0),1)</f>
        <v>1</v>
      </c>
    </row>
    <row r="1530" spans="7:10" ht="35.450000000000003" hidden="1" customHeight="1">
      <c r="G1530" s="113"/>
      <c r="J1530" s="28">
        <f>IFERROR(VLOOKUP(TEXT(B1530,"0"),STOCK!A:H,7,0),1)</f>
        <v>1</v>
      </c>
    </row>
    <row r="1531" spans="7:10" ht="35.450000000000003" hidden="1" customHeight="1">
      <c r="G1531" s="113"/>
      <c r="J1531" s="28">
        <f>IFERROR(VLOOKUP(TEXT(B1531,"0"),STOCK!A:H,7,0),1)</f>
        <v>1</v>
      </c>
    </row>
    <row r="1532" spans="7:10" ht="35.450000000000003" hidden="1" customHeight="1">
      <c r="G1532" s="113"/>
      <c r="J1532" s="28">
        <f>IFERROR(VLOOKUP(TEXT(B1532,"0"),STOCK!A:H,7,0),1)</f>
        <v>1</v>
      </c>
    </row>
    <row r="1533" spans="7:10" ht="35.450000000000003" hidden="1" customHeight="1">
      <c r="G1533" s="113"/>
      <c r="J1533" s="28">
        <f>IFERROR(VLOOKUP(TEXT(B1533,"0"),STOCK!A:H,7,0),1)</f>
        <v>1</v>
      </c>
    </row>
    <row r="1534" spans="7:10" ht="35.450000000000003" hidden="1" customHeight="1">
      <c r="G1534" s="113"/>
      <c r="J1534" s="28">
        <f>IFERROR(VLOOKUP(TEXT(B1534,"0"),STOCK!A:H,7,0),1)</f>
        <v>1</v>
      </c>
    </row>
    <row r="1535" spans="7:10" ht="35.450000000000003" hidden="1" customHeight="1">
      <c r="G1535" s="113"/>
      <c r="J1535" s="28">
        <f>IFERROR(VLOOKUP(TEXT(B1535,"0"),STOCK!A:H,7,0),1)</f>
        <v>1</v>
      </c>
    </row>
    <row r="1536" spans="7:10" ht="35.450000000000003" hidden="1" customHeight="1">
      <c r="G1536" s="113"/>
      <c r="J1536" s="28">
        <f>IFERROR(VLOOKUP(TEXT(B1536,"0"),STOCK!A:H,7,0),1)</f>
        <v>1</v>
      </c>
    </row>
    <row r="1537" spans="7:10" ht="35.450000000000003" hidden="1" customHeight="1">
      <c r="G1537" s="113"/>
      <c r="J1537" s="28">
        <f>IFERROR(VLOOKUP(TEXT(B1537,"0"),STOCK!A:H,7,0),1)</f>
        <v>1</v>
      </c>
    </row>
    <row r="1538" spans="7:10" ht="35.450000000000003" hidden="1" customHeight="1">
      <c r="G1538" s="113"/>
      <c r="J1538" s="28">
        <f>IFERROR(VLOOKUP(TEXT(B1538,"0"),STOCK!A:H,7,0),1)</f>
        <v>1</v>
      </c>
    </row>
    <row r="1539" spans="7:10" ht="35.450000000000003" hidden="1" customHeight="1">
      <c r="G1539" s="113"/>
      <c r="J1539" s="28">
        <f>IFERROR(VLOOKUP(TEXT(B1539,"0"),STOCK!A:H,7,0),1)</f>
        <v>1</v>
      </c>
    </row>
    <row r="1540" spans="7:10" ht="35.450000000000003" hidden="1" customHeight="1">
      <c r="G1540" s="113"/>
      <c r="J1540" s="28">
        <f>IFERROR(VLOOKUP(TEXT(B1540,"0"),STOCK!A:H,7,0),1)</f>
        <v>1</v>
      </c>
    </row>
    <row r="1541" spans="7:10" ht="35.450000000000003" hidden="1" customHeight="1">
      <c r="G1541" s="113"/>
      <c r="J1541" s="28">
        <f>IFERROR(VLOOKUP(TEXT(B1541,"0"),STOCK!A:H,7,0),1)</f>
        <v>1</v>
      </c>
    </row>
    <row r="1542" spans="7:10" ht="35.450000000000003" hidden="1" customHeight="1">
      <c r="G1542" s="113"/>
      <c r="J1542" s="28">
        <f>IFERROR(VLOOKUP(TEXT(B1542,"0"),STOCK!A:H,7,0),1)</f>
        <v>1</v>
      </c>
    </row>
    <row r="1543" spans="7:10" ht="35.450000000000003" hidden="1" customHeight="1">
      <c r="G1543" s="113"/>
      <c r="J1543" s="28">
        <f>IFERROR(VLOOKUP(TEXT(B1543,"0"),STOCK!A:H,7,0),1)</f>
        <v>1</v>
      </c>
    </row>
    <row r="1544" spans="7:10" ht="35.450000000000003" hidden="1" customHeight="1">
      <c r="G1544" s="113"/>
      <c r="J1544" s="28">
        <f>IFERROR(VLOOKUP(TEXT(B1544,"0"),STOCK!A:H,7,0),1)</f>
        <v>1</v>
      </c>
    </row>
    <row r="1545" spans="7:10" ht="35.450000000000003" hidden="1" customHeight="1">
      <c r="G1545" s="113"/>
      <c r="J1545" s="28">
        <f>IFERROR(VLOOKUP(TEXT(B1545,"0"),STOCK!A:H,7,0),1)</f>
        <v>1</v>
      </c>
    </row>
    <row r="1546" spans="7:10" ht="35.450000000000003" hidden="1" customHeight="1">
      <c r="G1546" s="113"/>
      <c r="J1546" s="28">
        <f>IFERROR(VLOOKUP(TEXT(B1546,"0"),STOCK!A:H,7,0),1)</f>
        <v>1</v>
      </c>
    </row>
    <row r="1547" spans="7:10" ht="35.450000000000003" hidden="1" customHeight="1">
      <c r="G1547" s="113"/>
      <c r="J1547" s="28">
        <f>IFERROR(VLOOKUP(TEXT(B1547,"0"),STOCK!A:H,7,0),1)</f>
        <v>1</v>
      </c>
    </row>
    <row r="1548" spans="7:10" ht="35.450000000000003" hidden="1" customHeight="1">
      <c r="G1548" s="113"/>
      <c r="J1548" s="28">
        <f>IFERROR(VLOOKUP(TEXT(B1548,"0"),STOCK!A:H,7,0),1)</f>
        <v>1</v>
      </c>
    </row>
    <row r="1549" spans="7:10" ht="35.450000000000003" hidden="1" customHeight="1">
      <c r="G1549" s="113"/>
      <c r="J1549" s="28">
        <f>IFERROR(VLOOKUP(TEXT(B1549,"0"),STOCK!A:H,7,0),1)</f>
        <v>1</v>
      </c>
    </row>
    <row r="1550" spans="7:10" ht="35.450000000000003" hidden="1" customHeight="1">
      <c r="G1550" s="113"/>
      <c r="J1550" s="28">
        <f>IFERROR(VLOOKUP(TEXT(B1550,"0"),STOCK!A:H,7,0),1)</f>
        <v>1</v>
      </c>
    </row>
    <row r="1551" spans="7:10" ht="35.450000000000003" hidden="1" customHeight="1">
      <c r="G1551" s="113"/>
      <c r="J1551" s="28">
        <f>IFERROR(VLOOKUP(TEXT(B1551,"0"),STOCK!A:H,7,0),1)</f>
        <v>1</v>
      </c>
    </row>
    <row r="1552" spans="7:10" ht="35.450000000000003" hidden="1" customHeight="1">
      <c r="G1552" s="113"/>
      <c r="J1552" s="28">
        <f>IFERROR(VLOOKUP(TEXT(B1552,"0"),STOCK!A:H,7,0),1)</f>
        <v>1</v>
      </c>
    </row>
    <row r="1553" spans="7:10" ht="35.450000000000003" hidden="1" customHeight="1">
      <c r="G1553" s="113"/>
      <c r="J1553" s="28">
        <f>IFERROR(VLOOKUP(TEXT(B1553,"0"),STOCK!A:H,7,0),1)</f>
        <v>1</v>
      </c>
    </row>
    <row r="1554" spans="7:10" ht="35.450000000000003" hidden="1" customHeight="1">
      <c r="G1554" s="113"/>
      <c r="J1554" s="28">
        <f>IFERROR(VLOOKUP(TEXT(B1554,"0"),STOCK!A:H,7,0),1)</f>
        <v>1</v>
      </c>
    </row>
    <row r="1555" spans="7:10" ht="35.450000000000003" hidden="1" customHeight="1">
      <c r="G1555" s="113"/>
      <c r="J1555" s="28">
        <f>IFERROR(VLOOKUP(TEXT(B1555,"0"),STOCK!A:H,7,0),1)</f>
        <v>1</v>
      </c>
    </row>
    <row r="1556" spans="7:10" ht="35.450000000000003" hidden="1" customHeight="1">
      <c r="G1556" s="113"/>
      <c r="J1556" s="28">
        <f>IFERROR(VLOOKUP(TEXT(B1556,"0"),STOCK!A:H,7,0),1)</f>
        <v>1</v>
      </c>
    </row>
    <row r="1557" spans="7:10" ht="35.450000000000003" hidden="1" customHeight="1">
      <c r="G1557" s="113"/>
      <c r="J1557" s="28">
        <f>IFERROR(VLOOKUP(TEXT(B1557,"0"),STOCK!A:H,7,0),1)</f>
        <v>1</v>
      </c>
    </row>
    <row r="1558" spans="7:10" ht="35.450000000000003" hidden="1" customHeight="1">
      <c r="G1558" s="113"/>
      <c r="J1558" s="28">
        <f>IFERROR(VLOOKUP(TEXT(B1558,"0"),STOCK!A:H,7,0),1)</f>
        <v>1</v>
      </c>
    </row>
    <row r="1559" spans="7:10" ht="35.450000000000003" hidden="1" customHeight="1">
      <c r="G1559" s="113"/>
      <c r="J1559" s="28">
        <f>IFERROR(VLOOKUP(TEXT(B1559,"0"),STOCK!A:H,7,0),1)</f>
        <v>1</v>
      </c>
    </row>
    <row r="1560" spans="7:10" ht="35.450000000000003" hidden="1" customHeight="1">
      <c r="G1560" s="113"/>
      <c r="J1560" s="28">
        <f>IFERROR(VLOOKUP(TEXT(B1560,"0"),STOCK!A:H,7,0),1)</f>
        <v>1</v>
      </c>
    </row>
    <row r="1561" spans="7:10" ht="35.450000000000003" hidden="1" customHeight="1">
      <c r="G1561" s="113"/>
      <c r="J1561" s="28">
        <f>IFERROR(VLOOKUP(TEXT(B1561,"0"),STOCK!A:H,7,0),1)</f>
        <v>1</v>
      </c>
    </row>
    <row r="1562" spans="7:10" ht="35.450000000000003" hidden="1" customHeight="1">
      <c r="G1562" s="113"/>
      <c r="J1562" s="28">
        <f>IFERROR(VLOOKUP(TEXT(B1562,"0"),STOCK!A:H,7,0),1)</f>
        <v>1</v>
      </c>
    </row>
    <row r="1563" spans="7:10" ht="35.450000000000003" hidden="1" customHeight="1">
      <c r="G1563" s="113"/>
      <c r="J1563" s="28">
        <f>IFERROR(VLOOKUP(TEXT(B1563,"0"),STOCK!A:H,7,0),1)</f>
        <v>1</v>
      </c>
    </row>
    <row r="1564" spans="7:10" ht="35.450000000000003" hidden="1" customHeight="1">
      <c r="G1564" s="113"/>
      <c r="J1564" s="28">
        <f>IFERROR(VLOOKUP(TEXT(B1564,"0"),STOCK!A:H,7,0),1)</f>
        <v>1</v>
      </c>
    </row>
    <row r="1565" spans="7:10" ht="35.450000000000003" hidden="1" customHeight="1">
      <c r="G1565" s="113"/>
      <c r="J1565" s="28">
        <f>IFERROR(VLOOKUP(TEXT(B1565,"0"),STOCK!A:H,7,0),1)</f>
        <v>1</v>
      </c>
    </row>
    <row r="1566" spans="7:10" ht="35.450000000000003" hidden="1" customHeight="1">
      <c r="G1566" s="113"/>
      <c r="J1566" s="28">
        <f>IFERROR(VLOOKUP(TEXT(B1566,"0"),STOCK!A:H,7,0),1)</f>
        <v>1</v>
      </c>
    </row>
    <row r="1567" spans="7:10" ht="35.450000000000003" hidden="1" customHeight="1">
      <c r="G1567" s="113"/>
      <c r="J1567" s="28">
        <f>IFERROR(VLOOKUP(TEXT(B1567,"0"),STOCK!A:H,7,0),1)</f>
        <v>1</v>
      </c>
    </row>
    <row r="1568" spans="7:10" ht="35.450000000000003" hidden="1" customHeight="1">
      <c r="G1568" s="113"/>
      <c r="J1568" s="28">
        <f>IFERROR(VLOOKUP(TEXT(B1568,"0"),STOCK!A:H,7,0),1)</f>
        <v>1</v>
      </c>
    </row>
    <row r="1569" spans="7:10" ht="35.450000000000003" hidden="1" customHeight="1">
      <c r="G1569" s="113"/>
      <c r="J1569" s="28">
        <f>IFERROR(VLOOKUP(TEXT(B1569,"0"),STOCK!A:H,7,0),1)</f>
        <v>1</v>
      </c>
    </row>
    <row r="1570" spans="7:10" ht="35.450000000000003" hidden="1" customHeight="1">
      <c r="G1570" s="113"/>
      <c r="J1570" s="28">
        <f>IFERROR(VLOOKUP(TEXT(B1570,"0"),STOCK!A:H,7,0),1)</f>
        <v>1</v>
      </c>
    </row>
    <row r="1571" spans="7:10" ht="35.450000000000003" hidden="1" customHeight="1">
      <c r="G1571" s="113"/>
      <c r="J1571" s="28">
        <f>IFERROR(VLOOKUP(TEXT(B1571,"0"),STOCK!A:H,7,0),1)</f>
        <v>1</v>
      </c>
    </row>
    <row r="1572" spans="7:10" ht="35.450000000000003" hidden="1" customHeight="1">
      <c r="G1572" s="113"/>
      <c r="J1572" s="28">
        <f>IFERROR(VLOOKUP(TEXT(B1572,"0"),STOCK!A:H,7,0),1)</f>
        <v>1</v>
      </c>
    </row>
    <row r="1573" spans="7:10" ht="35.450000000000003" hidden="1" customHeight="1">
      <c r="G1573" s="113"/>
      <c r="J1573" s="28">
        <f>IFERROR(VLOOKUP(TEXT(B1573,"0"),STOCK!A:H,7,0),1)</f>
        <v>1</v>
      </c>
    </row>
    <row r="1574" spans="7:10" ht="35.450000000000003" hidden="1" customHeight="1">
      <c r="G1574" s="113"/>
      <c r="J1574" s="28">
        <f>IFERROR(VLOOKUP(TEXT(B1574,"0"),STOCK!A:H,7,0),1)</f>
        <v>1</v>
      </c>
    </row>
    <row r="1575" spans="7:10" ht="35.450000000000003" hidden="1" customHeight="1">
      <c r="G1575" s="113"/>
      <c r="J1575" s="28">
        <f>IFERROR(VLOOKUP(TEXT(B1575,"0"),STOCK!A:H,7,0),1)</f>
        <v>1</v>
      </c>
    </row>
    <row r="1576" spans="7:10" ht="35.450000000000003" hidden="1" customHeight="1">
      <c r="G1576" s="113"/>
      <c r="J1576" s="28">
        <f>IFERROR(VLOOKUP(TEXT(B1576,"0"),STOCK!A:H,7,0),1)</f>
        <v>1</v>
      </c>
    </row>
    <row r="1577" spans="7:10" ht="35.450000000000003" hidden="1" customHeight="1">
      <c r="G1577" s="113"/>
      <c r="J1577" s="28">
        <f>IFERROR(VLOOKUP(TEXT(B1577,"0"),STOCK!A:H,7,0),1)</f>
        <v>1</v>
      </c>
    </row>
    <row r="1578" spans="7:10" ht="35.450000000000003" hidden="1" customHeight="1">
      <c r="G1578" s="113"/>
      <c r="J1578" s="28">
        <f>IFERROR(VLOOKUP(TEXT(B1578,"0"),STOCK!A:H,7,0),1)</f>
        <v>1</v>
      </c>
    </row>
    <row r="1579" spans="7:10" ht="35.450000000000003" hidden="1" customHeight="1">
      <c r="G1579" s="113"/>
      <c r="J1579" s="28">
        <f>IFERROR(VLOOKUP(TEXT(B1579,"0"),STOCK!A:H,7,0),1)</f>
        <v>1</v>
      </c>
    </row>
    <row r="1580" spans="7:10" ht="35.450000000000003" hidden="1" customHeight="1">
      <c r="G1580" s="113"/>
      <c r="J1580" s="28">
        <f>IFERROR(VLOOKUP(TEXT(B1580,"0"),STOCK!A:H,7,0),1)</f>
        <v>1</v>
      </c>
    </row>
    <row r="1581" spans="7:10" ht="35.450000000000003" hidden="1" customHeight="1">
      <c r="G1581" s="113"/>
      <c r="J1581" s="28">
        <f>IFERROR(VLOOKUP(TEXT(B1581,"0"),STOCK!A:H,7,0),1)</f>
        <v>1</v>
      </c>
    </row>
    <row r="1582" spans="7:10" ht="35.450000000000003" hidden="1" customHeight="1">
      <c r="G1582" s="113"/>
      <c r="J1582" s="28">
        <f>IFERROR(VLOOKUP(TEXT(B1582,"0"),STOCK!A:H,7,0),1)</f>
        <v>1</v>
      </c>
    </row>
    <row r="1583" spans="7:10" ht="35.450000000000003" hidden="1" customHeight="1">
      <c r="G1583" s="113"/>
      <c r="J1583" s="28">
        <f>IFERROR(VLOOKUP(TEXT(B1583,"0"),STOCK!A:H,7,0),1)</f>
        <v>1</v>
      </c>
    </row>
    <row r="1584" spans="7:10" ht="35.450000000000003" hidden="1" customHeight="1">
      <c r="G1584" s="113"/>
      <c r="J1584" s="28">
        <f>IFERROR(VLOOKUP(TEXT(B1584,"0"),STOCK!A:H,7,0),1)</f>
        <v>1</v>
      </c>
    </row>
    <row r="1585" spans="7:10" ht="35.450000000000003" hidden="1" customHeight="1">
      <c r="G1585" s="113"/>
      <c r="J1585" s="28">
        <f>IFERROR(VLOOKUP(TEXT(B1585,"0"),STOCK!A:H,7,0),1)</f>
        <v>1</v>
      </c>
    </row>
    <row r="1586" spans="7:10" ht="35.450000000000003" hidden="1" customHeight="1">
      <c r="G1586" s="113"/>
      <c r="J1586" s="28">
        <f>IFERROR(VLOOKUP(TEXT(B1586,"0"),STOCK!A:H,7,0),1)</f>
        <v>1</v>
      </c>
    </row>
    <row r="1587" spans="7:10" ht="35.450000000000003" hidden="1" customHeight="1">
      <c r="G1587" s="113"/>
      <c r="J1587" s="28">
        <f>IFERROR(VLOOKUP(TEXT(B1587,"0"),STOCK!A:H,7,0),1)</f>
        <v>1</v>
      </c>
    </row>
    <row r="1588" spans="7:10" ht="35.450000000000003" hidden="1" customHeight="1">
      <c r="G1588" s="113"/>
      <c r="J1588" s="28">
        <f>IFERROR(VLOOKUP(TEXT(B1588,"0"),STOCK!A:H,7,0),1)</f>
        <v>1</v>
      </c>
    </row>
    <row r="1589" spans="7:10" ht="35.450000000000003" hidden="1" customHeight="1">
      <c r="G1589" s="113"/>
      <c r="J1589" s="28">
        <f>IFERROR(VLOOKUP(TEXT(B1589,"0"),STOCK!A:H,7,0),1)</f>
        <v>1</v>
      </c>
    </row>
    <row r="1590" spans="7:10" ht="35.450000000000003" hidden="1" customHeight="1">
      <c r="G1590" s="113"/>
      <c r="J1590" s="28">
        <f>IFERROR(VLOOKUP(TEXT(B1590,"0"),STOCK!A:H,7,0),1)</f>
        <v>1</v>
      </c>
    </row>
    <row r="1591" spans="7:10" ht="35.450000000000003" hidden="1" customHeight="1">
      <c r="G1591" s="113"/>
      <c r="J1591" s="28">
        <f>IFERROR(VLOOKUP(TEXT(B1591,"0"),STOCK!A:H,7,0),1)</f>
        <v>1</v>
      </c>
    </row>
    <row r="1592" spans="7:10" ht="35.450000000000003" hidden="1" customHeight="1">
      <c r="G1592" s="113"/>
      <c r="J1592" s="28">
        <f>IFERROR(VLOOKUP(TEXT(B1592,"0"),STOCK!A:H,7,0),1)</f>
        <v>1</v>
      </c>
    </row>
    <row r="1593" spans="7:10" ht="35.450000000000003" hidden="1" customHeight="1">
      <c r="G1593" s="113"/>
      <c r="J1593" s="28">
        <f>IFERROR(VLOOKUP(TEXT(B1593,"0"),STOCK!A:H,7,0),1)</f>
        <v>1</v>
      </c>
    </row>
    <row r="1594" spans="7:10" ht="35.450000000000003" hidden="1" customHeight="1">
      <c r="G1594" s="113"/>
      <c r="J1594" s="28">
        <f>IFERROR(VLOOKUP(TEXT(B1594,"0"),STOCK!A:H,7,0),1)</f>
        <v>1</v>
      </c>
    </row>
    <row r="1595" spans="7:10" ht="35.450000000000003" hidden="1" customHeight="1">
      <c r="G1595" s="113"/>
      <c r="J1595" s="28">
        <f>IFERROR(VLOOKUP(TEXT(B1595,"0"),STOCK!A:H,7,0),1)</f>
        <v>1</v>
      </c>
    </row>
    <row r="1596" spans="7:10" ht="35.450000000000003" hidden="1" customHeight="1">
      <c r="G1596" s="113"/>
      <c r="J1596" s="28">
        <f>IFERROR(VLOOKUP(TEXT(B1596,"0"),STOCK!A:H,7,0),1)</f>
        <v>1</v>
      </c>
    </row>
    <row r="1597" spans="7:10" ht="35.450000000000003" hidden="1" customHeight="1">
      <c r="G1597" s="113"/>
      <c r="J1597" s="28">
        <f>IFERROR(VLOOKUP(TEXT(B1597,"0"),STOCK!A:H,7,0),1)</f>
        <v>1</v>
      </c>
    </row>
    <row r="1598" spans="7:10" ht="35.450000000000003" hidden="1" customHeight="1">
      <c r="G1598" s="113"/>
      <c r="J1598" s="28">
        <f>IFERROR(VLOOKUP(TEXT(B1598,"0"),STOCK!A:H,7,0),1)</f>
        <v>1</v>
      </c>
    </row>
    <row r="1599" spans="7:10" ht="35.450000000000003" hidden="1" customHeight="1">
      <c r="G1599" s="113"/>
      <c r="J1599" s="28">
        <f>IFERROR(VLOOKUP(TEXT(B1599,"0"),STOCK!A:H,7,0),1)</f>
        <v>1</v>
      </c>
    </row>
    <row r="1600" spans="7:10" ht="35.450000000000003" hidden="1" customHeight="1">
      <c r="G1600" s="113"/>
      <c r="J1600" s="28">
        <f>IFERROR(VLOOKUP(TEXT(B1600,"0"),STOCK!A:H,7,0),1)</f>
        <v>1</v>
      </c>
    </row>
    <row r="1601" spans="7:10" ht="35.450000000000003" hidden="1" customHeight="1">
      <c r="G1601" s="113"/>
      <c r="J1601" s="28">
        <f>IFERROR(VLOOKUP(TEXT(B1601,"0"),STOCK!A:H,7,0),1)</f>
        <v>1</v>
      </c>
    </row>
    <row r="1602" spans="7:10" ht="35.450000000000003" hidden="1" customHeight="1">
      <c r="G1602" s="113"/>
      <c r="J1602" s="28">
        <f>IFERROR(VLOOKUP(TEXT(B1602,"0"),STOCK!A:H,7,0),1)</f>
        <v>1</v>
      </c>
    </row>
    <row r="1603" spans="7:10" ht="35.450000000000003" hidden="1" customHeight="1">
      <c r="G1603" s="113"/>
      <c r="J1603" s="28">
        <f>IFERROR(VLOOKUP(TEXT(B1603,"0"),STOCK!A:H,7,0),1)</f>
        <v>1</v>
      </c>
    </row>
    <row r="1604" spans="7:10" ht="35.450000000000003" hidden="1" customHeight="1">
      <c r="G1604" s="113"/>
      <c r="J1604" s="28">
        <f>IFERROR(VLOOKUP(TEXT(B1604,"0"),STOCK!A:H,7,0),1)</f>
        <v>1</v>
      </c>
    </row>
    <row r="1605" spans="7:10" ht="35.450000000000003" hidden="1" customHeight="1">
      <c r="G1605" s="113"/>
      <c r="J1605" s="28">
        <f>IFERROR(VLOOKUP(TEXT(B1605,"0"),STOCK!A:H,7,0),1)</f>
        <v>1</v>
      </c>
    </row>
    <row r="1606" spans="7:10" ht="35.450000000000003" hidden="1" customHeight="1">
      <c r="G1606" s="113"/>
      <c r="J1606" s="28">
        <f>IFERROR(VLOOKUP(TEXT(B1606,"0"),STOCK!A:H,7,0),1)</f>
        <v>1</v>
      </c>
    </row>
    <row r="1607" spans="7:10" ht="35.450000000000003" hidden="1" customHeight="1">
      <c r="G1607" s="113"/>
      <c r="J1607" s="28">
        <f>IFERROR(VLOOKUP(TEXT(B1607,"0"),STOCK!A:H,7,0),1)</f>
        <v>1</v>
      </c>
    </row>
    <row r="1608" spans="7:10" ht="35.450000000000003" hidden="1" customHeight="1">
      <c r="G1608" s="113"/>
      <c r="J1608" s="28">
        <f>IFERROR(VLOOKUP(TEXT(B1608,"0"),STOCK!A:H,7,0),1)</f>
        <v>1</v>
      </c>
    </row>
    <row r="1609" spans="7:10" ht="35.450000000000003" hidden="1" customHeight="1">
      <c r="G1609" s="113"/>
      <c r="J1609" s="28">
        <f>IFERROR(VLOOKUP(TEXT(B1609,"0"),STOCK!A:H,7,0),1)</f>
        <v>1</v>
      </c>
    </row>
    <row r="1610" spans="7:10" ht="35.450000000000003" hidden="1" customHeight="1">
      <c r="G1610" s="113"/>
      <c r="J1610" s="28">
        <f>IFERROR(VLOOKUP(TEXT(B1610,"0"),STOCK!A:H,7,0),1)</f>
        <v>1</v>
      </c>
    </row>
    <row r="1611" spans="7:10" ht="35.450000000000003" hidden="1" customHeight="1">
      <c r="G1611" s="113"/>
      <c r="J1611" s="28">
        <f>IFERROR(VLOOKUP(TEXT(B1611,"0"),STOCK!A:H,7,0),1)</f>
        <v>1</v>
      </c>
    </row>
    <row r="1612" spans="7:10" ht="35.450000000000003" hidden="1" customHeight="1">
      <c r="G1612" s="113"/>
      <c r="J1612" s="28">
        <f>IFERROR(VLOOKUP(TEXT(B1612,"0"),STOCK!A:H,7,0),1)</f>
        <v>1</v>
      </c>
    </row>
    <row r="1613" spans="7:10" ht="35.450000000000003" hidden="1" customHeight="1">
      <c r="G1613" s="113"/>
      <c r="J1613" s="28">
        <f>IFERROR(VLOOKUP(TEXT(B1613,"0"),STOCK!A:H,7,0),1)</f>
        <v>1</v>
      </c>
    </row>
    <row r="1614" spans="7:10" ht="35.450000000000003" hidden="1" customHeight="1">
      <c r="G1614" s="113"/>
      <c r="J1614" s="28">
        <f>IFERROR(VLOOKUP(TEXT(B1614,"0"),STOCK!A:H,7,0),1)</f>
        <v>1</v>
      </c>
    </row>
    <row r="1615" spans="7:10" ht="35.450000000000003" hidden="1" customHeight="1">
      <c r="G1615" s="113"/>
      <c r="J1615" s="28">
        <f>IFERROR(VLOOKUP(TEXT(B1615,"0"),STOCK!A:H,7,0),1)</f>
        <v>1</v>
      </c>
    </row>
    <row r="1616" spans="7:10" ht="35.450000000000003" hidden="1" customHeight="1">
      <c r="G1616" s="113"/>
      <c r="J1616" s="28">
        <f>IFERROR(VLOOKUP(TEXT(B1616,"0"),STOCK!A:H,7,0),1)</f>
        <v>1</v>
      </c>
    </row>
    <row r="1617" spans="7:10" ht="35.450000000000003" hidden="1" customHeight="1">
      <c r="G1617" s="113"/>
      <c r="J1617" s="28">
        <f>IFERROR(VLOOKUP(TEXT(B1617,"0"),STOCK!A:H,7,0),1)</f>
        <v>1</v>
      </c>
    </row>
    <row r="1618" spans="7:10" ht="35.450000000000003" hidden="1" customHeight="1">
      <c r="G1618" s="113"/>
      <c r="J1618" s="28">
        <f>IFERROR(VLOOKUP(TEXT(B1618,"0"),STOCK!A:H,7,0),1)</f>
        <v>1</v>
      </c>
    </row>
    <row r="1619" spans="7:10" ht="35.450000000000003" hidden="1" customHeight="1">
      <c r="G1619" s="113"/>
      <c r="J1619" s="28">
        <f>IFERROR(VLOOKUP(TEXT(B1619,"0"),STOCK!A:H,7,0),1)</f>
        <v>1</v>
      </c>
    </row>
    <row r="1620" spans="7:10" ht="35.450000000000003" hidden="1" customHeight="1">
      <c r="G1620" s="113"/>
      <c r="J1620" s="28">
        <f>IFERROR(VLOOKUP(TEXT(B1620,"0"),STOCK!A:H,7,0),1)</f>
        <v>1</v>
      </c>
    </row>
    <row r="1621" spans="7:10" ht="35.450000000000003" hidden="1" customHeight="1">
      <c r="G1621" s="113"/>
      <c r="J1621" s="28">
        <f>IFERROR(VLOOKUP(TEXT(B1621,"0"),STOCK!A:H,7,0),1)</f>
        <v>1</v>
      </c>
    </row>
    <row r="1622" spans="7:10" ht="35.450000000000003" hidden="1" customHeight="1">
      <c r="G1622" s="113"/>
      <c r="J1622" s="28">
        <f>IFERROR(VLOOKUP(TEXT(B1622,"0"),STOCK!A:H,7,0),1)</f>
        <v>1</v>
      </c>
    </row>
    <row r="1623" spans="7:10" ht="35.450000000000003" hidden="1" customHeight="1">
      <c r="G1623" s="113"/>
      <c r="J1623" s="28">
        <f>IFERROR(VLOOKUP(TEXT(B1623,"0"),STOCK!A:H,7,0),1)</f>
        <v>1</v>
      </c>
    </row>
    <row r="1624" spans="7:10" ht="35.450000000000003" hidden="1" customHeight="1">
      <c r="G1624" s="113"/>
      <c r="J1624" s="28">
        <f>IFERROR(VLOOKUP(TEXT(B1624,"0"),STOCK!A:H,7,0),1)</f>
        <v>1</v>
      </c>
    </row>
    <row r="1625" spans="7:10" ht="35.450000000000003" hidden="1" customHeight="1">
      <c r="G1625" s="113"/>
      <c r="J1625" s="28">
        <f>IFERROR(VLOOKUP(TEXT(B1625,"0"),STOCK!A:H,7,0),1)</f>
        <v>1</v>
      </c>
    </row>
    <row r="1626" spans="7:10" ht="35.450000000000003" hidden="1" customHeight="1">
      <c r="G1626" s="113"/>
      <c r="J1626" s="28">
        <f>IFERROR(VLOOKUP(TEXT(B1626,"0"),STOCK!A:H,7,0),1)</f>
        <v>1</v>
      </c>
    </row>
    <row r="1627" spans="7:10" ht="35.450000000000003" hidden="1" customHeight="1">
      <c r="G1627" s="113"/>
      <c r="J1627" s="28">
        <f>IFERROR(VLOOKUP(TEXT(B1627,"0"),STOCK!A:H,7,0),1)</f>
        <v>1</v>
      </c>
    </row>
    <row r="1628" spans="7:10" ht="35.450000000000003" hidden="1" customHeight="1">
      <c r="G1628" s="113"/>
      <c r="J1628" s="28">
        <f>IFERROR(VLOOKUP(TEXT(B1628,"0"),STOCK!A:H,7,0),1)</f>
        <v>1</v>
      </c>
    </row>
    <row r="1629" spans="7:10" ht="35.450000000000003" hidden="1" customHeight="1">
      <c r="G1629" s="113"/>
      <c r="J1629" s="28">
        <f>IFERROR(VLOOKUP(TEXT(B1629,"0"),STOCK!A:H,7,0),1)</f>
        <v>1</v>
      </c>
    </row>
    <row r="1630" spans="7:10" ht="35.450000000000003" hidden="1" customHeight="1">
      <c r="G1630" s="113"/>
      <c r="J1630" s="28">
        <f>IFERROR(VLOOKUP(TEXT(B1630,"0"),STOCK!A:H,7,0),1)</f>
        <v>1</v>
      </c>
    </row>
    <row r="1631" spans="7:10" ht="35.450000000000003" hidden="1" customHeight="1">
      <c r="G1631" s="113"/>
      <c r="J1631" s="28">
        <f>IFERROR(VLOOKUP(TEXT(B1631,"0"),STOCK!A:H,7,0),1)</f>
        <v>1</v>
      </c>
    </row>
    <row r="1632" spans="7:10" ht="35.450000000000003" hidden="1" customHeight="1">
      <c r="G1632" s="113"/>
      <c r="J1632" s="28">
        <f>IFERROR(VLOOKUP(TEXT(B1632,"0"),STOCK!A:H,7,0),1)</f>
        <v>1</v>
      </c>
    </row>
    <row r="1633" spans="7:10" ht="35.450000000000003" hidden="1" customHeight="1">
      <c r="G1633" s="113"/>
      <c r="J1633" s="28">
        <f>IFERROR(VLOOKUP(TEXT(B1633,"0"),STOCK!A:H,7,0),1)</f>
        <v>1</v>
      </c>
    </row>
    <row r="1634" spans="7:10" ht="35.450000000000003" hidden="1" customHeight="1">
      <c r="G1634" s="113"/>
      <c r="J1634" s="28">
        <f>IFERROR(VLOOKUP(TEXT(B1634,"0"),STOCK!A:H,7,0),1)</f>
        <v>1</v>
      </c>
    </row>
    <row r="1635" spans="7:10" ht="35.450000000000003" hidden="1" customHeight="1">
      <c r="G1635" s="113"/>
      <c r="J1635" s="28">
        <f>IFERROR(VLOOKUP(TEXT(B1635,"0"),STOCK!A:H,7,0),1)</f>
        <v>1</v>
      </c>
    </row>
    <row r="1636" spans="7:10" ht="35.450000000000003" hidden="1" customHeight="1">
      <c r="G1636" s="113"/>
      <c r="J1636" s="28">
        <f>IFERROR(VLOOKUP(TEXT(B1636,"0"),STOCK!A:H,7,0),1)</f>
        <v>1</v>
      </c>
    </row>
    <row r="1637" spans="7:10" ht="35.450000000000003" hidden="1" customHeight="1">
      <c r="G1637" s="113"/>
      <c r="J1637" s="28">
        <f>IFERROR(VLOOKUP(TEXT(B1637,"0"),STOCK!A:H,7,0),1)</f>
        <v>1</v>
      </c>
    </row>
    <row r="1638" spans="7:10" ht="35.450000000000003" hidden="1" customHeight="1">
      <c r="G1638" s="113"/>
      <c r="J1638" s="28">
        <f>IFERROR(VLOOKUP(TEXT(B1638,"0"),STOCK!A:H,7,0),1)</f>
        <v>1</v>
      </c>
    </row>
    <row r="1639" spans="7:10" ht="35.450000000000003" hidden="1" customHeight="1">
      <c r="G1639" s="113"/>
      <c r="J1639" s="28">
        <f>IFERROR(VLOOKUP(TEXT(B1639,"0"),STOCK!A:H,7,0),1)</f>
        <v>1</v>
      </c>
    </row>
    <row r="1640" spans="7:10" ht="35.450000000000003" hidden="1" customHeight="1">
      <c r="G1640" s="113"/>
      <c r="J1640" s="28">
        <f>IFERROR(VLOOKUP(TEXT(B1640,"0"),STOCK!A:H,7,0),1)</f>
        <v>1</v>
      </c>
    </row>
    <row r="1641" spans="7:10" ht="35.450000000000003" hidden="1" customHeight="1">
      <c r="G1641" s="113"/>
      <c r="J1641" s="28">
        <f>IFERROR(VLOOKUP(TEXT(B1641,"0"),STOCK!A:H,7,0),1)</f>
        <v>1</v>
      </c>
    </row>
    <row r="1642" spans="7:10" ht="35.450000000000003" hidden="1" customHeight="1">
      <c r="G1642" s="113"/>
      <c r="J1642" s="28">
        <f>IFERROR(VLOOKUP(TEXT(B1642,"0"),STOCK!A:H,7,0),1)</f>
        <v>1</v>
      </c>
    </row>
    <row r="1643" spans="7:10" ht="35.450000000000003" hidden="1" customHeight="1">
      <c r="G1643" s="113"/>
      <c r="J1643" s="28">
        <f>IFERROR(VLOOKUP(TEXT(B1643,"0"),STOCK!A:H,7,0),1)</f>
        <v>1</v>
      </c>
    </row>
    <row r="1644" spans="7:10" ht="35.450000000000003" hidden="1" customHeight="1">
      <c r="G1644" s="113"/>
      <c r="J1644" s="28">
        <f>IFERROR(VLOOKUP(TEXT(B1644,"0"),STOCK!A:H,7,0),1)</f>
        <v>1</v>
      </c>
    </row>
    <row r="1645" spans="7:10" ht="35.450000000000003" hidden="1" customHeight="1">
      <c r="G1645" s="113"/>
      <c r="J1645" s="28">
        <f>IFERROR(VLOOKUP(TEXT(B1645,"0"),STOCK!A:H,7,0),1)</f>
        <v>1</v>
      </c>
    </row>
    <row r="1646" spans="7:10" ht="35.450000000000003" hidden="1" customHeight="1">
      <c r="G1646" s="113"/>
      <c r="J1646" s="28">
        <f>IFERROR(VLOOKUP(TEXT(B1646,"0"),STOCK!A:H,7,0),1)</f>
        <v>1</v>
      </c>
    </row>
    <row r="1647" spans="7:10" ht="35.450000000000003" hidden="1" customHeight="1">
      <c r="G1647" s="113"/>
      <c r="J1647" s="28">
        <f>IFERROR(VLOOKUP(TEXT(B1647,"0"),STOCK!A:H,7,0),1)</f>
        <v>1</v>
      </c>
    </row>
    <row r="1648" spans="7:10" ht="35.450000000000003" hidden="1" customHeight="1">
      <c r="G1648" s="113"/>
      <c r="J1648" s="28">
        <f>IFERROR(VLOOKUP(TEXT(B1648,"0"),STOCK!A:H,7,0),1)</f>
        <v>1</v>
      </c>
    </row>
    <row r="1649" spans="7:10" ht="35.450000000000003" hidden="1" customHeight="1">
      <c r="G1649" s="113"/>
      <c r="J1649" s="28">
        <f>IFERROR(VLOOKUP(TEXT(B1649,"0"),STOCK!A:H,7,0),1)</f>
        <v>1</v>
      </c>
    </row>
    <row r="1650" spans="7:10" ht="35.450000000000003" hidden="1" customHeight="1">
      <c r="G1650" s="113"/>
      <c r="J1650" s="28">
        <f>IFERROR(VLOOKUP(TEXT(B1650,"0"),STOCK!A:H,7,0),1)</f>
        <v>1</v>
      </c>
    </row>
    <row r="1651" spans="7:10" ht="35.450000000000003" hidden="1" customHeight="1">
      <c r="G1651" s="113"/>
      <c r="J1651" s="28">
        <f>IFERROR(VLOOKUP(TEXT(B1651,"0"),STOCK!A:H,7,0),1)</f>
        <v>1</v>
      </c>
    </row>
    <row r="1652" spans="7:10" ht="35.450000000000003" hidden="1" customHeight="1">
      <c r="G1652" s="113"/>
      <c r="J1652" s="28">
        <f>IFERROR(VLOOKUP(TEXT(B1652,"0"),STOCK!A:H,7,0),1)</f>
        <v>1</v>
      </c>
    </row>
    <row r="1653" spans="7:10" ht="35.450000000000003" hidden="1" customHeight="1">
      <c r="G1653" s="113"/>
      <c r="J1653" s="28">
        <f>IFERROR(VLOOKUP(TEXT(B1653,"0"),STOCK!A:H,7,0),1)</f>
        <v>1</v>
      </c>
    </row>
    <row r="1654" spans="7:10" ht="35.450000000000003" hidden="1" customHeight="1">
      <c r="G1654" s="113"/>
      <c r="J1654" s="28">
        <f>IFERROR(VLOOKUP(TEXT(B1654,"0"),STOCK!A:H,7,0),1)</f>
        <v>1</v>
      </c>
    </row>
    <row r="1655" spans="7:10" ht="35.450000000000003" hidden="1" customHeight="1">
      <c r="G1655" s="113"/>
      <c r="J1655" s="28">
        <f>IFERROR(VLOOKUP(TEXT(B1655,"0"),STOCK!A:H,7,0),1)</f>
        <v>1</v>
      </c>
    </row>
    <row r="1656" spans="7:10" ht="35.450000000000003" hidden="1" customHeight="1">
      <c r="G1656" s="113"/>
      <c r="J1656" s="28">
        <f>IFERROR(VLOOKUP(TEXT(B1656,"0"),STOCK!A:H,7,0),1)</f>
        <v>1</v>
      </c>
    </row>
    <row r="1657" spans="7:10" ht="35.450000000000003" hidden="1" customHeight="1">
      <c r="G1657" s="113"/>
      <c r="J1657" s="28">
        <f>IFERROR(VLOOKUP(TEXT(B1657,"0"),STOCK!A:H,7,0),1)</f>
        <v>1</v>
      </c>
    </row>
    <row r="1658" spans="7:10" ht="35.450000000000003" hidden="1" customHeight="1">
      <c r="G1658" s="113"/>
      <c r="J1658" s="28">
        <f>IFERROR(VLOOKUP(TEXT(B1658,"0"),STOCK!A:H,7,0),1)</f>
        <v>1</v>
      </c>
    </row>
    <row r="1659" spans="7:10" ht="35.450000000000003" hidden="1" customHeight="1">
      <c r="G1659" s="113"/>
      <c r="J1659" s="28">
        <f>IFERROR(VLOOKUP(TEXT(B1659,"0"),STOCK!A:H,7,0),1)</f>
        <v>1</v>
      </c>
    </row>
    <row r="1660" spans="7:10" ht="35.450000000000003" hidden="1" customHeight="1">
      <c r="G1660" s="113"/>
      <c r="J1660" s="28">
        <f>IFERROR(VLOOKUP(TEXT(B1660,"0"),STOCK!A:H,7,0),1)</f>
        <v>1</v>
      </c>
    </row>
    <row r="1661" spans="7:10" ht="35.450000000000003" hidden="1" customHeight="1">
      <c r="G1661" s="113"/>
      <c r="J1661" s="28">
        <f>IFERROR(VLOOKUP(TEXT(B1661,"0"),STOCK!A:H,7,0),1)</f>
        <v>1</v>
      </c>
    </row>
    <row r="1662" spans="7:10" ht="35.450000000000003" hidden="1" customHeight="1">
      <c r="G1662" s="113"/>
      <c r="J1662" s="28">
        <f>IFERROR(VLOOKUP(TEXT(B1662,"0"),STOCK!A:H,7,0),1)</f>
        <v>1</v>
      </c>
    </row>
    <row r="1663" spans="7:10" ht="35.450000000000003" hidden="1" customHeight="1">
      <c r="G1663" s="113"/>
      <c r="J1663" s="28">
        <f>IFERROR(VLOOKUP(TEXT(B1663,"0"),STOCK!A:H,7,0),1)</f>
        <v>1</v>
      </c>
    </row>
    <row r="1664" spans="7:10" ht="35.450000000000003" hidden="1" customHeight="1">
      <c r="G1664" s="113"/>
      <c r="J1664" s="28">
        <f>IFERROR(VLOOKUP(TEXT(B1664,"0"),STOCK!A:H,7,0),1)</f>
        <v>1</v>
      </c>
    </row>
    <row r="1665" spans="7:10" ht="35.450000000000003" hidden="1" customHeight="1">
      <c r="G1665" s="113"/>
      <c r="J1665" s="28">
        <f>IFERROR(VLOOKUP(TEXT(B1665,"0"),STOCK!A:H,7,0),1)</f>
        <v>1</v>
      </c>
    </row>
    <row r="1666" spans="7:10" ht="35.450000000000003" hidden="1" customHeight="1">
      <c r="G1666" s="113"/>
      <c r="J1666" s="28">
        <f>IFERROR(VLOOKUP(TEXT(B1666,"0"),STOCK!A:H,7,0),1)</f>
        <v>1</v>
      </c>
    </row>
    <row r="1667" spans="7:10" ht="35.450000000000003" hidden="1" customHeight="1">
      <c r="G1667" s="113"/>
      <c r="J1667" s="28">
        <f>IFERROR(VLOOKUP(TEXT(B1667,"0"),STOCK!A:H,7,0),1)</f>
        <v>1</v>
      </c>
    </row>
    <row r="1668" spans="7:10" ht="35.450000000000003" hidden="1" customHeight="1">
      <c r="G1668" s="113"/>
      <c r="J1668" s="28">
        <f>IFERROR(VLOOKUP(TEXT(B1668,"0"),STOCK!A:H,7,0),1)</f>
        <v>1</v>
      </c>
    </row>
    <row r="1669" spans="7:10" ht="35.450000000000003" hidden="1" customHeight="1">
      <c r="G1669" s="113"/>
      <c r="J1669" s="28">
        <f>IFERROR(VLOOKUP(TEXT(B1669,"0"),STOCK!A:H,7,0),1)</f>
        <v>1</v>
      </c>
    </row>
    <row r="1670" spans="7:10" ht="35.450000000000003" hidden="1" customHeight="1">
      <c r="G1670" s="113"/>
      <c r="J1670" s="28">
        <f>IFERROR(VLOOKUP(TEXT(B1670,"0"),STOCK!A:H,7,0),1)</f>
        <v>1</v>
      </c>
    </row>
    <row r="1671" spans="7:10" ht="35.450000000000003" hidden="1" customHeight="1">
      <c r="G1671" s="113"/>
      <c r="J1671" s="28">
        <f>IFERROR(VLOOKUP(TEXT(B1671,"0"),STOCK!A:H,7,0),1)</f>
        <v>1</v>
      </c>
    </row>
    <row r="1672" spans="7:10" ht="35.450000000000003" hidden="1" customHeight="1">
      <c r="G1672" s="113"/>
      <c r="J1672" s="28">
        <f>IFERROR(VLOOKUP(TEXT(B1672,"0"),STOCK!A:H,7,0),1)</f>
        <v>1</v>
      </c>
    </row>
    <row r="1673" spans="7:10" ht="35.450000000000003" hidden="1" customHeight="1">
      <c r="G1673" s="113"/>
      <c r="J1673" s="28">
        <f>IFERROR(VLOOKUP(TEXT(B1673,"0"),STOCK!A:H,7,0),1)</f>
        <v>1</v>
      </c>
    </row>
    <row r="1674" spans="7:10" ht="35.450000000000003" hidden="1" customHeight="1">
      <c r="G1674" s="113"/>
      <c r="J1674" s="28">
        <f>IFERROR(VLOOKUP(TEXT(B1674,"0"),STOCK!A:H,7,0),1)</f>
        <v>1</v>
      </c>
    </row>
    <row r="1675" spans="7:10" ht="35.450000000000003" hidden="1" customHeight="1">
      <c r="G1675" s="113"/>
      <c r="J1675" s="28">
        <f>IFERROR(VLOOKUP(TEXT(B1675,"0"),STOCK!A:H,7,0),1)</f>
        <v>1</v>
      </c>
    </row>
    <row r="1676" spans="7:10" ht="35.450000000000003" hidden="1" customHeight="1">
      <c r="G1676" s="113"/>
      <c r="J1676" s="28">
        <f>IFERROR(VLOOKUP(TEXT(B1676,"0"),STOCK!A:H,7,0),1)</f>
        <v>1</v>
      </c>
    </row>
    <row r="1677" spans="7:10" ht="35.450000000000003" hidden="1" customHeight="1">
      <c r="G1677" s="113"/>
      <c r="J1677" s="28">
        <f>IFERROR(VLOOKUP(TEXT(B1677,"0"),STOCK!A:H,7,0),1)</f>
        <v>1</v>
      </c>
    </row>
    <row r="1678" spans="7:10" ht="35.450000000000003" hidden="1" customHeight="1">
      <c r="G1678" s="113"/>
      <c r="J1678" s="28">
        <f>IFERROR(VLOOKUP(TEXT(B1678,"0"),STOCK!A:H,7,0),1)</f>
        <v>1</v>
      </c>
    </row>
    <row r="1679" spans="7:10" ht="35.450000000000003" hidden="1" customHeight="1">
      <c r="G1679" s="113"/>
      <c r="J1679" s="28">
        <f>IFERROR(VLOOKUP(TEXT(B1679,"0"),STOCK!A:H,7,0),1)</f>
        <v>1</v>
      </c>
    </row>
    <row r="1680" spans="7:10" ht="35.450000000000003" hidden="1" customHeight="1">
      <c r="G1680" s="113"/>
      <c r="J1680" s="28">
        <f>IFERROR(VLOOKUP(TEXT(B1680,"0"),STOCK!A:H,7,0),1)</f>
        <v>1</v>
      </c>
    </row>
    <row r="1681" spans="7:10" ht="35.450000000000003" hidden="1" customHeight="1">
      <c r="G1681" s="113"/>
      <c r="J1681" s="28">
        <f>IFERROR(VLOOKUP(TEXT(B1681,"0"),STOCK!A:H,7,0),1)</f>
        <v>1</v>
      </c>
    </row>
    <row r="1682" spans="7:10" ht="35.450000000000003" hidden="1" customHeight="1">
      <c r="G1682" s="113"/>
      <c r="J1682" s="28">
        <f>IFERROR(VLOOKUP(TEXT(B1682,"0"),STOCK!A:H,7,0),1)</f>
        <v>1</v>
      </c>
    </row>
    <row r="1683" spans="7:10" ht="35.450000000000003" hidden="1" customHeight="1">
      <c r="G1683" s="113"/>
      <c r="J1683" s="28">
        <f>IFERROR(VLOOKUP(TEXT(B1683,"0"),STOCK!A:H,7,0),1)</f>
        <v>1</v>
      </c>
    </row>
    <row r="1684" spans="7:10" ht="35.450000000000003" hidden="1" customHeight="1">
      <c r="G1684" s="113"/>
      <c r="J1684" s="28">
        <f>IFERROR(VLOOKUP(TEXT(B1684,"0"),STOCK!A:H,7,0),1)</f>
        <v>1</v>
      </c>
    </row>
    <row r="1685" spans="7:10" ht="35.450000000000003" hidden="1" customHeight="1">
      <c r="G1685" s="113"/>
      <c r="J1685" s="28">
        <f>IFERROR(VLOOKUP(TEXT(B1685,"0"),STOCK!A:H,7,0),1)</f>
        <v>1</v>
      </c>
    </row>
    <row r="1686" spans="7:10" ht="35.450000000000003" hidden="1" customHeight="1">
      <c r="G1686" s="113"/>
      <c r="J1686" s="28">
        <f>IFERROR(VLOOKUP(TEXT(B1686,"0"),STOCK!A:H,7,0),1)</f>
        <v>1</v>
      </c>
    </row>
    <row r="1687" spans="7:10" ht="35.450000000000003" hidden="1" customHeight="1">
      <c r="G1687" s="113"/>
      <c r="J1687" s="28">
        <f>IFERROR(VLOOKUP(TEXT(B1687,"0"),STOCK!A:H,7,0),1)</f>
        <v>1</v>
      </c>
    </row>
    <row r="1688" spans="7:10" ht="35.450000000000003" hidden="1" customHeight="1">
      <c r="G1688" s="113"/>
      <c r="J1688" s="28">
        <f>IFERROR(VLOOKUP(TEXT(B1688,"0"),STOCK!A:H,7,0),1)</f>
        <v>1</v>
      </c>
    </row>
    <row r="1689" spans="7:10" ht="35.450000000000003" hidden="1" customHeight="1">
      <c r="G1689" s="113"/>
      <c r="J1689" s="28">
        <f>IFERROR(VLOOKUP(TEXT(B1689,"0"),STOCK!A:H,7,0),1)</f>
        <v>1</v>
      </c>
    </row>
    <row r="1690" spans="7:10" ht="35.450000000000003" hidden="1" customHeight="1">
      <c r="G1690" s="113"/>
      <c r="J1690" s="28">
        <f>IFERROR(VLOOKUP(TEXT(B1690,"0"),STOCK!A:H,7,0),1)</f>
        <v>1</v>
      </c>
    </row>
    <row r="1691" spans="7:10" ht="35.450000000000003" hidden="1" customHeight="1">
      <c r="G1691" s="113"/>
      <c r="J1691" s="28">
        <f>IFERROR(VLOOKUP(TEXT(B1691,"0"),STOCK!A:H,7,0),1)</f>
        <v>1</v>
      </c>
    </row>
    <row r="1692" spans="7:10" ht="35.450000000000003" hidden="1" customHeight="1">
      <c r="G1692" s="113"/>
      <c r="J1692" s="28">
        <f>IFERROR(VLOOKUP(TEXT(B1692,"0"),STOCK!A:H,7,0),1)</f>
        <v>1</v>
      </c>
    </row>
    <row r="1693" spans="7:10" ht="35.450000000000003" hidden="1" customHeight="1">
      <c r="G1693" s="113"/>
      <c r="J1693" s="28">
        <f>IFERROR(VLOOKUP(TEXT(B1693,"0"),STOCK!A:H,7,0),1)</f>
        <v>1</v>
      </c>
    </row>
    <row r="1694" spans="7:10" ht="35.450000000000003" hidden="1" customHeight="1">
      <c r="G1694" s="113"/>
      <c r="J1694" s="28">
        <f>IFERROR(VLOOKUP(TEXT(B1694,"0"),STOCK!A:H,7,0),1)</f>
        <v>1</v>
      </c>
    </row>
    <row r="1695" spans="7:10" ht="35.450000000000003" hidden="1" customHeight="1">
      <c r="G1695" s="113"/>
      <c r="J1695" s="28">
        <f>IFERROR(VLOOKUP(TEXT(B1695,"0"),STOCK!A:H,7,0),1)</f>
        <v>1</v>
      </c>
    </row>
    <row r="1696" spans="7:10" ht="35.450000000000003" hidden="1" customHeight="1">
      <c r="G1696" s="113"/>
      <c r="J1696" s="28">
        <f>IFERROR(VLOOKUP(TEXT(B1696,"0"),STOCK!A:H,7,0),1)</f>
        <v>1</v>
      </c>
    </row>
    <row r="1697" spans="7:10" ht="35.450000000000003" hidden="1" customHeight="1">
      <c r="G1697" s="113"/>
      <c r="J1697" s="28">
        <f>IFERROR(VLOOKUP(TEXT(B1697,"0"),STOCK!A:H,7,0),1)</f>
        <v>1</v>
      </c>
    </row>
    <row r="1698" spans="7:10" ht="35.450000000000003" hidden="1" customHeight="1">
      <c r="G1698" s="113"/>
      <c r="J1698" s="28">
        <f>IFERROR(VLOOKUP(TEXT(B1698,"0"),STOCK!A:H,7,0),1)</f>
        <v>1</v>
      </c>
    </row>
    <row r="1699" spans="7:10" ht="35.450000000000003" hidden="1" customHeight="1">
      <c r="G1699" s="113"/>
      <c r="J1699" s="28">
        <f>IFERROR(VLOOKUP(TEXT(B1699,"0"),STOCK!A:H,7,0),1)</f>
        <v>1</v>
      </c>
    </row>
    <row r="1700" spans="7:10" ht="35.450000000000003" hidden="1" customHeight="1">
      <c r="G1700" s="113"/>
      <c r="J1700" s="28">
        <f>IFERROR(VLOOKUP(TEXT(B1700,"0"),STOCK!A:H,7,0),1)</f>
        <v>1</v>
      </c>
    </row>
    <row r="1701" spans="7:10" ht="35.450000000000003" hidden="1" customHeight="1">
      <c r="G1701" s="113"/>
      <c r="J1701" s="28">
        <f>IFERROR(VLOOKUP(TEXT(B1701,"0"),STOCK!A:H,7,0),1)</f>
        <v>1</v>
      </c>
    </row>
    <row r="1702" spans="7:10" ht="35.450000000000003" hidden="1" customHeight="1">
      <c r="G1702" s="113"/>
      <c r="J1702" s="28">
        <f>IFERROR(VLOOKUP(TEXT(B1702,"0"),STOCK!A:H,7,0),1)</f>
        <v>1</v>
      </c>
    </row>
    <row r="1703" spans="7:10" ht="35.450000000000003" hidden="1" customHeight="1">
      <c r="G1703" s="113"/>
      <c r="J1703" s="28">
        <f>IFERROR(VLOOKUP(TEXT(B1703,"0"),STOCK!A:H,7,0),1)</f>
        <v>1</v>
      </c>
    </row>
    <row r="1704" spans="7:10" ht="35.450000000000003" hidden="1" customHeight="1">
      <c r="G1704" s="113"/>
      <c r="J1704" s="28">
        <f>IFERROR(VLOOKUP(TEXT(B1704,"0"),STOCK!A:H,7,0),1)</f>
        <v>1</v>
      </c>
    </row>
    <row r="1705" spans="7:10" ht="35.450000000000003" hidden="1" customHeight="1">
      <c r="G1705" s="113"/>
      <c r="J1705" s="28">
        <f>IFERROR(VLOOKUP(TEXT(B1705,"0"),STOCK!A:H,7,0),1)</f>
        <v>1</v>
      </c>
    </row>
    <row r="1706" spans="7:10" ht="35.450000000000003" hidden="1" customHeight="1">
      <c r="G1706" s="113"/>
      <c r="J1706" s="28">
        <f>IFERROR(VLOOKUP(TEXT(B1706,"0"),STOCK!A:H,7,0),1)</f>
        <v>1</v>
      </c>
    </row>
    <row r="1707" spans="7:10" ht="35.450000000000003" hidden="1" customHeight="1">
      <c r="G1707" s="113"/>
      <c r="J1707" s="28">
        <f>IFERROR(VLOOKUP(TEXT(B1707,"0"),STOCK!A:H,7,0),1)</f>
        <v>1</v>
      </c>
    </row>
    <row r="1708" spans="7:10" ht="35.450000000000003" hidden="1" customHeight="1">
      <c r="G1708" s="113"/>
      <c r="J1708" s="28">
        <f>IFERROR(VLOOKUP(TEXT(B1708,"0"),STOCK!A:H,7,0),1)</f>
        <v>1</v>
      </c>
    </row>
    <row r="1709" spans="7:10" ht="35.450000000000003" hidden="1" customHeight="1">
      <c r="G1709" s="113"/>
      <c r="J1709" s="28">
        <f>IFERROR(VLOOKUP(TEXT(B1709,"0"),STOCK!A:H,7,0),1)</f>
        <v>1</v>
      </c>
    </row>
    <row r="1710" spans="7:10" ht="35.450000000000003" hidden="1" customHeight="1">
      <c r="G1710" s="113"/>
      <c r="J1710" s="28">
        <f>IFERROR(VLOOKUP(TEXT(B1710,"0"),STOCK!A:H,7,0),1)</f>
        <v>1</v>
      </c>
    </row>
    <row r="1711" spans="7:10" ht="35.450000000000003" hidden="1" customHeight="1">
      <c r="G1711" s="113"/>
      <c r="J1711" s="28">
        <f>IFERROR(VLOOKUP(TEXT(B1711,"0"),STOCK!A:H,7,0),1)</f>
        <v>1</v>
      </c>
    </row>
    <row r="1712" spans="7:10" ht="35.450000000000003" hidden="1" customHeight="1">
      <c r="G1712" s="113"/>
      <c r="J1712" s="28">
        <f>IFERROR(VLOOKUP(TEXT(B1712,"0"),STOCK!A:H,7,0),1)</f>
        <v>1</v>
      </c>
    </row>
    <row r="1713" spans="7:10" ht="35.450000000000003" hidden="1" customHeight="1">
      <c r="G1713" s="113"/>
      <c r="J1713" s="28">
        <f>IFERROR(VLOOKUP(TEXT(B1713,"0"),STOCK!A:H,7,0),1)</f>
        <v>1</v>
      </c>
    </row>
    <row r="1714" spans="7:10" ht="35.450000000000003" hidden="1" customHeight="1">
      <c r="G1714" s="113"/>
      <c r="J1714" s="28">
        <f>IFERROR(VLOOKUP(TEXT(B1714,"0"),STOCK!A:H,7,0),1)</f>
        <v>1</v>
      </c>
    </row>
    <row r="1715" spans="7:10" ht="35.450000000000003" hidden="1" customHeight="1">
      <c r="G1715" s="113"/>
      <c r="J1715" s="28">
        <f>IFERROR(VLOOKUP(TEXT(B1715,"0"),STOCK!A:H,7,0),1)</f>
        <v>1</v>
      </c>
    </row>
    <row r="1716" spans="7:10" ht="35.450000000000003" hidden="1" customHeight="1">
      <c r="G1716" s="113"/>
      <c r="J1716" s="28">
        <f>IFERROR(VLOOKUP(TEXT(B1716,"0"),STOCK!A:H,7,0),1)</f>
        <v>1</v>
      </c>
    </row>
    <row r="1717" spans="7:10" ht="35.450000000000003" hidden="1" customHeight="1">
      <c r="G1717" s="113"/>
      <c r="J1717" s="28">
        <f>IFERROR(VLOOKUP(TEXT(B1717,"0"),STOCK!A:H,7,0),1)</f>
        <v>1</v>
      </c>
    </row>
    <row r="1718" spans="7:10" ht="35.450000000000003" hidden="1" customHeight="1">
      <c r="G1718" s="113"/>
      <c r="J1718" s="28">
        <f>IFERROR(VLOOKUP(TEXT(B1718,"0"),STOCK!A:H,7,0),1)</f>
        <v>1</v>
      </c>
    </row>
    <row r="1719" spans="7:10" ht="35.450000000000003" hidden="1" customHeight="1">
      <c r="G1719" s="113"/>
      <c r="J1719" s="28">
        <f>IFERROR(VLOOKUP(TEXT(B1719,"0"),STOCK!A:H,7,0),1)</f>
        <v>1</v>
      </c>
    </row>
    <row r="1720" spans="7:10" ht="35.450000000000003" hidden="1" customHeight="1">
      <c r="G1720" s="113"/>
      <c r="J1720" s="28">
        <f>IFERROR(VLOOKUP(TEXT(B1720,"0"),STOCK!A:H,7,0),1)</f>
        <v>1</v>
      </c>
    </row>
    <row r="1721" spans="7:10" ht="35.450000000000003" hidden="1" customHeight="1">
      <c r="G1721" s="113"/>
      <c r="J1721" s="28">
        <f>IFERROR(VLOOKUP(TEXT(B1721,"0"),STOCK!A:H,7,0),1)</f>
        <v>1</v>
      </c>
    </row>
    <row r="1722" spans="7:10" ht="35.450000000000003" hidden="1" customHeight="1">
      <c r="G1722" s="113"/>
      <c r="J1722" s="28">
        <f>IFERROR(VLOOKUP(TEXT(B1722,"0"),STOCK!A:H,7,0),1)</f>
        <v>1</v>
      </c>
    </row>
    <row r="1723" spans="7:10" ht="35.450000000000003" hidden="1" customHeight="1">
      <c r="G1723" s="113"/>
      <c r="J1723" s="28">
        <f>IFERROR(VLOOKUP(TEXT(B1723,"0"),STOCK!A:H,7,0),1)</f>
        <v>1</v>
      </c>
    </row>
    <row r="1724" spans="7:10" ht="35.450000000000003" hidden="1" customHeight="1">
      <c r="G1724" s="113"/>
      <c r="J1724" s="28">
        <f>IFERROR(VLOOKUP(TEXT(B1724,"0"),STOCK!A:H,7,0),1)</f>
        <v>1</v>
      </c>
    </row>
    <row r="1725" spans="7:10" ht="35.450000000000003" hidden="1" customHeight="1">
      <c r="G1725" s="113"/>
      <c r="J1725" s="28">
        <f>IFERROR(VLOOKUP(TEXT(B1725,"0"),STOCK!A:H,7,0),1)</f>
        <v>1</v>
      </c>
    </row>
    <row r="1726" spans="7:10" ht="35.450000000000003" hidden="1" customHeight="1">
      <c r="G1726" s="113"/>
      <c r="J1726" s="28">
        <f>IFERROR(VLOOKUP(TEXT(B1726,"0"),STOCK!A:H,7,0),1)</f>
        <v>1</v>
      </c>
    </row>
    <row r="1727" spans="7:10" ht="35.450000000000003" hidden="1" customHeight="1">
      <c r="G1727" s="113"/>
      <c r="J1727" s="28">
        <f>IFERROR(VLOOKUP(TEXT(B1727,"0"),STOCK!A:H,7,0),1)</f>
        <v>1</v>
      </c>
    </row>
    <row r="1728" spans="7:10" ht="35.450000000000003" hidden="1" customHeight="1">
      <c r="G1728" s="113"/>
      <c r="J1728" s="28">
        <f>IFERROR(VLOOKUP(TEXT(B1728,"0"),STOCK!A:H,7,0),1)</f>
        <v>1</v>
      </c>
    </row>
    <row r="1729" spans="7:10" ht="35.450000000000003" hidden="1" customHeight="1">
      <c r="G1729" s="113"/>
      <c r="J1729" s="28">
        <f>IFERROR(VLOOKUP(TEXT(B1729,"0"),STOCK!A:H,7,0),1)</f>
        <v>1</v>
      </c>
    </row>
    <row r="1730" spans="7:10" ht="35.450000000000003" hidden="1" customHeight="1">
      <c r="G1730" s="113"/>
      <c r="J1730" s="28">
        <f>IFERROR(VLOOKUP(TEXT(B1730,"0"),STOCK!A:H,7,0),1)</f>
        <v>1</v>
      </c>
    </row>
    <row r="1731" spans="7:10" ht="35.450000000000003" hidden="1" customHeight="1">
      <c r="G1731" s="113"/>
      <c r="J1731" s="28">
        <f>IFERROR(VLOOKUP(TEXT(B1731,"0"),STOCK!A:H,7,0),1)</f>
        <v>1</v>
      </c>
    </row>
    <row r="1732" spans="7:10" ht="35.450000000000003" hidden="1" customHeight="1">
      <c r="G1732" s="113"/>
      <c r="J1732" s="28">
        <f>IFERROR(VLOOKUP(TEXT(B1732,"0"),STOCK!A:H,7,0),1)</f>
        <v>1</v>
      </c>
    </row>
    <row r="1733" spans="7:10" ht="35.450000000000003" hidden="1" customHeight="1">
      <c r="G1733" s="113"/>
      <c r="J1733" s="28">
        <f>IFERROR(VLOOKUP(TEXT(B1733,"0"),STOCK!A:H,7,0),1)</f>
        <v>1</v>
      </c>
    </row>
    <row r="1734" spans="7:10" ht="35.450000000000003" hidden="1" customHeight="1">
      <c r="G1734" s="113"/>
      <c r="J1734" s="28">
        <f>IFERROR(VLOOKUP(TEXT(B1734,"0"),STOCK!A:H,7,0),1)</f>
        <v>1</v>
      </c>
    </row>
    <row r="1735" spans="7:10" ht="35.450000000000003" hidden="1" customHeight="1">
      <c r="G1735" s="113"/>
      <c r="J1735" s="28">
        <f>IFERROR(VLOOKUP(TEXT(B1735,"0"),STOCK!A:H,7,0),1)</f>
        <v>1</v>
      </c>
    </row>
    <row r="1736" spans="7:10" ht="35.450000000000003" hidden="1" customHeight="1">
      <c r="G1736" s="113"/>
      <c r="J1736" s="28">
        <f>IFERROR(VLOOKUP(TEXT(B1736,"0"),STOCK!A:H,7,0),1)</f>
        <v>1</v>
      </c>
    </row>
    <row r="1737" spans="7:10" ht="35.450000000000003" hidden="1" customHeight="1">
      <c r="G1737" s="113"/>
      <c r="J1737" s="28">
        <f>IFERROR(VLOOKUP(TEXT(B1737,"0"),STOCK!A:H,7,0),1)</f>
        <v>1</v>
      </c>
    </row>
    <row r="1738" spans="7:10" ht="35.450000000000003" hidden="1" customHeight="1">
      <c r="G1738" s="113"/>
      <c r="J1738" s="28">
        <f>IFERROR(VLOOKUP(TEXT(B1738,"0"),STOCK!A:H,7,0),1)</f>
        <v>1</v>
      </c>
    </row>
    <row r="1739" spans="7:10" ht="35.450000000000003" hidden="1" customHeight="1">
      <c r="G1739" s="113"/>
      <c r="J1739" s="28">
        <f>IFERROR(VLOOKUP(TEXT(B1739,"0"),STOCK!A:H,7,0),1)</f>
        <v>1</v>
      </c>
    </row>
    <row r="1740" spans="7:10" ht="35.450000000000003" hidden="1" customHeight="1">
      <c r="G1740" s="113"/>
      <c r="J1740" s="28">
        <f>IFERROR(VLOOKUP(TEXT(B1740,"0"),STOCK!A:H,7,0),1)</f>
        <v>1</v>
      </c>
    </row>
    <row r="1741" spans="7:10" ht="35.450000000000003" hidden="1" customHeight="1">
      <c r="G1741" s="113"/>
      <c r="J1741" s="28">
        <f>IFERROR(VLOOKUP(TEXT(B1741,"0"),STOCK!A:H,7,0),1)</f>
        <v>1</v>
      </c>
    </row>
    <row r="1742" spans="7:10" ht="35.450000000000003" hidden="1" customHeight="1">
      <c r="G1742" s="113"/>
      <c r="J1742" s="28">
        <f>IFERROR(VLOOKUP(TEXT(B1742,"0"),STOCK!A:H,7,0),1)</f>
        <v>1</v>
      </c>
    </row>
    <row r="1743" spans="7:10" ht="35.450000000000003" hidden="1" customHeight="1">
      <c r="G1743" s="113"/>
      <c r="J1743" s="28">
        <f>IFERROR(VLOOKUP(TEXT(B1743,"0"),STOCK!A:H,7,0),1)</f>
        <v>1</v>
      </c>
    </row>
    <row r="1744" spans="7:10" ht="35.450000000000003" hidden="1" customHeight="1">
      <c r="G1744" s="113"/>
      <c r="J1744" s="28">
        <f>IFERROR(VLOOKUP(TEXT(B1744,"0"),STOCK!A:H,7,0),1)</f>
        <v>1</v>
      </c>
    </row>
    <row r="1745" spans="7:10" ht="35.450000000000003" hidden="1" customHeight="1">
      <c r="G1745" s="113"/>
      <c r="J1745" s="28">
        <f>IFERROR(VLOOKUP(TEXT(B1745,"0"),STOCK!A:H,7,0),1)</f>
        <v>1</v>
      </c>
    </row>
    <row r="1746" spans="7:10" ht="35.450000000000003" hidden="1" customHeight="1">
      <c r="G1746" s="113"/>
      <c r="J1746" s="28">
        <f>IFERROR(VLOOKUP(TEXT(B1746,"0"),STOCK!A:H,7,0),1)</f>
        <v>1</v>
      </c>
    </row>
    <row r="1747" spans="7:10" ht="35.450000000000003" hidden="1" customHeight="1">
      <c r="G1747" s="113"/>
      <c r="J1747" s="28">
        <f>IFERROR(VLOOKUP(TEXT(B1747,"0"),STOCK!A:H,7,0),1)</f>
        <v>1</v>
      </c>
    </row>
    <row r="1748" spans="7:10" ht="35.450000000000003" hidden="1" customHeight="1">
      <c r="G1748" s="113"/>
      <c r="J1748" s="28">
        <f>IFERROR(VLOOKUP(TEXT(B1748,"0"),STOCK!A:H,7,0),1)</f>
        <v>1</v>
      </c>
    </row>
    <row r="1749" spans="7:10" ht="35.450000000000003" hidden="1" customHeight="1">
      <c r="G1749" s="113"/>
      <c r="J1749" s="28">
        <f>IFERROR(VLOOKUP(TEXT(B1749,"0"),STOCK!A:H,7,0),1)</f>
        <v>1</v>
      </c>
    </row>
    <row r="1750" spans="7:10" ht="35.450000000000003" hidden="1" customHeight="1">
      <c r="G1750" s="113"/>
      <c r="J1750" s="28">
        <f>IFERROR(VLOOKUP(TEXT(B1750,"0"),STOCK!A:H,7,0),1)</f>
        <v>1</v>
      </c>
    </row>
    <row r="1751" spans="7:10" ht="35.450000000000003" hidden="1" customHeight="1">
      <c r="G1751" s="113"/>
      <c r="J1751" s="28">
        <f>IFERROR(VLOOKUP(TEXT(B1751,"0"),STOCK!A:H,7,0),1)</f>
        <v>1</v>
      </c>
    </row>
    <row r="1752" spans="7:10" ht="35.450000000000003" hidden="1" customHeight="1">
      <c r="G1752" s="113"/>
      <c r="J1752" s="28">
        <f>IFERROR(VLOOKUP(TEXT(B1752,"0"),STOCK!A:H,7,0),1)</f>
        <v>1</v>
      </c>
    </row>
    <row r="1753" spans="7:10" ht="35.450000000000003" hidden="1" customHeight="1">
      <c r="G1753" s="113"/>
      <c r="J1753" s="28">
        <f>IFERROR(VLOOKUP(TEXT(B1753,"0"),STOCK!A:H,7,0),1)</f>
        <v>1</v>
      </c>
    </row>
    <row r="1754" spans="7:10" ht="35.450000000000003" hidden="1" customHeight="1">
      <c r="G1754" s="113"/>
      <c r="J1754" s="28">
        <f>IFERROR(VLOOKUP(TEXT(B1754,"0"),STOCK!A:H,7,0),1)</f>
        <v>1</v>
      </c>
    </row>
    <row r="1755" spans="7:10" ht="35.450000000000003" hidden="1" customHeight="1">
      <c r="G1755" s="113"/>
      <c r="J1755" s="28">
        <f>IFERROR(VLOOKUP(TEXT(B1755,"0"),STOCK!A:H,7,0),1)</f>
        <v>1</v>
      </c>
    </row>
    <row r="1756" spans="7:10" ht="35.450000000000003" hidden="1" customHeight="1">
      <c r="G1756" s="113"/>
      <c r="J1756" s="28">
        <f>IFERROR(VLOOKUP(TEXT(B1756,"0"),STOCK!A:H,7,0),1)</f>
        <v>1</v>
      </c>
    </row>
    <row r="1757" spans="7:10" ht="35.450000000000003" hidden="1" customHeight="1">
      <c r="G1757" s="113"/>
      <c r="J1757" s="28">
        <f>IFERROR(VLOOKUP(TEXT(B1757,"0"),STOCK!A:H,7,0),1)</f>
        <v>1</v>
      </c>
    </row>
    <row r="1758" spans="7:10" ht="35.450000000000003" hidden="1" customHeight="1">
      <c r="G1758" s="113"/>
      <c r="J1758" s="28">
        <f>IFERROR(VLOOKUP(TEXT(B1758,"0"),STOCK!A:H,7,0),1)</f>
        <v>1</v>
      </c>
    </row>
    <row r="1759" spans="7:10" ht="35.450000000000003" hidden="1" customHeight="1">
      <c r="G1759" s="113"/>
      <c r="J1759" s="28">
        <f>IFERROR(VLOOKUP(TEXT(B1759,"0"),STOCK!A:H,7,0),1)</f>
        <v>1</v>
      </c>
    </row>
    <row r="1760" spans="7:10" ht="35.450000000000003" hidden="1" customHeight="1">
      <c r="G1760" s="113"/>
      <c r="J1760" s="28">
        <f>IFERROR(VLOOKUP(TEXT(B1760,"0"),STOCK!A:H,7,0),1)</f>
        <v>1</v>
      </c>
    </row>
    <row r="1761" spans="7:10" ht="35.450000000000003" hidden="1" customHeight="1">
      <c r="G1761" s="113"/>
      <c r="J1761" s="28">
        <f>IFERROR(VLOOKUP(TEXT(B1761,"0"),STOCK!A:H,7,0),1)</f>
        <v>1</v>
      </c>
    </row>
    <row r="1762" spans="7:10" ht="35.450000000000003" hidden="1" customHeight="1">
      <c r="G1762" s="113"/>
      <c r="J1762" s="28">
        <f>IFERROR(VLOOKUP(TEXT(B1762,"0"),STOCK!A:H,7,0),1)</f>
        <v>1</v>
      </c>
    </row>
    <row r="1763" spans="7:10" ht="35.450000000000003" hidden="1" customHeight="1">
      <c r="G1763" s="113"/>
      <c r="J1763" s="28">
        <f>IFERROR(VLOOKUP(TEXT(B1763,"0"),STOCK!A:H,7,0),1)</f>
        <v>1</v>
      </c>
    </row>
    <row r="1764" spans="7:10" ht="35.450000000000003" hidden="1" customHeight="1">
      <c r="G1764" s="113"/>
      <c r="J1764" s="28">
        <f>IFERROR(VLOOKUP(TEXT(B1764,"0"),STOCK!A:H,7,0),1)</f>
        <v>1</v>
      </c>
    </row>
    <row r="1765" spans="7:10" ht="35.450000000000003" hidden="1" customHeight="1">
      <c r="G1765" s="113"/>
      <c r="J1765" s="28">
        <f>IFERROR(VLOOKUP(TEXT(B1765,"0"),STOCK!A:H,7,0),1)</f>
        <v>1</v>
      </c>
    </row>
    <row r="1766" spans="7:10" ht="35.450000000000003" hidden="1" customHeight="1">
      <c r="G1766" s="113"/>
      <c r="J1766" s="28">
        <f>IFERROR(VLOOKUP(TEXT(B1766,"0"),STOCK!A:H,7,0),1)</f>
        <v>1</v>
      </c>
    </row>
    <row r="1767" spans="7:10" ht="35.450000000000003" hidden="1" customHeight="1">
      <c r="G1767" s="113"/>
      <c r="J1767" s="28">
        <f>IFERROR(VLOOKUP(TEXT(B1767,"0"),STOCK!A:H,7,0),1)</f>
        <v>1</v>
      </c>
    </row>
    <row r="1768" spans="7:10" ht="35.450000000000003" hidden="1" customHeight="1">
      <c r="G1768" s="113"/>
      <c r="J1768" s="28">
        <f>IFERROR(VLOOKUP(TEXT(B1768,"0"),STOCK!A:H,7,0),1)</f>
        <v>1</v>
      </c>
    </row>
    <row r="1769" spans="7:10" ht="35.450000000000003" hidden="1" customHeight="1">
      <c r="G1769" s="113"/>
      <c r="J1769" s="28">
        <f>IFERROR(VLOOKUP(TEXT(B1769,"0"),STOCK!A:H,7,0),1)</f>
        <v>1</v>
      </c>
    </row>
    <row r="1770" spans="7:10" ht="35.450000000000003" hidden="1" customHeight="1">
      <c r="G1770" s="113"/>
      <c r="J1770" s="28">
        <f>IFERROR(VLOOKUP(TEXT(B1770,"0"),STOCK!A:H,7,0),1)</f>
        <v>1</v>
      </c>
    </row>
    <row r="1771" spans="7:10" ht="35.450000000000003" hidden="1" customHeight="1">
      <c r="G1771" s="113"/>
      <c r="J1771" s="28">
        <f>IFERROR(VLOOKUP(TEXT(B1771,"0"),STOCK!A:H,7,0),1)</f>
        <v>1</v>
      </c>
    </row>
    <row r="1772" spans="7:10" ht="35.450000000000003" hidden="1" customHeight="1">
      <c r="G1772" s="113"/>
      <c r="J1772" s="28">
        <f>IFERROR(VLOOKUP(TEXT(B1772,"0"),STOCK!A:H,7,0),1)</f>
        <v>1</v>
      </c>
    </row>
    <row r="1773" spans="7:10" ht="35.450000000000003" hidden="1" customHeight="1">
      <c r="G1773" s="113"/>
      <c r="J1773" s="28">
        <f>IFERROR(VLOOKUP(TEXT(B1773,"0"),STOCK!A:H,7,0),1)</f>
        <v>1</v>
      </c>
    </row>
    <row r="1774" spans="7:10" ht="35.450000000000003" hidden="1" customHeight="1">
      <c r="G1774" s="113"/>
      <c r="J1774" s="28">
        <f>IFERROR(VLOOKUP(TEXT(B1774,"0"),STOCK!A:H,7,0),1)</f>
        <v>1</v>
      </c>
    </row>
    <row r="1775" spans="7:10" ht="35.450000000000003" hidden="1" customHeight="1">
      <c r="G1775" s="113"/>
      <c r="J1775" s="28">
        <f>IFERROR(VLOOKUP(TEXT(B1775,"0"),STOCK!A:H,7,0),1)</f>
        <v>1</v>
      </c>
    </row>
    <row r="1776" spans="7:10" ht="35.450000000000003" hidden="1" customHeight="1">
      <c r="G1776" s="113"/>
      <c r="J1776" s="28">
        <f>IFERROR(VLOOKUP(TEXT(B1776,"0"),STOCK!A:H,7,0),1)</f>
        <v>1</v>
      </c>
    </row>
    <row r="1777" spans="7:10" ht="35.450000000000003" hidden="1" customHeight="1">
      <c r="G1777" s="113"/>
      <c r="J1777" s="28">
        <f>IFERROR(VLOOKUP(TEXT(B1777,"0"),STOCK!A:H,7,0),1)</f>
        <v>1</v>
      </c>
    </row>
    <row r="1778" spans="7:10" ht="35.450000000000003" hidden="1" customHeight="1">
      <c r="G1778" s="113"/>
      <c r="J1778" s="28">
        <f>IFERROR(VLOOKUP(TEXT(B1778,"0"),STOCK!A:H,7,0),1)</f>
        <v>1</v>
      </c>
    </row>
    <row r="1779" spans="7:10" ht="35.450000000000003" hidden="1" customHeight="1">
      <c r="G1779" s="113"/>
      <c r="J1779" s="28">
        <f>IFERROR(VLOOKUP(TEXT(B1779,"0"),STOCK!A:H,7,0),1)</f>
        <v>1</v>
      </c>
    </row>
    <row r="1780" spans="7:10" ht="35.450000000000003" hidden="1" customHeight="1">
      <c r="G1780" s="113"/>
      <c r="J1780" s="28">
        <f>IFERROR(VLOOKUP(TEXT(B1780,"0"),STOCK!A:H,7,0),1)</f>
        <v>1</v>
      </c>
    </row>
    <row r="1781" spans="7:10" ht="35.450000000000003" hidden="1" customHeight="1">
      <c r="G1781" s="113"/>
      <c r="J1781" s="28">
        <f>IFERROR(VLOOKUP(TEXT(B1781,"0"),STOCK!A:H,7,0),1)</f>
        <v>1</v>
      </c>
    </row>
    <row r="1782" spans="7:10" ht="35.450000000000003" hidden="1" customHeight="1">
      <c r="G1782" s="113"/>
      <c r="J1782" s="28">
        <f>IFERROR(VLOOKUP(TEXT(B1782,"0"),STOCK!A:H,7,0),1)</f>
        <v>1</v>
      </c>
    </row>
    <row r="1783" spans="7:10" ht="35.450000000000003" hidden="1" customHeight="1">
      <c r="G1783" s="113"/>
      <c r="J1783" s="28">
        <f>IFERROR(VLOOKUP(TEXT(B1783,"0"),STOCK!A:H,7,0),1)</f>
        <v>1</v>
      </c>
    </row>
    <row r="1784" spans="7:10" ht="35.450000000000003" hidden="1" customHeight="1">
      <c r="G1784" s="113"/>
      <c r="J1784" s="28">
        <f>IFERROR(VLOOKUP(TEXT(B1784,"0"),STOCK!A:H,7,0),1)</f>
        <v>1</v>
      </c>
    </row>
    <row r="1785" spans="7:10" ht="35.450000000000003" hidden="1" customHeight="1">
      <c r="G1785" s="113"/>
      <c r="J1785" s="28">
        <f>IFERROR(VLOOKUP(TEXT(B1785,"0"),STOCK!A:H,7,0),1)</f>
        <v>1</v>
      </c>
    </row>
    <row r="1786" spans="7:10" ht="35.450000000000003" hidden="1" customHeight="1">
      <c r="G1786" s="113"/>
      <c r="J1786" s="28">
        <f>IFERROR(VLOOKUP(TEXT(B1786,"0"),STOCK!A:H,7,0),1)</f>
        <v>1</v>
      </c>
    </row>
    <row r="1787" spans="7:10" ht="35.450000000000003" hidden="1" customHeight="1">
      <c r="G1787" s="113"/>
      <c r="J1787" s="28">
        <f>IFERROR(VLOOKUP(TEXT(B1787,"0"),STOCK!A:H,7,0),1)</f>
        <v>1</v>
      </c>
    </row>
    <row r="1788" spans="7:10" ht="35.450000000000003" hidden="1" customHeight="1">
      <c r="G1788" s="113"/>
      <c r="J1788" s="28">
        <f>IFERROR(VLOOKUP(TEXT(B1788,"0"),STOCK!A:H,7,0),1)</f>
        <v>1</v>
      </c>
    </row>
    <row r="1789" spans="7:10" ht="35.450000000000003" hidden="1" customHeight="1">
      <c r="G1789" s="113"/>
      <c r="J1789" s="28">
        <f>IFERROR(VLOOKUP(TEXT(B1789,"0"),STOCK!A:H,7,0),1)</f>
        <v>1</v>
      </c>
    </row>
    <row r="1790" spans="7:10" ht="35.450000000000003" hidden="1" customHeight="1">
      <c r="G1790" s="113"/>
      <c r="J1790" s="28">
        <f>IFERROR(VLOOKUP(TEXT(B1790,"0"),STOCK!A:H,7,0),1)</f>
        <v>1</v>
      </c>
    </row>
    <row r="1791" spans="7:10" ht="35.450000000000003" hidden="1" customHeight="1">
      <c r="G1791" s="113"/>
      <c r="J1791" s="28">
        <f>IFERROR(VLOOKUP(TEXT(B1791,"0"),STOCK!A:H,7,0),1)</f>
        <v>1</v>
      </c>
    </row>
    <row r="1792" spans="7:10" ht="35.450000000000003" hidden="1" customHeight="1">
      <c r="G1792" s="113"/>
      <c r="J1792" s="28">
        <f>IFERROR(VLOOKUP(TEXT(B1792,"0"),STOCK!A:H,7,0),1)</f>
        <v>1</v>
      </c>
    </row>
    <row r="1793" spans="7:10" ht="35.450000000000003" hidden="1" customHeight="1">
      <c r="G1793" s="113"/>
      <c r="J1793" s="28">
        <f>IFERROR(VLOOKUP(TEXT(B1793,"0"),STOCK!A:H,7,0),1)</f>
        <v>1</v>
      </c>
    </row>
    <row r="1794" spans="7:10" ht="35.450000000000003" hidden="1" customHeight="1">
      <c r="G1794" s="113"/>
      <c r="J1794" s="28">
        <f>IFERROR(VLOOKUP(TEXT(B1794,"0"),STOCK!A:H,7,0),1)</f>
        <v>1</v>
      </c>
    </row>
    <row r="1795" spans="7:10" ht="35.450000000000003" hidden="1" customHeight="1">
      <c r="G1795" s="113"/>
      <c r="J1795" s="28">
        <f>IFERROR(VLOOKUP(TEXT(B1795,"0"),STOCK!A:H,7,0),1)</f>
        <v>1</v>
      </c>
    </row>
    <row r="1796" spans="7:10" ht="35.450000000000003" hidden="1" customHeight="1">
      <c r="G1796" s="113"/>
      <c r="J1796" s="28">
        <f>IFERROR(VLOOKUP(TEXT(B1796,"0"),STOCK!A:H,7,0),1)</f>
        <v>1</v>
      </c>
    </row>
    <row r="1797" spans="7:10" ht="35.450000000000003" hidden="1" customHeight="1">
      <c r="G1797" s="113"/>
      <c r="J1797" s="28">
        <f>IFERROR(VLOOKUP(TEXT(B1797,"0"),STOCK!A:H,7,0),1)</f>
        <v>1</v>
      </c>
    </row>
    <row r="1798" spans="7:10" ht="35.450000000000003" hidden="1" customHeight="1">
      <c r="G1798" s="113"/>
      <c r="J1798" s="28">
        <f>IFERROR(VLOOKUP(TEXT(B1798,"0"),STOCK!A:H,7,0),1)</f>
        <v>1</v>
      </c>
    </row>
    <row r="1799" spans="7:10" ht="35.450000000000003" hidden="1" customHeight="1">
      <c r="G1799" s="113"/>
      <c r="J1799" s="28">
        <f>IFERROR(VLOOKUP(TEXT(B1799,"0"),STOCK!A:H,7,0),1)</f>
        <v>1</v>
      </c>
    </row>
    <row r="1800" spans="7:10" ht="35.450000000000003" hidden="1" customHeight="1">
      <c r="G1800" s="113"/>
      <c r="J1800" s="28">
        <f>IFERROR(VLOOKUP(TEXT(B1800,"0"),STOCK!A:H,7,0),1)</f>
        <v>1</v>
      </c>
    </row>
    <row r="1801" spans="7:10" ht="35.450000000000003" hidden="1" customHeight="1">
      <c r="G1801" s="113"/>
      <c r="J1801" s="28">
        <f>IFERROR(VLOOKUP(TEXT(B1801,"0"),STOCK!A:H,7,0),1)</f>
        <v>1</v>
      </c>
    </row>
    <row r="1802" spans="7:10" ht="35.450000000000003" hidden="1" customHeight="1">
      <c r="G1802" s="113"/>
      <c r="J1802" s="28">
        <f>IFERROR(VLOOKUP(TEXT(B1802,"0"),STOCK!A:H,7,0),1)</f>
        <v>1</v>
      </c>
    </row>
    <row r="1803" spans="7:10" ht="35.450000000000003" hidden="1" customHeight="1">
      <c r="G1803" s="113"/>
      <c r="J1803" s="28">
        <f>IFERROR(VLOOKUP(TEXT(B1803,"0"),STOCK!A:H,7,0),1)</f>
        <v>1</v>
      </c>
    </row>
    <row r="1804" spans="7:10" ht="35.450000000000003" hidden="1" customHeight="1">
      <c r="G1804" s="113"/>
      <c r="J1804" s="28">
        <f>IFERROR(VLOOKUP(TEXT(B1804,"0"),STOCK!A:H,7,0),1)</f>
        <v>1</v>
      </c>
    </row>
    <row r="1805" spans="7:10" ht="35.450000000000003" hidden="1" customHeight="1">
      <c r="G1805" s="113"/>
      <c r="J1805" s="28">
        <f>IFERROR(VLOOKUP(TEXT(B1805,"0"),STOCK!A:H,7,0),1)</f>
        <v>1</v>
      </c>
    </row>
    <row r="1806" spans="7:10" ht="35.450000000000003" hidden="1" customHeight="1">
      <c r="G1806" s="113"/>
      <c r="J1806" s="28">
        <f>IFERROR(VLOOKUP(TEXT(B1806,"0"),STOCK!A:H,7,0),1)</f>
        <v>1</v>
      </c>
    </row>
    <row r="1807" spans="7:10" ht="35.450000000000003" hidden="1" customHeight="1">
      <c r="G1807" s="113"/>
      <c r="J1807" s="28">
        <f>IFERROR(VLOOKUP(TEXT(B1807,"0"),STOCK!A:H,7,0),1)</f>
        <v>1</v>
      </c>
    </row>
    <row r="1808" spans="7:10" ht="35.450000000000003" hidden="1" customHeight="1">
      <c r="G1808" s="113"/>
      <c r="J1808" s="28">
        <f>IFERROR(VLOOKUP(TEXT(B1808,"0"),STOCK!A:H,7,0),1)</f>
        <v>1</v>
      </c>
    </row>
    <row r="1809" spans="7:10" ht="35.450000000000003" hidden="1" customHeight="1">
      <c r="G1809" s="113"/>
      <c r="J1809" s="28">
        <f>IFERROR(VLOOKUP(TEXT(B1809,"0"),STOCK!A:H,7,0),1)</f>
        <v>1</v>
      </c>
    </row>
    <row r="1810" spans="7:10" ht="35.450000000000003" hidden="1" customHeight="1">
      <c r="G1810" s="113"/>
      <c r="J1810" s="28">
        <f>IFERROR(VLOOKUP(TEXT(B1810,"0"),STOCK!A:H,7,0),1)</f>
        <v>1</v>
      </c>
    </row>
    <row r="1811" spans="7:10" ht="35.450000000000003" hidden="1" customHeight="1">
      <c r="G1811" s="113"/>
      <c r="J1811" s="28">
        <f>IFERROR(VLOOKUP(TEXT(B1811,"0"),STOCK!A:H,7,0),1)</f>
        <v>1</v>
      </c>
    </row>
    <row r="1812" spans="7:10" ht="35.450000000000003" hidden="1" customHeight="1">
      <c r="G1812" s="113"/>
      <c r="J1812" s="28">
        <f>IFERROR(VLOOKUP(TEXT(B1812,"0"),STOCK!A:H,7,0),1)</f>
        <v>1</v>
      </c>
    </row>
    <row r="1813" spans="7:10" ht="35.450000000000003" hidden="1" customHeight="1">
      <c r="G1813" s="113"/>
      <c r="J1813" s="28">
        <f>IFERROR(VLOOKUP(TEXT(B1813,"0"),STOCK!A:H,7,0),1)</f>
        <v>1</v>
      </c>
    </row>
    <row r="1814" spans="7:10" ht="35.450000000000003" hidden="1" customHeight="1">
      <c r="G1814" s="113"/>
      <c r="J1814" s="28">
        <f>IFERROR(VLOOKUP(TEXT(B1814,"0"),STOCK!A:H,7,0),1)</f>
        <v>1</v>
      </c>
    </row>
    <row r="1815" spans="7:10" ht="35.450000000000003" hidden="1" customHeight="1">
      <c r="G1815" s="113"/>
      <c r="J1815" s="28">
        <f>IFERROR(VLOOKUP(TEXT(B1815,"0"),STOCK!A:H,7,0),1)</f>
        <v>1</v>
      </c>
    </row>
    <row r="1816" spans="7:10" ht="35.450000000000003" hidden="1" customHeight="1">
      <c r="G1816" s="113"/>
      <c r="J1816" s="28">
        <f>IFERROR(VLOOKUP(TEXT(B1816,"0"),STOCK!A:H,7,0),1)</f>
        <v>1</v>
      </c>
    </row>
    <row r="1817" spans="7:10" ht="35.450000000000003" hidden="1" customHeight="1">
      <c r="G1817" s="113"/>
      <c r="J1817" s="28">
        <f>IFERROR(VLOOKUP(TEXT(B1817,"0"),STOCK!A:H,7,0),1)</f>
        <v>1</v>
      </c>
    </row>
    <row r="1818" spans="7:10" ht="35.450000000000003" hidden="1" customHeight="1">
      <c r="G1818" s="113"/>
      <c r="J1818" s="28">
        <f>IFERROR(VLOOKUP(TEXT(B1818,"0"),STOCK!A:H,7,0),1)</f>
        <v>1</v>
      </c>
    </row>
    <row r="1819" spans="7:10" ht="35.450000000000003" hidden="1" customHeight="1">
      <c r="G1819" s="113"/>
      <c r="J1819" s="28">
        <f>IFERROR(VLOOKUP(TEXT(B1819,"0"),STOCK!A:H,7,0),1)</f>
        <v>1</v>
      </c>
    </row>
    <row r="1820" spans="7:10" ht="35.450000000000003" hidden="1" customHeight="1">
      <c r="G1820" s="113"/>
      <c r="J1820" s="28">
        <f>IFERROR(VLOOKUP(TEXT(B1820,"0"),STOCK!A:H,7,0),1)</f>
        <v>1</v>
      </c>
    </row>
    <row r="1821" spans="7:10" ht="35.450000000000003" hidden="1" customHeight="1">
      <c r="G1821" s="113"/>
      <c r="J1821" s="28">
        <f>IFERROR(VLOOKUP(TEXT(B1821,"0"),STOCK!A:H,7,0),1)</f>
        <v>1</v>
      </c>
    </row>
    <row r="1822" spans="7:10" ht="35.450000000000003" hidden="1" customHeight="1">
      <c r="G1822" s="113"/>
      <c r="J1822" s="28">
        <f>IFERROR(VLOOKUP(TEXT(B1822,"0"),STOCK!A:H,7,0),1)</f>
        <v>1</v>
      </c>
    </row>
    <row r="1823" spans="7:10" ht="35.450000000000003" hidden="1" customHeight="1">
      <c r="G1823" s="113"/>
      <c r="J1823" s="28">
        <f>IFERROR(VLOOKUP(TEXT(B1823,"0"),STOCK!A:H,7,0),1)</f>
        <v>1</v>
      </c>
    </row>
    <row r="1824" spans="7:10" ht="35.450000000000003" hidden="1" customHeight="1">
      <c r="G1824" s="113"/>
      <c r="J1824" s="28">
        <f>IFERROR(VLOOKUP(TEXT(B1824,"0"),STOCK!A:H,7,0),1)</f>
        <v>1</v>
      </c>
    </row>
    <row r="1825" spans="7:10" ht="35.450000000000003" hidden="1" customHeight="1">
      <c r="G1825" s="113"/>
      <c r="J1825" s="28">
        <f>IFERROR(VLOOKUP(TEXT(B1825,"0"),STOCK!A:H,7,0),1)</f>
        <v>1</v>
      </c>
    </row>
    <row r="1826" spans="7:10" ht="35.450000000000003" hidden="1" customHeight="1">
      <c r="G1826" s="113"/>
      <c r="J1826" s="28">
        <f>IFERROR(VLOOKUP(TEXT(B1826,"0"),STOCK!A:H,7,0),1)</f>
        <v>1</v>
      </c>
    </row>
    <row r="1827" spans="7:10" ht="35.450000000000003" hidden="1" customHeight="1">
      <c r="G1827" s="113"/>
      <c r="J1827" s="28">
        <f>IFERROR(VLOOKUP(TEXT(B1827,"0"),STOCK!A:H,7,0),1)</f>
        <v>1</v>
      </c>
    </row>
    <row r="1828" spans="7:10" ht="35.450000000000003" hidden="1" customHeight="1">
      <c r="G1828" s="113"/>
      <c r="J1828" s="28">
        <f>IFERROR(VLOOKUP(TEXT(B1828,"0"),STOCK!A:H,7,0),1)</f>
        <v>1</v>
      </c>
    </row>
    <row r="1829" spans="7:10" ht="35.450000000000003" hidden="1" customHeight="1">
      <c r="G1829" s="113"/>
      <c r="J1829" s="28">
        <f>IFERROR(VLOOKUP(TEXT(B1829,"0"),STOCK!A:H,7,0),1)</f>
        <v>1</v>
      </c>
    </row>
    <row r="1830" spans="7:10" ht="35.450000000000003" hidden="1" customHeight="1">
      <c r="G1830" s="113"/>
      <c r="J1830" s="28">
        <f>IFERROR(VLOOKUP(TEXT(B1830,"0"),STOCK!A:H,7,0),1)</f>
        <v>1</v>
      </c>
    </row>
    <row r="1831" spans="7:10" ht="35.450000000000003" hidden="1" customHeight="1">
      <c r="G1831" s="113"/>
      <c r="J1831" s="28">
        <f>IFERROR(VLOOKUP(TEXT(B1831,"0"),STOCK!A:H,7,0),1)</f>
        <v>1</v>
      </c>
    </row>
    <row r="1832" spans="7:10" ht="35.450000000000003" hidden="1" customHeight="1">
      <c r="G1832" s="113"/>
      <c r="J1832" s="28">
        <f>IFERROR(VLOOKUP(TEXT(B1832,"0"),STOCK!A:H,7,0),1)</f>
        <v>1</v>
      </c>
    </row>
    <row r="1833" spans="7:10" ht="35.450000000000003" hidden="1" customHeight="1">
      <c r="G1833" s="113"/>
      <c r="J1833" s="28">
        <f>IFERROR(VLOOKUP(TEXT(B1833,"0"),STOCK!A:H,7,0),1)</f>
        <v>1</v>
      </c>
    </row>
    <row r="1834" spans="7:10" ht="35.450000000000003" hidden="1" customHeight="1">
      <c r="G1834" s="113"/>
      <c r="J1834" s="28">
        <f>IFERROR(VLOOKUP(TEXT(B1834,"0"),STOCK!A:H,7,0),1)</f>
        <v>1</v>
      </c>
    </row>
    <row r="1835" spans="7:10" ht="35.450000000000003" hidden="1" customHeight="1">
      <c r="G1835" s="113"/>
      <c r="J1835" s="28">
        <f>IFERROR(VLOOKUP(TEXT(B1835,"0"),STOCK!A:H,7,0),1)</f>
        <v>1</v>
      </c>
    </row>
    <row r="1836" spans="7:10" ht="35.450000000000003" hidden="1" customHeight="1">
      <c r="G1836" s="113"/>
      <c r="J1836" s="28">
        <f>IFERROR(VLOOKUP(TEXT(B1836,"0"),STOCK!A:H,7,0),1)</f>
        <v>1</v>
      </c>
    </row>
    <row r="1837" spans="7:10" ht="35.450000000000003" hidden="1" customHeight="1">
      <c r="G1837" s="113"/>
      <c r="J1837" s="28">
        <f>IFERROR(VLOOKUP(TEXT(B1837,"0"),STOCK!A:H,7,0),1)</f>
        <v>1</v>
      </c>
    </row>
    <row r="1838" spans="7:10" ht="35.450000000000003" hidden="1" customHeight="1">
      <c r="G1838" s="113"/>
      <c r="J1838" s="28">
        <f>IFERROR(VLOOKUP(TEXT(B1838,"0"),STOCK!A:H,7,0),1)</f>
        <v>1</v>
      </c>
    </row>
    <row r="1839" spans="7:10" ht="35.450000000000003" hidden="1" customHeight="1">
      <c r="G1839" s="113"/>
      <c r="J1839" s="28">
        <f>IFERROR(VLOOKUP(TEXT(B1839,"0"),STOCK!A:H,7,0),1)</f>
        <v>1</v>
      </c>
    </row>
    <row r="1840" spans="7:10" ht="35.450000000000003" hidden="1" customHeight="1">
      <c r="G1840" s="113"/>
      <c r="J1840" s="28">
        <f>IFERROR(VLOOKUP(TEXT(B1840,"0"),STOCK!A:H,7,0),1)</f>
        <v>1</v>
      </c>
    </row>
    <row r="1841" spans="7:10" ht="35.450000000000003" hidden="1" customHeight="1">
      <c r="G1841" s="113"/>
      <c r="J1841" s="28">
        <f>IFERROR(VLOOKUP(TEXT(B1841,"0"),STOCK!A:H,7,0),1)</f>
        <v>1</v>
      </c>
    </row>
    <row r="1842" spans="7:10" ht="35.450000000000003" hidden="1" customHeight="1">
      <c r="G1842" s="113"/>
      <c r="J1842" s="28">
        <f>IFERROR(VLOOKUP(TEXT(B1842,"0"),STOCK!A:H,7,0),1)</f>
        <v>1</v>
      </c>
    </row>
    <row r="1843" spans="7:10" ht="35.450000000000003" hidden="1" customHeight="1">
      <c r="G1843" s="113"/>
      <c r="J1843" s="28">
        <f>IFERROR(VLOOKUP(TEXT(B1843,"0"),STOCK!A:H,7,0),1)</f>
        <v>1</v>
      </c>
    </row>
    <row r="1844" spans="7:10" ht="35.450000000000003" hidden="1" customHeight="1">
      <c r="G1844" s="113"/>
      <c r="J1844" s="28">
        <f>IFERROR(VLOOKUP(TEXT(B1844,"0"),STOCK!A:H,7,0),1)</f>
        <v>1</v>
      </c>
    </row>
    <row r="1845" spans="7:10" ht="35.450000000000003" hidden="1" customHeight="1">
      <c r="G1845" s="113"/>
      <c r="J1845" s="28">
        <f>IFERROR(VLOOKUP(TEXT(B1845,"0"),STOCK!A:H,7,0),1)</f>
        <v>1</v>
      </c>
    </row>
    <row r="1846" spans="7:10" ht="35.450000000000003" hidden="1" customHeight="1">
      <c r="G1846" s="113"/>
      <c r="J1846" s="28">
        <f>IFERROR(VLOOKUP(TEXT(B1846,"0"),STOCK!A:H,7,0),1)</f>
        <v>1</v>
      </c>
    </row>
    <row r="1847" spans="7:10" ht="35.450000000000003" hidden="1" customHeight="1">
      <c r="G1847" s="113"/>
      <c r="J1847" s="28">
        <f>IFERROR(VLOOKUP(TEXT(B1847,"0"),STOCK!A:H,7,0),1)</f>
        <v>1</v>
      </c>
    </row>
    <row r="1848" spans="7:10" ht="35.450000000000003" hidden="1" customHeight="1">
      <c r="G1848" s="113"/>
      <c r="J1848" s="28">
        <f>IFERROR(VLOOKUP(TEXT(B1848,"0"),STOCK!A:H,7,0),1)</f>
        <v>1</v>
      </c>
    </row>
    <row r="1849" spans="7:10" ht="35.450000000000003" hidden="1" customHeight="1">
      <c r="G1849" s="113"/>
      <c r="J1849" s="28">
        <f>IFERROR(VLOOKUP(TEXT(B1849,"0"),STOCK!A:H,7,0),1)</f>
        <v>1</v>
      </c>
    </row>
    <row r="1850" spans="7:10" ht="35.450000000000003" hidden="1" customHeight="1">
      <c r="G1850" s="113"/>
      <c r="J1850" s="28">
        <f>IFERROR(VLOOKUP(TEXT(B1850,"0"),STOCK!A:H,7,0),1)</f>
        <v>1</v>
      </c>
    </row>
    <row r="1851" spans="7:10" ht="35.450000000000003" hidden="1" customHeight="1">
      <c r="G1851" s="113"/>
      <c r="J1851" s="28">
        <f>IFERROR(VLOOKUP(TEXT(B1851,"0"),STOCK!A:H,7,0),1)</f>
        <v>1</v>
      </c>
    </row>
    <row r="1852" spans="7:10" ht="35.450000000000003" hidden="1" customHeight="1">
      <c r="G1852" s="113"/>
      <c r="J1852" s="28">
        <f>IFERROR(VLOOKUP(TEXT(B1852,"0"),STOCK!A:H,7,0),1)</f>
        <v>1</v>
      </c>
    </row>
    <row r="1853" spans="7:10" ht="35.450000000000003" hidden="1" customHeight="1">
      <c r="G1853" s="113"/>
      <c r="J1853" s="28">
        <f>IFERROR(VLOOKUP(TEXT(B1853,"0"),STOCK!A:H,7,0),1)</f>
        <v>1</v>
      </c>
    </row>
    <row r="1854" spans="7:10" ht="35.450000000000003" hidden="1" customHeight="1">
      <c r="G1854" s="113"/>
      <c r="J1854" s="28">
        <f>IFERROR(VLOOKUP(TEXT(B1854,"0"),STOCK!A:H,7,0),1)</f>
        <v>1</v>
      </c>
    </row>
    <row r="1855" spans="7:10" ht="35.450000000000003" hidden="1" customHeight="1">
      <c r="G1855" s="113"/>
      <c r="J1855" s="28">
        <f>IFERROR(VLOOKUP(TEXT(B1855,"0"),STOCK!A:H,7,0),1)</f>
        <v>1</v>
      </c>
    </row>
    <row r="1856" spans="7:10" ht="35.450000000000003" hidden="1" customHeight="1">
      <c r="G1856" s="113"/>
      <c r="J1856" s="28">
        <f>IFERROR(VLOOKUP(TEXT(B1856,"0"),STOCK!A:H,7,0),1)</f>
        <v>1</v>
      </c>
    </row>
    <row r="1857" spans="7:10" ht="35.450000000000003" hidden="1" customHeight="1">
      <c r="G1857" s="113"/>
      <c r="J1857" s="28">
        <f>IFERROR(VLOOKUP(TEXT(B1857,"0"),STOCK!A:H,7,0),1)</f>
        <v>1</v>
      </c>
    </row>
    <row r="1858" spans="7:10" ht="35.450000000000003" hidden="1" customHeight="1">
      <c r="G1858" s="113"/>
      <c r="J1858" s="28">
        <f>IFERROR(VLOOKUP(TEXT(B1858,"0"),STOCK!A:H,7,0),1)</f>
        <v>1</v>
      </c>
    </row>
    <row r="1859" spans="7:10" ht="35.450000000000003" hidden="1" customHeight="1">
      <c r="G1859" s="113"/>
      <c r="J1859" s="28">
        <f>IFERROR(VLOOKUP(TEXT(B1859,"0"),STOCK!A:H,7,0),1)</f>
        <v>1</v>
      </c>
    </row>
    <row r="1860" spans="7:10" ht="35.450000000000003" hidden="1" customHeight="1">
      <c r="G1860" s="113"/>
      <c r="J1860" s="28">
        <f>IFERROR(VLOOKUP(TEXT(B1860,"0"),STOCK!A:H,7,0),1)</f>
        <v>1</v>
      </c>
    </row>
    <row r="1861" spans="7:10" ht="35.450000000000003" hidden="1" customHeight="1">
      <c r="G1861" s="113"/>
      <c r="J1861" s="28">
        <f>IFERROR(VLOOKUP(TEXT(B1861,"0"),STOCK!A:H,7,0),1)</f>
        <v>1</v>
      </c>
    </row>
    <row r="1862" spans="7:10" ht="35.450000000000003" hidden="1" customHeight="1">
      <c r="G1862" s="113"/>
      <c r="J1862" s="28">
        <f>IFERROR(VLOOKUP(TEXT(B1862,"0"),STOCK!A:H,7,0),1)</f>
        <v>1</v>
      </c>
    </row>
    <row r="1863" spans="7:10" ht="35.450000000000003" hidden="1" customHeight="1">
      <c r="G1863" s="113"/>
      <c r="J1863" s="28">
        <f>IFERROR(VLOOKUP(TEXT(B1863,"0"),STOCK!A:H,7,0),1)</f>
        <v>1</v>
      </c>
    </row>
    <row r="1864" spans="7:10" ht="35.450000000000003" hidden="1" customHeight="1">
      <c r="G1864" s="113"/>
      <c r="J1864" s="28">
        <f>IFERROR(VLOOKUP(TEXT(B1864,"0"),STOCK!A:H,7,0),1)</f>
        <v>1</v>
      </c>
    </row>
    <row r="1865" spans="7:10" ht="35.450000000000003" hidden="1" customHeight="1">
      <c r="G1865" s="113"/>
      <c r="J1865" s="28">
        <f>IFERROR(VLOOKUP(TEXT(B1865,"0"),STOCK!A:H,7,0),1)</f>
        <v>1</v>
      </c>
    </row>
    <row r="1866" spans="7:10" ht="35.450000000000003" hidden="1" customHeight="1">
      <c r="G1866" s="113"/>
      <c r="J1866" s="28">
        <f>IFERROR(VLOOKUP(TEXT(B1866,"0"),STOCK!A:H,7,0),1)</f>
        <v>1</v>
      </c>
    </row>
    <row r="1867" spans="7:10" ht="35.450000000000003" hidden="1" customHeight="1">
      <c r="G1867" s="113"/>
      <c r="J1867" s="28">
        <f>IFERROR(VLOOKUP(TEXT(B1867,"0"),STOCK!A:H,7,0),1)</f>
        <v>1</v>
      </c>
    </row>
    <row r="1868" spans="7:10" ht="35.450000000000003" hidden="1" customHeight="1">
      <c r="G1868" s="113"/>
      <c r="J1868" s="28">
        <f>IFERROR(VLOOKUP(TEXT(B1868,"0"),STOCK!A:H,7,0),1)</f>
        <v>1</v>
      </c>
    </row>
    <row r="1869" spans="7:10" ht="35.450000000000003" hidden="1" customHeight="1">
      <c r="G1869" s="113"/>
      <c r="J1869" s="28">
        <f>IFERROR(VLOOKUP(TEXT(B1869,"0"),STOCK!A:H,7,0),1)</f>
        <v>1</v>
      </c>
    </row>
    <row r="1870" spans="7:10" ht="35.450000000000003" hidden="1" customHeight="1">
      <c r="G1870" s="113"/>
      <c r="J1870" s="28">
        <f>IFERROR(VLOOKUP(TEXT(B1870,"0"),STOCK!A:H,7,0),1)</f>
        <v>1</v>
      </c>
    </row>
    <row r="1871" spans="7:10" ht="35.450000000000003" hidden="1" customHeight="1">
      <c r="G1871" s="113"/>
      <c r="J1871" s="28">
        <f>IFERROR(VLOOKUP(TEXT(B1871,"0"),STOCK!A:H,7,0),1)</f>
        <v>1</v>
      </c>
    </row>
    <row r="1872" spans="7:10" ht="35.450000000000003" hidden="1" customHeight="1">
      <c r="G1872" s="113"/>
      <c r="J1872" s="28">
        <f>IFERROR(VLOOKUP(TEXT(B1872,"0"),STOCK!A:H,7,0),1)</f>
        <v>1</v>
      </c>
    </row>
    <row r="1873" spans="7:10" ht="35.450000000000003" hidden="1" customHeight="1">
      <c r="G1873" s="113"/>
      <c r="J1873" s="28">
        <f>IFERROR(VLOOKUP(TEXT(B1873,"0"),STOCK!A:H,7,0),1)</f>
        <v>1</v>
      </c>
    </row>
    <row r="1874" spans="7:10" ht="35.450000000000003" hidden="1" customHeight="1">
      <c r="G1874" s="113"/>
      <c r="J1874" s="28">
        <f>IFERROR(VLOOKUP(TEXT(B1874,"0"),STOCK!A:H,7,0),1)</f>
        <v>1</v>
      </c>
    </row>
    <row r="1875" spans="7:10" ht="35.450000000000003" hidden="1" customHeight="1">
      <c r="G1875" s="113"/>
      <c r="J1875" s="28">
        <f>IFERROR(VLOOKUP(TEXT(B1875,"0"),STOCK!A:H,7,0),1)</f>
        <v>1</v>
      </c>
    </row>
    <row r="1876" spans="7:10" ht="35.450000000000003" hidden="1" customHeight="1">
      <c r="G1876" s="113"/>
      <c r="J1876" s="28">
        <f>IFERROR(VLOOKUP(TEXT(B1876,"0"),STOCK!A:H,7,0),1)</f>
        <v>1</v>
      </c>
    </row>
    <row r="1877" spans="7:10" ht="35.450000000000003" hidden="1" customHeight="1">
      <c r="G1877" s="113"/>
      <c r="J1877" s="28">
        <f>IFERROR(VLOOKUP(TEXT(B1877,"0"),STOCK!A:H,7,0),1)</f>
        <v>1</v>
      </c>
    </row>
    <row r="1878" spans="7:10" ht="35.450000000000003" hidden="1" customHeight="1">
      <c r="G1878" s="113"/>
      <c r="J1878" s="28">
        <f>IFERROR(VLOOKUP(TEXT(B1878,"0"),STOCK!A:H,7,0),1)</f>
        <v>1</v>
      </c>
    </row>
    <row r="1879" spans="7:10" ht="35.450000000000003" hidden="1" customHeight="1">
      <c r="G1879" s="113"/>
      <c r="J1879" s="28">
        <f>IFERROR(VLOOKUP(TEXT(B1879,"0"),STOCK!A:H,7,0),1)</f>
        <v>1</v>
      </c>
    </row>
    <row r="1880" spans="7:10" ht="35.450000000000003" hidden="1" customHeight="1">
      <c r="G1880" s="113"/>
      <c r="J1880" s="28">
        <f>IFERROR(VLOOKUP(TEXT(B1880,"0"),STOCK!A:H,7,0),1)</f>
        <v>1</v>
      </c>
    </row>
    <row r="1881" spans="7:10" ht="35.450000000000003" hidden="1" customHeight="1">
      <c r="G1881" s="113"/>
      <c r="J1881" s="28">
        <f>IFERROR(VLOOKUP(TEXT(B1881,"0"),STOCK!A:H,7,0),1)</f>
        <v>1</v>
      </c>
    </row>
    <row r="1882" spans="7:10" ht="35.450000000000003" hidden="1" customHeight="1">
      <c r="G1882" s="113"/>
      <c r="J1882" s="28">
        <f>IFERROR(VLOOKUP(TEXT(B1882,"0"),STOCK!A:H,7,0),1)</f>
        <v>1</v>
      </c>
    </row>
    <row r="1883" spans="7:10" ht="35.450000000000003" hidden="1" customHeight="1">
      <c r="G1883" s="113"/>
      <c r="J1883" s="28">
        <f>IFERROR(VLOOKUP(TEXT(B1883,"0"),STOCK!A:H,7,0),1)</f>
        <v>1</v>
      </c>
    </row>
    <row r="1884" spans="7:10" ht="35.450000000000003" hidden="1" customHeight="1">
      <c r="G1884" s="113"/>
      <c r="J1884" s="28">
        <f>IFERROR(VLOOKUP(TEXT(B1884,"0"),STOCK!A:H,7,0),1)</f>
        <v>1</v>
      </c>
    </row>
    <row r="1885" spans="7:10" ht="35.450000000000003" hidden="1" customHeight="1">
      <c r="G1885" s="113"/>
      <c r="J1885" s="28">
        <f>IFERROR(VLOOKUP(TEXT(B1885,"0"),STOCK!A:H,7,0),1)</f>
        <v>1</v>
      </c>
    </row>
    <row r="1886" spans="7:10" ht="35.450000000000003" hidden="1" customHeight="1">
      <c r="G1886" s="113"/>
      <c r="J1886" s="28">
        <f>IFERROR(VLOOKUP(TEXT(B1886,"0"),STOCK!A:H,7,0),1)</f>
        <v>1</v>
      </c>
    </row>
    <row r="1887" spans="7:10" ht="35.450000000000003" hidden="1" customHeight="1">
      <c r="G1887" s="113"/>
      <c r="J1887" s="28">
        <f>IFERROR(VLOOKUP(TEXT(B1887,"0"),STOCK!A:H,7,0),1)</f>
        <v>1</v>
      </c>
    </row>
    <row r="1888" spans="7:10" ht="35.450000000000003" hidden="1" customHeight="1">
      <c r="G1888" s="113"/>
      <c r="J1888" s="28">
        <f>IFERROR(VLOOKUP(TEXT(B1888,"0"),STOCK!A:H,7,0),1)</f>
        <v>1</v>
      </c>
    </row>
    <row r="1889" spans="7:10" ht="35.450000000000003" hidden="1" customHeight="1">
      <c r="G1889" s="113"/>
      <c r="J1889" s="28">
        <f>IFERROR(VLOOKUP(TEXT(B1889,"0"),STOCK!A:H,7,0),1)</f>
        <v>1</v>
      </c>
    </row>
    <row r="1890" spans="7:10" ht="35.450000000000003" hidden="1" customHeight="1">
      <c r="G1890" s="113"/>
      <c r="J1890" s="28">
        <f>IFERROR(VLOOKUP(TEXT(B1890,"0"),STOCK!A:H,7,0),1)</f>
        <v>1</v>
      </c>
    </row>
    <row r="1891" spans="7:10" ht="35.450000000000003" hidden="1" customHeight="1">
      <c r="G1891" s="113"/>
      <c r="J1891" s="28">
        <f>IFERROR(VLOOKUP(TEXT(B1891,"0"),STOCK!A:H,7,0),1)</f>
        <v>1</v>
      </c>
    </row>
    <row r="1892" spans="7:10" ht="35.450000000000003" hidden="1" customHeight="1">
      <c r="G1892" s="113"/>
      <c r="J1892" s="28">
        <f>IFERROR(VLOOKUP(TEXT(B1892,"0"),STOCK!A:H,7,0),1)</f>
        <v>1</v>
      </c>
    </row>
    <row r="1893" spans="7:10" ht="35.450000000000003" hidden="1" customHeight="1">
      <c r="G1893" s="113"/>
      <c r="J1893" s="28">
        <f>IFERROR(VLOOKUP(TEXT(B1893,"0"),STOCK!A:H,7,0),1)</f>
        <v>1</v>
      </c>
    </row>
    <row r="1894" spans="7:10" ht="35.450000000000003" hidden="1" customHeight="1">
      <c r="G1894" s="113"/>
      <c r="J1894" s="28">
        <f>IFERROR(VLOOKUP(TEXT(B1894,"0"),STOCK!A:H,7,0),1)</f>
        <v>1</v>
      </c>
    </row>
    <row r="1895" spans="7:10" ht="35.450000000000003" hidden="1" customHeight="1">
      <c r="G1895" s="113"/>
      <c r="J1895" s="28">
        <f>IFERROR(VLOOKUP(TEXT(B1895,"0"),STOCK!A:H,7,0),1)</f>
        <v>1</v>
      </c>
    </row>
    <row r="1896" spans="7:10" ht="35.450000000000003" hidden="1" customHeight="1">
      <c r="G1896" s="113"/>
      <c r="J1896" s="28">
        <f>IFERROR(VLOOKUP(TEXT(B1896,"0"),STOCK!A:H,7,0),1)</f>
        <v>1</v>
      </c>
    </row>
    <row r="1897" spans="7:10" ht="35.450000000000003" hidden="1" customHeight="1">
      <c r="G1897" s="113"/>
      <c r="J1897" s="28">
        <f>IFERROR(VLOOKUP(TEXT(B1897,"0"),STOCK!A:H,7,0),1)</f>
        <v>1</v>
      </c>
    </row>
    <row r="1898" spans="7:10" ht="35.450000000000003" hidden="1" customHeight="1">
      <c r="G1898" s="113"/>
      <c r="J1898" s="28">
        <f>IFERROR(VLOOKUP(TEXT(B1898,"0"),STOCK!A:H,7,0),1)</f>
        <v>1</v>
      </c>
    </row>
    <row r="1899" spans="7:10" ht="35.450000000000003" hidden="1" customHeight="1">
      <c r="G1899" s="113"/>
      <c r="J1899" s="28">
        <f>IFERROR(VLOOKUP(TEXT(B1899,"0"),STOCK!A:H,7,0),1)</f>
        <v>1</v>
      </c>
    </row>
    <row r="1900" spans="7:10" ht="35.450000000000003" hidden="1" customHeight="1">
      <c r="G1900" s="113"/>
      <c r="J1900" s="28">
        <f>IFERROR(VLOOKUP(TEXT(B1900,"0"),STOCK!A:H,7,0),1)</f>
        <v>1</v>
      </c>
    </row>
    <row r="1901" spans="7:10" ht="35.450000000000003" hidden="1" customHeight="1">
      <c r="G1901" s="113"/>
      <c r="J1901" s="28">
        <f>IFERROR(VLOOKUP(TEXT(B1901,"0"),STOCK!A:H,7,0),1)</f>
        <v>1</v>
      </c>
    </row>
    <row r="1902" spans="7:10" ht="35.450000000000003" hidden="1" customHeight="1">
      <c r="G1902" s="113"/>
      <c r="J1902" s="28">
        <f>IFERROR(VLOOKUP(TEXT(B1902,"0"),STOCK!A:H,7,0),1)</f>
        <v>1</v>
      </c>
    </row>
    <row r="1903" spans="7:10" ht="35.450000000000003" hidden="1" customHeight="1">
      <c r="G1903" s="113"/>
      <c r="J1903" s="28">
        <f>IFERROR(VLOOKUP(TEXT(B1903,"0"),STOCK!A:H,7,0),1)</f>
        <v>1</v>
      </c>
    </row>
    <row r="1904" spans="7:10" ht="35.450000000000003" hidden="1" customHeight="1">
      <c r="G1904" s="113"/>
      <c r="J1904" s="28">
        <f>IFERROR(VLOOKUP(TEXT(B1904,"0"),STOCK!A:H,7,0),1)</f>
        <v>1</v>
      </c>
    </row>
    <row r="1905" spans="7:10" ht="35.450000000000003" hidden="1" customHeight="1">
      <c r="G1905" s="113"/>
      <c r="J1905" s="28">
        <f>IFERROR(VLOOKUP(TEXT(B1905,"0"),STOCK!A:H,7,0),1)</f>
        <v>1</v>
      </c>
    </row>
    <row r="1906" spans="7:10" ht="35.450000000000003" hidden="1" customHeight="1">
      <c r="G1906" s="113"/>
      <c r="J1906" s="28">
        <f>IFERROR(VLOOKUP(TEXT(B1906,"0"),STOCK!A:H,7,0),1)</f>
        <v>1</v>
      </c>
    </row>
    <row r="1907" spans="7:10" ht="35.450000000000003" hidden="1" customHeight="1">
      <c r="G1907" s="113"/>
      <c r="J1907" s="28">
        <f>IFERROR(VLOOKUP(TEXT(B1907,"0"),STOCK!A:H,7,0),1)</f>
        <v>1</v>
      </c>
    </row>
    <row r="1908" spans="7:10" ht="35.450000000000003" hidden="1" customHeight="1">
      <c r="G1908" s="113"/>
      <c r="J1908" s="28">
        <f>IFERROR(VLOOKUP(TEXT(B1908,"0"),STOCK!A:H,7,0),1)</f>
        <v>1</v>
      </c>
    </row>
    <row r="1909" spans="7:10" ht="35.450000000000003" hidden="1" customHeight="1">
      <c r="G1909" s="113"/>
      <c r="J1909" s="28">
        <f>IFERROR(VLOOKUP(TEXT(B1909,"0"),STOCK!A:H,7,0),1)</f>
        <v>1</v>
      </c>
    </row>
    <row r="1910" spans="7:10" ht="35.450000000000003" hidden="1" customHeight="1">
      <c r="G1910" s="113"/>
      <c r="J1910" s="28">
        <f>IFERROR(VLOOKUP(TEXT(B1910,"0"),STOCK!A:H,7,0),1)</f>
        <v>1</v>
      </c>
    </row>
    <row r="1911" spans="7:10" ht="35.450000000000003" hidden="1" customHeight="1">
      <c r="G1911" s="113"/>
      <c r="J1911" s="28">
        <f>IFERROR(VLOOKUP(TEXT(B1911,"0"),STOCK!A:H,7,0),1)</f>
        <v>1</v>
      </c>
    </row>
    <row r="1912" spans="7:10" ht="35.450000000000003" hidden="1" customHeight="1">
      <c r="G1912" s="113"/>
      <c r="J1912" s="28">
        <f>IFERROR(VLOOKUP(TEXT(B1912,"0"),STOCK!A:H,7,0),1)</f>
        <v>1</v>
      </c>
    </row>
    <row r="1913" spans="7:10" ht="35.450000000000003" hidden="1" customHeight="1">
      <c r="G1913" s="113"/>
      <c r="J1913" s="28">
        <f>IFERROR(VLOOKUP(TEXT(B1913,"0"),STOCK!A:H,7,0),1)</f>
        <v>1</v>
      </c>
    </row>
    <row r="1914" spans="7:10" ht="35.450000000000003" hidden="1" customHeight="1">
      <c r="G1914" s="113"/>
      <c r="J1914" s="28">
        <f>IFERROR(VLOOKUP(TEXT(B1914,"0"),STOCK!A:H,7,0),1)</f>
        <v>1</v>
      </c>
    </row>
    <row r="1915" spans="7:10" ht="35.450000000000003" hidden="1" customHeight="1">
      <c r="G1915" s="113"/>
      <c r="J1915" s="28">
        <f>IFERROR(VLOOKUP(TEXT(B1915,"0"),STOCK!A:H,7,0),1)</f>
        <v>1</v>
      </c>
    </row>
    <row r="1916" spans="7:10" ht="35.450000000000003" hidden="1" customHeight="1">
      <c r="G1916" s="113"/>
      <c r="J1916" s="28">
        <f>IFERROR(VLOOKUP(TEXT(B1916,"0"),STOCK!A:H,7,0),1)</f>
        <v>1</v>
      </c>
    </row>
    <row r="1917" spans="7:10" ht="35.450000000000003" hidden="1" customHeight="1">
      <c r="G1917" s="113"/>
      <c r="J1917" s="28">
        <f>IFERROR(VLOOKUP(TEXT(B1917,"0"),STOCK!A:H,7,0),1)</f>
        <v>1</v>
      </c>
    </row>
    <row r="1918" spans="7:10" ht="35.450000000000003" hidden="1" customHeight="1">
      <c r="G1918" s="113"/>
      <c r="J1918" s="28">
        <f>IFERROR(VLOOKUP(TEXT(B1918,"0"),STOCK!A:H,7,0),1)</f>
        <v>1</v>
      </c>
    </row>
    <row r="1919" spans="7:10" ht="35.450000000000003" hidden="1" customHeight="1">
      <c r="G1919" s="113"/>
      <c r="J1919" s="28">
        <f>IFERROR(VLOOKUP(TEXT(B1919,"0"),STOCK!A:H,7,0),1)</f>
        <v>1</v>
      </c>
    </row>
    <row r="1920" spans="7:10" ht="35.450000000000003" hidden="1" customHeight="1">
      <c r="G1920" s="113"/>
      <c r="J1920" s="28">
        <f>IFERROR(VLOOKUP(TEXT(B1920,"0"),STOCK!A:H,7,0),1)</f>
        <v>1</v>
      </c>
    </row>
    <row r="1921" spans="7:10" ht="35.450000000000003" hidden="1" customHeight="1">
      <c r="G1921" s="113"/>
      <c r="J1921" s="28">
        <f>IFERROR(VLOOKUP(TEXT(B1921,"0"),STOCK!A:H,7,0),1)</f>
        <v>1</v>
      </c>
    </row>
    <row r="1922" spans="7:10" ht="35.450000000000003" hidden="1" customHeight="1">
      <c r="G1922" s="113"/>
      <c r="J1922" s="28">
        <f>IFERROR(VLOOKUP(TEXT(B1922,"0"),STOCK!A:H,7,0),1)</f>
        <v>1</v>
      </c>
    </row>
    <row r="1923" spans="7:10" ht="35.450000000000003" hidden="1" customHeight="1">
      <c r="G1923" s="113"/>
      <c r="J1923" s="28">
        <f>IFERROR(VLOOKUP(TEXT(B1923,"0"),STOCK!A:H,7,0),1)</f>
        <v>1</v>
      </c>
    </row>
    <row r="1924" spans="7:10" ht="35.450000000000003" hidden="1" customHeight="1">
      <c r="G1924" s="113"/>
      <c r="J1924" s="28">
        <f>IFERROR(VLOOKUP(TEXT(B1924,"0"),STOCK!A:H,7,0),1)</f>
        <v>1</v>
      </c>
    </row>
    <row r="1925" spans="7:10" ht="35.450000000000003" hidden="1" customHeight="1">
      <c r="G1925" s="113"/>
      <c r="J1925" s="28">
        <f>IFERROR(VLOOKUP(TEXT(B1925,"0"),STOCK!A:H,7,0),1)</f>
        <v>1</v>
      </c>
    </row>
    <row r="1926" spans="7:10" ht="35.450000000000003" hidden="1" customHeight="1">
      <c r="G1926" s="113"/>
      <c r="J1926" s="28">
        <f>IFERROR(VLOOKUP(TEXT(B1926,"0"),STOCK!A:H,7,0),1)</f>
        <v>1</v>
      </c>
    </row>
    <row r="1927" spans="7:10" ht="35.450000000000003" hidden="1" customHeight="1">
      <c r="G1927" s="113"/>
      <c r="J1927" s="28">
        <f>IFERROR(VLOOKUP(TEXT(B1927,"0"),STOCK!A:H,7,0),1)</f>
        <v>1</v>
      </c>
    </row>
    <row r="1928" spans="7:10" ht="35.450000000000003" hidden="1" customHeight="1">
      <c r="G1928" s="113"/>
      <c r="J1928" s="28">
        <f>IFERROR(VLOOKUP(TEXT(B1928,"0"),STOCK!A:H,7,0),1)</f>
        <v>1</v>
      </c>
    </row>
    <row r="1929" spans="7:10" ht="35.450000000000003" hidden="1" customHeight="1">
      <c r="G1929" s="113"/>
      <c r="J1929" s="28">
        <f>IFERROR(VLOOKUP(TEXT(B1929,"0"),STOCK!A:H,7,0),1)</f>
        <v>1</v>
      </c>
    </row>
    <row r="1930" spans="7:10" ht="35.450000000000003" hidden="1" customHeight="1">
      <c r="G1930" s="113"/>
      <c r="J1930" s="28">
        <f>IFERROR(VLOOKUP(TEXT(B1930,"0"),STOCK!A:H,7,0),1)</f>
        <v>1</v>
      </c>
    </row>
    <row r="1931" spans="7:10" ht="35.450000000000003" hidden="1" customHeight="1">
      <c r="G1931" s="113"/>
      <c r="J1931" s="28">
        <f>IFERROR(VLOOKUP(TEXT(B1931,"0"),STOCK!A:H,7,0),1)</f>
        <v>1</v>
      </c>
    </row>
    <row r="1932" spans="7:10" ht="35.450000000000003" hidden="1" customHeight="1">
      <c r="G1932" s="113"/>
      <c r="J1932" s="28">
        <f>IFERROR(VLOOKUP(TEXT(B1932,"0"),STOCK!A:H,7,0),1)</f>
        <v>1</v>
      </c>
    </row>
    <row r="1933" spans="7:10" ht="35.450000000000003" hidden="1" customHeight="1">
      <c r="G1933" s="113"/>
      <c r="J1933" s="28">
        <f>IFERROR(VLOOKUP(TEXT(B1933,"0"),STOCK!A:H,7,0),1)</f>
        <v>1</v>
      </c>
    </row>
    <row r="1934" spans="7:10" ht="35.450000000000003" hidden="1" customHeight="1">
      <c r="G1934" s="113"/>
      <c r="J1934" s="28">
        <f>IFERROR(VLOOKUP(TEXT(B1934,"0"),STOCK!A:H,7,0),1)</f>
        <v>1</v>
      </c>
    </row>
    <row r="1935" spans="7:10" ht="35.450000000000003" hidden="1" customHeight="1">
      <c r="G1935" s="113"/>
      <c r="J1935" s="28">
        <f>IFERROR(VLOOKUP(TEXT(B1935,"0"),STOCK!A:H,7,0),1)</f>
        <v>1</v>
      </c>
    </row>
    <row r="1936" spans="7:10" ht="35.450000000000003" hidden="1" customHeight="1">
      <c r="G1936" s="113"/>
      <c r="J1936" s="28">
        <f>IFERROR(VLOOKUP(TEXT(B1936,"0"),STOCK!A:H,7,0),1)</f>
        <v>1</v>
      </c>
    </row>
    <row r="1937" spans="7:10" ht="35.450000000000003" hidden="1" customHeight="1">
      <c r="G1937" s="113"/>
      <c r="J1937" s="28">
        <f>IFERROR(VLOOKUP(TEXT(B1937,"0"),STOCK!A:H,7,0),1)</f>
        <v>1</v>
      </c>
    </row>
    <row r="1938" spans="7:10" ht="35.450000000000003" hidden="1" customHeight="1">
      <c r="G1938" s="113"/>
      <c r="J1938" s="28">
        <f>IFERROR(VLOOKUP(TEXT(B1938,"0"),STOCK!A:H,7,0),1)</f>
        <v>1</v>
      </c>
    </row>
    <row r="1939" spans="7:10" ht="35.450000000000003" hidden="1" customHeight="1">
      <c r="G1939" s="113"/>
      <c r="J1939" s="28">
        <f>IFERROR(VLOOKUP(TEXT(B1939,"0"),STOCK!A:H,7,0),1)</f>
        <v>1</v>
      </c>
    </row>
    <row r="1940" spans="7:10" ht="35.450000000000003" hidden="1" customHeight="1">
      <c r="G1940" s="113"/>
      <c r="J1940" s="28">
        <f>IFERROR(VLOOKUP(TEXT(B1940,"0"),STOCK!A:H,7,0),1)</f>
        <v>1</v>
      </c>
    </row>
    <row r="1941" spans="7:10" ht="35.450000000000003" hidden="1" customHeight="1">
      <c r="G1941" s="113"/>
      <c r="J1941" s="28">
        <f>IFERROR(VLOOKUP(TEXT(B1941,"0"),STOCK!A:H,7,0),1)</f>
        <v>1</v>
      </c>
    </row>
    <row r="1942" spans="7:10" ht="35.450000000000003" hidden="1" customHeight="1">
      <c r="G1942" s="113"/>
      <c r="J1942" s="28">
        <f>IFERROR(VLOOKUP(TEXT(B1942,"0"),STOCK!A:H,7,0),1)</f>
        <v>1</v>
      </c>
    </row>
    <row r="1943" spans="7:10" ht="35.450000000000003" hidden="1" customHeight="1">
      <c r="G1943" s="113"/>
      <c r="J1943" s="28">
        <f>IFERROR(VLOOKUP(TEXT(B1943,"0"),STOCK!A:H,7,0),1)</f>
        <v>1</v>
      </c>
    </row>
    <row r="1944" spans="7:10" ht="35.450000000000003" hidden="1" customHeight="1">
      <c r="G1944" s="113"/>
      <c r="J1944" s="28">
        <f>IFERROR(VLOOKUP(TEXT(B1944,"0"),STOCK!A:H,7,0),1)</f>
        <v>1</v>
      </c>
    </row>
    <row r="1945" spans="7:10" ht="35.450000000000003" hidden="1" customHeight="1">
      <c r="G1945" s="113"/>
      <c r="J1945" s="28">
        <f>IFERROR(VLOOKUP(TEXT(B1945,"0"),STOCK!A:H,7,0),1)</f>
        <v>1</v>
      </c>
    </row>
    <row r="1946" spans="7:10" ht="35.450000000000003" hidden="1" customHeight="1">
      <c r="G1946" s="113"/>
      <c r="J1946" s="28">
        <f>IFERROR(VLOOKUP(TEXT(B1946,"0"),STOCK!A:H,7,0),1)</f>
        <v>1</v>
      </c>
    </row>
    <row r="1947" spans="7:10" ht="35.450000000000003" hidden="1" customHeight="1">
      <c r="G1947" s="113"/>
      <c r="J1947" s="28">
        <f>IFERROR(VLOOKUP(TEXT(B1947,"0"),STOCK!A:H,7,0),1)</f>
        <v>1</v>
      </c>
    </row>
    <row r="1948" spans="7:10" ht="35.450000000000003" hidden="1" customHeight="1">
      <c r="G1948" s="113"/>
      <c r="J1948" s="28">
        <f>IFERROR(VLOOKUP(TEXT(B1948,"0"),STOCK!A:H,7,0),1)</f>
        <v>1</v>
      </c>
    </row>
    <row r="1949" spans="7:10" ht="35.450000000000003" hidden="1" customHeight="1">
      <c r="G1949" s="113"/>
      <c r="J1949" s="28">
        <f>IFERROR(VLOOKUP(TEXT(B1949,"0"),STOCK!A:H,7,0),1)</f>
        <v>1</v>
      </c>
    </row>
    <row r="1950" spans="7:10" ht="35.450000000000003" hidden="1" customHeight="1">
      <c r="G1950" s="113"/>
      <c r="J1950" s="28">
        <f>IFERROR(VLOOKUP(TEXT(B1950,"0"),STOCK!A:H,7,0),1)</f>
        <v>1</v>
      </c>
    </row>
    <row r="1951" spans="7:10" ht="35.450000000000003" hidden="1" customHeight="1">
      <c r="G1951" s="113"/>
      <c r="J1951" s="28">
        <f>IFERROR(VLOOKUP(TEXT(B1951,"0"),STOCK!A:H,7,0),1)</f>
        <v>1</v>
      </c>
    </row>
    <row r="1952" spans="7:10" ht="35.450000000000003" hidden="1" customHeight="1">
      <c r="G1952" s="113"/>
      <c r="J1952" s="28">
        <f>IFERROR(VLOOKUP(TEXT(B1952,"0"),STOCK!A:H,7,0),1)</f>
        <v>1</v>
      </c>
    </row>
    <row r="1953" spans="7:10" ht="35.450000000000003" hidden="1" customHeight="1">
      <c r="G1953" s="113"/>
      <c r="J1953" s="28">
        <f>IFERROR(VLOOKUP(TEXT(B1953,"0"),STOCK!A:H,7,0),1)</f>
        <v>1</v>
      </c>
    </row>
    <row r="1954" spans="7:10" ht="35.450000000000003" hidden="1" customHeight="1">
      <c r="G1954" s="113"/>
      <c r="J1954" s="28">
        <f>IFERROR(VLOOKUP(TEXT(B1954,"0"),STOCK!A:H,7,0),1)</f>
        <v>1</v>
      </c>
    </row>
    <row r="1955" spans="7:10" ht="35.450000000000003" hidden="1" customHeight="1">
      <c r="G1955" s="113"/>
      <c r="J1955" s="28">
        <f>IFERROR(VLOOKUP(TEXT(B1955,"0"),STOCK!A:H,7,0),1)</f>
        <v>1</v>
      </c>
    </row>
    <row r="1956" spans="7:10" ht="35.450000000000003" hidden="1" customHeight="1">
      <c r="G1956" s="113"/>
      <c r="J1956" s="28">
        <f>IFERROR(VLOOKUP(TEXT(B1956,"0"),STOCK!A:H,7,0),1)</f>
        <v>1</v>
      </c>
    </row>
    <row r="1957" spans="7:10" ht="35.450000000000003" hidden="1" customHeight="1">
      <c r="G1957" s="113"/>
      <c r="J1957" s="28">
        <f>IFERROR(VLOOKUP(TEXT(B1957,"0"),STOCK!A:H,7,0),1)</f>
        <v>1</v>
      </c>
    </row>
    <row r="1958" spans="7:10" ht="35.450000000000003" hidden="1" customHeight="1">
      <c r="G1958" s="113"/>
      <c r="J1958" s="28">
        <f>IFERROR(VLOOKUP(TEXT(B1958,"0"),STOCK!A:H,7,0),1)</f>
        <v>1</v>
      </c>
    </row>
    <row r="1959" spans="7:10" ht="35.450000000000003" hidden="1" customHeight="1">
      <c r="G1959" s="113"/>
      <c r="J1959" s="28">
        <f>IFERROR(VLOOKUP(TEXT(B1959,"0"),STOCK!A:H,7,0),1)</f>
        <v>1</v>
      </c>
    </row>
    <row r="1960" spans="7:10" ht="35.450000000000003" hidden="1" customHeight="1">
      <c r="G1960" s="113"/>
      <c r="J1960" s="28">
        <f>IFERROR(VLOOKUP(TEXT(B1960,"0"),STOCK!A:H,7,0),1)</f>
        <v>1</v>
      </c>
    </row>
    <row r="1961" spans="7:10" ht="35.450000000000003" hidden="1" customHeight="1">
      <c r="G1961" s="113"/>
      <c r="J1961" s="28">
        <f>IFERROR(VLOOKUP(TEXT(B1961,"0"),STOCK!A:H,7,0),1)</f>
        <v>1</v>
      </c>
    </row>
    <row r="1962" spans="7:10" ht="35.450000000000003" hidden="1" customHeight="1">
      <c r="G1962" s="113"/>
      <c r="J1962" s="28">
        <f>IFERROR(VLOOKUP(TEXT(B1962,"0"),STOCK!A:H,7,0),1)</f>
        <v>1</v>
      </c>
    </row>
    <row r="1963" spans="7:10" ht="35.450000000000003" hidden="1" customHeight="1">
      <c r="G1963" s="113"/>
      <c r="J1963" s="28">
        <f>IFERROR(VLOOKUP(TEXT(B1963,"0"),STOCK!A:H,7,0),1)</f>
        <v>1</v>
      </c>
    </row>
    <row r="1964" spans="7:10" ht="35.450000000000003" hidden="1" customHeight="1">
      <c r="G1964" s="113"/>
      <c r="J1964" s="28">
        <f>IFERROR(VLOOKUP(TEXT(B1964,"0"),STOCK!A:H,7,0),1)</f>
        <v>1</v>
      </c>
    </row>
    <row r="1965" spans="7:10" ht="35.450000000000003" hidden="1" customHeight="1">
      <c r="G1965" s="113"/>
      <c r="J1965" s="28">
        <f>IFERROR(VLOOKUP(TEXT(B1965,"0"),STOCK!A:H,7,0),1)</f>
        <v>1</v>
      </c>
    </row>
    <row r="1966" spans="7:10" ht="35.450000000000003" hidden="1" customHeight="1">
      <c r="G1966" s="113"/>
      <c r="J1966" s="28">
        <f>IFERROR(VLOOKUP(TEXT(B1966,"0"),STOCK!A:H,7,0),1)</f>
        <v>1</v>
      </c>
    </row>
    <row r="1967" spans="7:10" ht="35.450000000000003" hidden="1" customHeight="1">
      <c r="G1967" s="113"/>
      <c r="J1967" s="28">
        <f>IFERROR(VLOOKUP(TEXT(B1967,"0"),STOCK!A:H,7,0),1)</f>
        <v>1</v>
      </c>
    </row>
    <row r="1968" spans="7:10" ht="35.450000000000003" hidden="1" customHeight="1">
      <c r="G1968" s="113"/>
      <c r="J1968" s="28">
        <f>IFERROR(VLOOKUP(TEXT(B1968,"0"),STOCK!A:H,7,0),1)</f>
        <v>1</v>
      </c>
    </row>
    <row r="1969" spans="7:10" ht="35.450000000000003" hidden="1" customHeight="1">
      <c r="G1969" s="113"/>
      <c r="J1969" s="28">
        <f>IFERROR(VLOOKUP(TEXT(B1969,"0"),STOCK!A:H,7,0),1)</f>
        <v>1</v>
      </c>
    </row>
    <row r="1970" spans="7:10" ht="35.450000000000003" hidden="1" customHeight="1">
      <c r="G1970" s="113"/>
      <c r="J1970" s="28">
        <f>IFERROR(VLOOKUP(TEXT(B1970,"0"),STOCK!A:H,7,0),1)</f>
        <v>1</v>
      </c>
    </row>
    <row r="1971" spans="7:10" ht="35.450000000000003" hidden="1" customHeight="1">
      <c r="G1971" s="113"/>
      <c r="J1971" s="28">
        <f>IFERROR(VLOOKUP(TEXT(B1971,"0"),STOCK!A:H,7,0),1)</f>
        <v>1</v>
      </c>
    </row>
    <row r="1972" spans="7:10" ht="35.450000000000003" hidden="1" customHeight="1">
      <c r="G1972" s="113"/>
      <c r="J1972" s="28">
        <f>IFERROR(VLOOKUP(TEXT(B1972,"0"),STOCK!A:H,7,0),1)</f>
        <v>1</v>
      </c>
    </row>
    <row r="1973" spans="7:10" ht="35.450000000000003" hidden="1" customHeight="1">
      <c r="G1973" s="113"/>
      <c r="J1973" s="28">
        <f>IFERROR(VLOOKUP(TEXT(B1973,"0"),STOCK!A:H,7,0),1)</f>
        <v>1</v>
      </c>
    </row>
    <row r="1974" spans="7:10" ht="35.450000000000003" hidden="1" customHeight="1">
      <c r="G1974" s="113"/>
      <c r="J1974" s="28">
        <f>IFERROR(VLOOKUP(TEXT(B1974,"0"),STOCK!A:H,7,0),1)</f>
        <v>1</v>
      </c>
    </row>
    <row r="1975" spans="7:10" ht="35.450000000000003" hidden="1" customHeight="1">
      <c r="G1975" s="113"/>
      <c r="J1975" s="28">
        <f>IFERROR(VLOOKUP(TEXT(B1975,"0"),STOCK!A:H,7,0),1)</f>
        <v>1</v>
      </c>
    </row>
    <row r="1976" spans="7:10" ht="35.450000000000003" hidden="1" customHeight="1">
      <c r="G1976" s="113"/>
      <c r="J1976" s="28">
        <f>IFERROR(VLOOKUP(TEXT(B1976,"0"),STOCK!A:H,7,0),1)</f>
        <v>1</v>
      </c>
    </row>
    <row r="1977" spans="7:10" ht="35.450000000000003" hidden="1" customHeight="1">
      <c r="G1977" s="113"/>
      <c r="J1977" s="28">
        <f>IFERROR(VLOOKUP(TEXT(B1977,"0"),STOCK!A:H,7,0),1)</f>
        <v>1</v>
      </c>
    </row>
    <row r="1978" spans="7:10" ht="35.450000000000003" hidden="1" customHeight="1">
      <c r="G1978" s="113"/>
      <c r="J1978" s="28">
        <f>IFERROR(VLOOKUP(TEXT(B1978,"0"),STOCK!A:H,7,0),1)</f>
        <v>1</v>
      </c>
    </row>
    <row r="1979" spans="7:10" ht="35.450000000000003" hidden="1" customHeight="1">
      <c r="G1979" s="113"/>
      <c r="J1979" s="28">
        <f>IFERROR(VLOOKUP(TEXT(B1979,"0"),STOCK!A:H,7,0),1)</f>
        <v>1</v>
      </c>
    </row>
    <row r="1980" spans="7:10" ht="35.450000000000003" hidden="1" customHeight="1">
      <c r="G1980" s="113"/>
      <c r="J1980" s="28">
        <f>IFERROR(VLOOKUP(TEXT(B1980,"0"),STOCK!A:H,7,0),1)</f>
        <v>1</v>
      </c>
    </row>
    <row r="1981" spans="7:10" ht="35.450000000000003" hidden="1" customHeight="1">
      <c r="G1981" s="113"/>
      <c r="J1981" s="28">
        <f>IFERROR(VLOOKUP(TEXT(B1981,"0"),STOCK!A:H,7,0),1)</f>
        <v>1</v>
      </c>
    </row>
    <row r="1982" spans="7:10" ht="35.450000000000003" hidden="1" customHeight="1">
      <c r="G1982" s="113"/>
      <c r="J1982" s="28">
        <f>IFERROR(VLOOKUP(TEXT(B1982,"0"),STOCK!A:H,7,0),1)</f>
        <v>1</v>
      </c>
    </row>
    <row r="1983" spans="7:10" ht="35.450000000000003" hidden="1" customHeight="1">
      <c r="G1983" s="113"/>
      <c r="J1983" s="28">
        <f>IFERROR(VLOOKUP(TEXT(B1983,"0"),STOCK!A:H,7,0),1)</f>
        <v>1</v>
      </c>
    </row>
    <row r="1984" spans="7:10" ht="35.450000000000003" hidden="1" customHeight="1">
      <c r="G1984" s="113"/>
      <c r="J1984" s="28">
        <f>IFERROR(VLOOKUP(TEXT(B1984,"0"),STOCK!A:H,7,0),1)</f>
        <v>1</v>
      </c>
    </row>
    <row r="1985" spans="7:10" ht="35.450000000000003" hidden="1" customHeight="1">
      <c r="G1985" s="113"/>
      <c r="J1985" s="28">
        <f>IFERROR(VLOOKUP(TEXT(B1985,"0"),STOCK!A:H,7,0),1)</f>
        <v>1</v>
      </c>
    </row>
    <row r="1986" spans="7:10" ht="35.450000000000003" hidden="1" customHeight="1">
      <c r="G1986" s="113"/>
      <c r="J1986" s="28">
        <f>IFERROR(VLOOKUP(TEXT(B1986,"0"),STOCK!A:H,7,0),1)</f>
        <v>1</v>
      </c>
    </row>
    <row r="1987" spans="7:10" ht="35.450000000000003" hidden="1" customHeight="1">
      <c r="G1987" s="113"/>
      <c r="J1987" s="28">
        <f>IFERROR(VLOOKUP(TEXT(B1987,"0"),STOCK!A:H,7,0),1)</f>
        <v>1</v>
      </c>
    </row>
    <row r="1988" spans="7:10" ht="35.450000000000003" hidden="1" customHeight="1">
      <c r="G1988" s="113"/>
      <c r="J1988" s="28">
        <f>IFERROR(VLOOKUP(TEXT(B1988,"0"),STOCK!A:H,7,0),1)</f>
        <v>1</v>
      </c>
    </row>
    <row r="1989" spans="7:10" ht="35.450000000000003" hidden="1" customHeight="1">
      <c r="G1989" s="113"/>
      <c r="J1989" s="28">
        <f>IFERROR(VLOOKUP(TEXT(B1989,"0"),STOCK!A:H,7,0),1)</f>
        <v>1</v>
      </c>
    </row>
    <row r="1990" spans="7:10" ht="35.450000000000003" hidden="1" customHeight="1">
      <c r="G1990" s="113"/>
      <c r="J1990" s="28">
        <f>IFERROR(VLOOKUP(TEXT(B1990,"0"),STOCK!A:H,7,0),1)</f>
        <v>1</v>
      </c>
    </row>
    <row r="1991" spans="7:10" ht="35.450000000000003" hidden="1" customHeight="1">
      <c r="G1991" s="113"/>
      <c r="J1991" s="28">
        <f>IFERROR(VLOOKUP(TEXT(B1991,"0"),STOCK!A:H,7,0),1)</f>
        <v>1</v>
      </c>
    </row>
    <row r="1992" spans="7:10" ht="35.450000000000003" hidden="1" customHeight="1">
      <c r="G1992" s="113"/>
      <c r="J1992" s="28">
        <f>IFERROR(VLOOKUP(TEXT(B1992,"0"),STOCK!A:H,7,0),1)</f>
        <v>1</v>
      </c>
    </row>
    <row r="1993" spans="7:10" ht="35.450000000000003" hidden="1" customHeight="1">
      <c r="G1993" s="113"/>
      <c r="J1993" s="28">
        <f>IFERROR(VLOOKUP(TEXT(B1993,"0"),STOCK!A:H,7,0),1)</f>
        <v>1</v>
      </c>
    </row>
    <row r="1994" spans="7:10" ht="35.450000000000003" hidden="1" customHeight="1">
      <c r="G1994" s="113"/>
      <c r="J1994" s="28">
        <f>IFERROR(VLOOKUP(TEXT(B1994,"0"),STOCK!A:H,7,0),1)</f>
        <v>1</v>
      </c>
    </row>
    <row r="1995" spans="7:10" ht="35.450000000000003" hidden="1" customHeight="1">
      <c r="G1995" s="113"/>
      <c r="J1995" s="28">
        <f>IFERROR(VLOOKUP(TEXT(B1995,"0"),STOCK!A:H,7,0),1)</f>
        <v>1</v>
      </c>
    </row>
    <row r="1996" spans="7:10" ht="35.450000000000003" hidden="1" customHeight="1">
      <c r="G1996" s="113"/>
      <c r="J1996" s="28">
        <f>IFERROR(VLOOKUP(TEXT(B1996,"0"),STOCK!A:H,7,0),1)</f>
        <v>1</v>
      </c>
    </row>
    <row r="1997" spans="7:10" ht="35.450000000000003" hidden="1" customHeight="1">
      <c r="G1997" s="113"/>
      <c r="J1997" s="28">
        <f>IFERROR(VLOOKUP(TEXT(B1997,"0"),STOCK!A:H,7,0),1)</f>
        <v>1</v>
      </c>
    </row>
    <row r="1998" spans="7:10" ht="35.450000000000003" hidden="1" customHeight="1">
      <c r="G1998" s="113"/>
      <c r="J1998" s="28">
        <f>IFERROR(VLOOKUP(TEXT(B1998,"0"),STOCK!A:H,7,0),1)</f>
        <v>1</v>
      </c>
    </row>
    <row r="1999" spans="7:10" ht="35.450000000000003" hidden="1" customHeight="1">
      <c r="G1999" s="113"/>
      <c r="J1999" s="28">
        <f>IFERROR(VLOOKUP(TEXT(B1999,"0"),STOCK!A:H,7,0),1)</f>
        <v>1</v>
      </c>
    </row>
    <row r="2000" spans="7:10" ht="35.450000000000003" hidden="1" customHeight="1">
      <c r="G2000" s="113"/>
      <c r="J2000" s="28">
        <f>IFERROR(VLOOKUP(TEXT(B2000,"0"),STOCK!A:H,7,0),1)</f>
        <v>1</v>
      </c>
    </row>
    <row r="2001" spans="7:10" ht="35.450000000000003" hidden="1" customHeight="1">
      <c r="G2001" s="113"/>
      <c r="J2001" s="28">
        <f>IFERROR(VLOOKUP(TEXT(B2001,"0"),STOCK!A:H,7,0),1)</f>
        <v>1</v>
      </c>
    </row>
    <row r="2002" spans="7:10" ht="35.450000000000003" hidden="1" customHeight="1">
      <c r="G2002" s="113"/>
      <c r="J2002" s="28">
        <f>IFERROR(VLOOKUP(TEXT(B2002,"0"),STOCK!A:H,7,0),1)</f>
        <v>1</v>
      </c>
    </row>
    <row r="2003" spans="7:10" ht="35.450000000000003" hidden="1" customHeight="1">
      <c r="G2003" s="113"/>
      <c r="J2003" s="28">
        <f>IFERROR(VLOOKUP(TEXT(B2003,"0"),STOCK!A:H,7,0),1)</f>
        <v>1</v>
      </c>
    </row>
    <row r="2004" spans="7:10" ht="35.450000000000003" hidden="1" customHeight="1">
      <c r="G2004" s="113"/>
      <c r="J2004" s="28">
        <f>IFERROR(VLOOKUP(TEXT(B2004,"0"),STOCK!A:H,7,0),1)</f>
        <v>1</v>
      </c>
    </row>
    <row r="2005" spans="7:10" ht="35.450000000000003" hidden="1" customHeight="1">
      <c r="G2005" s="113"/>
      <c r="J2005" s="28">
        <f>IFERROR(VLOOKUP(TEXT(B2005,"0"),STOCK!A:H,7,0),1)</f>
        <v>1</v>
      </c>
    </row>
    <row r="2006" spans="7:10" ht="35.450000000000003" hidden="1" customHeight="1">
      <c r="G2006" s="113"/>
      <c r="J2006" s="28">
        <f>IFERROR(VLOOKUP(TEXT(B2006,"0"),STOCK!A:H,7,0),1)</f>
        <v>1</v>
      </c>
    </row>
    <row r="2007" spans="7:10" ht="35.450000000000003" hidden="1" customHeight="1">
      <c r="G2007" s="113"/>
      <c r="J2007" s="28">
        <f>IFERROR(VLOOKUP(TEXT(B2007,"0"),STOCK!A:H,7,0),1)</f>
        <v>1</v>
      </c>
    </row>
    <row r="2008" spans="7:10" ht="35.450000000000003" hidden="1" customHeight="1">
      <c r="G2008" s="113"/>
      <c r="J2008" s="28">
        <f>IFERROR(VLOOKUP(TEXT(B2008,"0"),STOCK!A:H,7,0),1)</f>
        <v>1</v>
      </c>
    </row>
    <row r="2009" spans="7:10" ht="35.450000000000003" hidden="1" customHeight="1">
      <c r="G2009" s="113"/>
      <c r="J2009" s="28">
        <f>IFERROR(VLOOKUP(TEXT(B2009,"0"),STOCK!A:H,7,0),1)</f>
        <v>1</v>
      </c>
    </row>
    <row r="2010" spans="7:10" ht="35.450000000000003" hidden="1" customHeight="1">
      <c r="G2010" s="113"/>
      <c r="J2010" s="28">
        <f>IFERROR(VLOOKUP(TEXT(B2010,"0"),STOCK!A:H,7,0),1)</f>
        <v>1</v>
      </c>
    </row>
    <row r="2011" spans="7:10" ht="35.450000000000003" hidden="1" customHeight="1">
      <c r="G2011" s="113"/>
      <c r="J2011" s="28">
        <f>IFERROR(VLOOKUP(TEXT(B2011,"0"),STOCK!A:H,7,0),1)</f>
        <v>1</v>
      </c>
    </row>
    <row r="2012" spans="7:10" ht="35.450000000000003" hidden="1" customHeight="1">
      <c r="G2012" s="113"/>
      <c r="J2012" s="28">
        <f>IFERROR(VLOOKUP(TEXT(B2012,"0"),STOCK!A:H,7,0),1)</f>
        <v>1</v>
      </c>
    </row>
    <row r="2013" spans="7:10" ht="35.450000000000003" hidden="1" customHeight="1">
      <c r="G2013" s="113"/>
      <c r="J2013" s="28">
        <f>IFERROR(VLOOKUP(TEXT(B2013,"0"),STOCK!A:H,7,0),1)</f>
        <v>1</v>
      </c>
    </row>
    <row r="2014" spans="7:10" ht="35.450000000000003" hidden="1" customHeight="1">
      <c r="G2014" s="113"/>
      <c r="J2014" s="28">
        <f>IFERROR(VLOOKUP(TEXT(B2014,"0"),STOCK!A:H,7,0),1)</f>
        <v>1</v>
      </c>
    </row>
    <row r="2015" spans="7:10" ht="35.450000000000003" hidden="1" customHeight="1">
      <c r="G2015" s="113"/>
      <c r="J2015" s="28">
        <f>IFERROR(VLOOKUP(TEXT(B2015,"0"),STOCK!A:H,7,0),1)</f>
        <v>1</v>
      </c>
    </row>
    <row r="2016" spans="7:10" ht="35.450000000000003" hidden="1" customHeight="1">
      <c r="G2016" s="113"/>
      <c r="J2016" s="28">
        <f>IFERROR(VLOOKUP(TEXT(B2016,"0"),STOCK!A:H,7,0),1)</f>
        <v>1</v>
      </c>
    </row>
    <row r="2017" spans="7:10" ht="35.450000000000003" hidden="1" customHeight="1">
      <c r="G2017" s="113"/>
      <c r="J2017" s="28">
        <f>IFERROR(VLOOKUP(TEXT(B2017,"0"),STOCK!A:H,7,0),1)</f>
        <v>1</v>
      </c>
    </row>
    <row r="2018" spans="7:10" ht="35.450000000000003" hidden="1" customHeight="1">
      <c r="G2018" s="113"/>
      <c r="J2018" s="28">
        <f>IFERROR(VLOOKUP(TEXT(B2018,"0"),STOCK!A:H,7,0),1)</f>
        <v>1</v>
      </c>
    </row>
    <row r="2019" spans="7:10" ht="35.450000000000003" hidden="1" customHeight="1">
      <c r="G2019" s="113"/>
      <c r="J2019" s="28">
        <f>IFERROR(VLOOKUP(TEXT(B2019,"0"),STOCK!A:H,7,0),1)</f>
        <v>1</v>
      </c>
    </row>
    <row r="2020" spans="7:10" ht="35.450000000000003" hidden="1" customHeight="1">
      <c r="G2020" s="113"/>
      <c r="J2020" s="28">
        <f>IFERROR(VLOOKUP(TEXT(B2020,"0"),STOCK!A:H,7,0),1)</f>
        <v>1</v>
      </c>
    </row>
    <row r="2021" spans="7:10" ht="35.450000000000003" hidden="1" customHeight="1">
      <c r="G2021" s="113"/>
      <c r="J2021" s="28">
        <f>IFERROR(VLOOKUP(TEXT(B2021,"0"),STOCK!A:H,7,0),1)</f>
        <v>1</v>
      </c>
    </row>
    <row r="2022" spans="7:10" ht="35.450000000000003" hidden="1" customHeight="1">
      <c r="G2022" s="113"/>
      <c r="J2022" s="28">
        <f>IFERROR(VLOOKUP(TEXT(B2022,"0"),STOCK!A:H,7,0),1)</f>
        <v>1</v>
      </c>
    </row>
    <row r="2023" spans="7:10" ht="35.450000000000003" hidden="1" customHeight="1">
      <c r="G2023" s="113"/>
      <c r="J2023" s="28">
        <f>IFERROR(VLOOKUP(TEXT(B2023,"0"),STOCK!A:H,7,0),1)</f>
        <v>1</v>
      </c>
    </row>
    <row r="2024" spans="7:10" ht="35.450000000000003" hidden="1" customHeight="1">
      <c r="G2024" s="113"/>
      <c r="J2024" s="28">
        <f>IFERROR(VLOOKUP(TEXT(B2024,"0"),STOCK!A:H,7,0),1)</f>
        <v>1</v>
      </c>
    </row>
    <row r="2025" spans="7:10" ht="35.450000000000003" hidden="1" customHeight="1">
      <c r="G2025" s="113"/>
      <c r="J2025" s="28">
        <f>IFERROR(VLOOKUP(TEXT(B2025,"0"),STOCK!A:H,7,0),1)</f>
        <v>1</v>
      </c>
    </row>
    <row r="2026" spans="7:10" ht="35.450000000000003" hidden="1" customHeight="1">
      <c r="G2026" s="113"/>
      <c r="J2026" s="28">
        <f>IFERROR(VLOOKUP(TEXT(B2026,"0"),STOCK!A:H,7,0),1)</f>
        <v>1</v>
      </c>
    </row>
    <row r="2027" spans="7:10" ht="35.450000000000003" hidden="1" customHeight="1">
      <c r="G2027" s="113"/>
      <c r="J2027" s="28">
        <f>IFERROR(VLOOKUP(TEXT(B2027,"0"),STOCK!A:H,7,0),1)</f>
        <v>1</v>
      </c>
    </row>
    <row r="2028" spans="7:10" ht="35.450000000000003" hidden="1" customHeight="1">
      <c r="G2028" s="113"/>
      <c r="J2028" s="28">
        <f>IFERROR(VLOOKUP(TEXT(B2028,"0"),STOCK!A:H,7,0),1)</f>
        <v>1</v>
      </c>
    </row>
    <row r="2029" spans="7:10" ht="35.450000000000003" hidden="1" customHeight="1">
      <c r="G2029" s="113"/>
      <c r="J2029" s="28">
        <f>IFERROR(VLOOKUP(TEXT(B2029,"0"),STOCK!A:H,7,0),1)</f>
        <v>1</v>
      </c>
    </row>
    <row r="2030" spans="7:10" ht="35.450000000000003" hidden="1" customHeight="1">
      <c r="G2030" s="113"/>
      <c r="J2030" s="28">
        <f>IFERROR(VLOOKUP(TEXT(B2030,"0"),STOCK!A:H,7,0),1)</f>
        <v>1</v>
      </c>
    </row>
    <row r="2031" spans="7:10" ht="35.450000000000003" hidden="1" customHeight="1">
      <c r="G2031" s="113"/>
      <c r="J2031" s="28">
        <f>IFERROR(VLOOKUP(TEXT(B2031,"0"),STOCK!A:H,7,0),1)</f>
        <v>1</v>
      </c>
    </row>
    <row r="2032" spans="7:10" ht="35.450000000000003" hidden="1" customHeight="1">
      <c r="G2032" s="113"/>
      <c r="J2032" s="28">
        <f>IFERROR(VLOOKUP(TEXT(B2032,"0"),STOCK!A:H,7,0),1)</f>
        <v>1</v>
      </c>
    </row>
    <row r="2033" spans="7:10" ht="35.450000000000003" hidden="1" customHeight="1">
      <c r="G2033" s="113"/>
      <c r="J2033" s="28">
        <f>IFERROR(VLOOKUP(TEXT(B2033,"0"),STOCK!A:H,7,0),1)</f>
        <v>1</v>
      </c>
    </row>
    <row r="2034" spans="7:10" ht="35.450000000000003" hidden="1" customHeight="1">
      <c r="G2034" s="113"/>
      <c r="J2034" s="28">
        <f>IFERROR(VLOOKUP(TEXT(B2034,"0"),STOCK!A:H,7,0),1)</f>
        <v>1</v>
      </c>
    </row>
    <row r="2035" spans="7:10" ht="35.450000000000003" hidden="1" customHeight="1">
      <c r="G2035" s="113"/>
      <c r="J2035" s="28">
        <f>IFERROR(VLOOKUP(TEXT(B2035,"0"),STOCK!A:H,7,0),1)</f>
        <v>1</v>
      </c>
    </row>
    <row r="2036" spans="7:10" ht="35.450000000000003" hidden="1" customHeight="1">
      <c r="G2036" s="113"/>
      <c r="J2036" s="28">
        <f>IFERROR(VLOOKUP(TEXT(B2036,"0"),STOCK!A:H,7,0),1)</f>
        <v>1</v>
      </c>
    </row>
    <row r="2037" spans="7:10" ht="35.450000000000003" hidden="1" customHeight="1">
      <c r="G2037" s="113"/>
      <c r="J2037" s="28">
        <f>IFERROR(VLOOKUP(TEXT(B2037,"0"),STOCK!A:H,7,0),1)</f>
        <v>1</v>
      </c>
    </row>
    <row r="2038" spans="7:10" ht="35.450000000000003" hidden="1" customHeight="1">
      <c r="G2038" s="113"/>
      <c r="J2038" s="28">
        <f>IFERROR(VLOOKUP(TEXT(B2038,"0"),STOCK!A:H,7,0),1)</f>
        <v>1</v>
      </c>
    </row>
    <row r="2039" spans="7:10" ht="35.450000000000003" hidden="1" customHeight="1">
      <c r="G2039" s="113"/>
      <c r="J2039" s="28">
        <f>IFERROR(VLOOKUP(TEXT(B2039,"0"),STOCK!A:H,7,0),1)</f>
        <v>1</v>
      </c>
    </row>
    <row r="2040" spans="7:10" ht="35.450000000000003" hidden="1" customHeight="1">
      <c r="G2040" s="113"/>
      <c r="J2040" s="28">
        <f>IFERROR(VLOOKUP(TEXT(B2040,"0"),STOCK!A:H,7,0),1)</f>
        <v>1</v>
      </c>
    </row>
    <row r="2041" spans="7:10" ht="35.450000000000003" hidden="1" customHeight="1">
      <c r="G2041" s="113"/>
      <c r="J2041" s="28">
        <f>IFERROR(VLOOKUP(TEXT(B2041,"0"),STOCK!A:H,7,0),1)</f>
        <v>1</v>
      </c>
    </row>
    <row r="2042" spans="7:10" ht="35.450000000000003" hidden="1" customHeight="1">
      <c r="G2042" s="113"/>
      <c r="J2042" s="28">
        <f>IFERROR(VLOOKUP(TEXT(B2042,"0"),STOCK!A:H,7,0),1)</f>
        <v>1</v>
      </c>
    </row>
    <row r="2043" spans="7:10" ht="35.450000000000003" hidden="1" customHeight="1">
      <c r="G2043" s="113"/>
      <c r="J2043" s="28">
        <f>IFERROR(VLOOKUP(TEXT(B2043,"0"),STOCK!A:H,7,0),1)</f>
        <v>1</v>
      </c>
    </row>
    <row r="2044" spans="7:10" ht="35.450000000000003" hidden="1" customHeight="1">
      <c r="G2044" s="113"/>
      <c r="J2044" s="28">
        <f>IFERROR(VLOOKUP(TEXT(B2044,"0"),STOCK!A:H,7,0),1)</f>
        <v>1</v>
      </c>
    </row>
    <row r="2045" spans="7:10" ht="35.450000000000003" hidden="1" customHeight="1">
      <c r="G2045" s="113"/>
      <c r="J2045" s="28">
        <f>IFERROR(VLOOKUP(TEXT(B2045,"0"),STOCK!A:H,7,0),1)</f>
        <v>1</v>
      </c>
    </row>
    <row r="2046" spans="7:10" ht="35.450000000000003" hidden="1" customHeight="1">
      <c r="G2046" s="113"/>
      <c r="J2046" s="28">
        <f>IFERROR(VLOOKUP(TEXT(B2046,"0"),STOCK!A:H,7,0),1)</f>
        <v>1</v>
      </c>
    </row>
    <row r="2047" spans="7:10" ht="35.450000000000003" hidden="1" customHeight="1">
      <c r="G2047" s="113"/>
      <c r="J2047" s="28">
        <f>IFERROR(VLOOKUP(TEXT(B2047,"0"),STOCK!A:H,7,0),1)</f>
        <v>1</v>
      </c>
    </row>
    <row r="2048" spans="7:10" ht="35.450000000000003" hidden="1" customHeight="1">
      <c r="G2048" s="113"/>
      <c r="J2048" s="28">
        <f>IFERROR(VLOOKUP(TEXT(B2048,"0"),STOCK!A:H,7,0),1)</f>
        <v>1</v>
      </c>
    </row>
    <row r="2049" spans="7:10" ht="35.450000000000003" hidden="1" customHeight="1">
      <c r="G2049" s="113"/>
      <c r="J2049" s="28">
        <f>IFERROR(VLOOKUP(TEXT(B2049,"0"),STOCK!A:H,7,0),1)</f>
        <v>1</v>
      </c>
    </row>
    <row r="2050" spans="7:10" ht="35.450000000000003" hidden="1" customHeight="1">
      <c r="G2050" s="113"/>
      <c r="J2050" s="28">
        <f>IFERROR(VLOOKUP(TEXT(B2050,"0"),STOCK!A:H,7,0),1)</f>
        <v>1</v>
      </c>
    </row>
    <row r="2051" spans="7:10" ht="35.450000000000003" hidden="1" customHeight="1">
      <c r="G2051" s="113"/>
      <c r="J2051" s="28">
        <f>IFERROR(VLOOKUP(TEXT(B2051,"0"),STOCK!A:H,7,0),1)</f>
        <v>1</v>
      </c>
    </row>
    <row r="2052" spans="7:10" ht="35.450000000000003" hidden="1" customHeight="1">
      <c r="G2052" s="113"/>
      <c r="J2052" s="28">
        <f>IFERROR(VLOOKUP(TEXT(B2052,"0"),STOCK!A:H,7,0),1)</f>
        <v>1</v>
      </c>
    </row>
    <row r="2053" spans="7:10" ht="35.450000000000003" hidden="1" customHeight="1">
      <c r="G2053" s="113"/>
      <c r="J2053" s="28">
        <f>IFERROR(VLOOKUP(TEXT(B2053,"0"),STOCK!A:H,7,0),1)</f>
        <v>1</v>
      </c>
    </row>
    <row r="2054" spans="7:10" ht="35.450000000000003" hidden="1" customHeight="1">
      <c r="G2054" s="113"/>
      <c r="J2054" s="28">
        <f>IFERROR(VLOOKUP(TEXT(B2054,"0"),STOCK!A:H,7,0),1)</f>
        <v>1</v>
      </c>
    </row>
    <row r="2055" spans="7:10" ht="35.450000000000003" hidden="1" customHeight="1">
      <c r="G2055" s="113"/>
      <c r="J2055" s="28">
        <f>IFERROR(VLOOKUP(TEXT(B2055,"0"),STOCK!A:H,7,0),1)</f>
        <v>1</v>
      </c>
    </row>
    <row r="2056" spans="7:10" ht="35.450000000000003" hidden="1" customHeight="1">
      <c r="G2056" s="113"/>
      <c r="J2056" s="28">
        <f>IFERROR(VLOOKUP(TEXT(B2056,"0"),STOCK!A:H,7,0),1)</f>
        <v>1</v>
      </c>
    </row>
    <row r="2057" spans="7:10" ht="35.450000000000003" hidden="1" customHeight="1">
      <c r="G2057" s="113"/>
      <c r="J2057" s="28">
        <f>IFERROR(VLOOKUP(TEXT(B2057,"0"),STOCK!A:H,7,0),1)</f>
        <v>1</v>
      </c>
    </row>
    <row r="2058" spans="7:10" ht="35.450000000000003" hidden="1" customHeight="1">
      <c r="G2058" s="113"/>
      <c r="J2058" s="28">
        <f>IFERROR(VLOOKUP(TEXT(B2058,"0"),STOCK!A:H,7,0),1)</f>
        <v>1</v>
      </c>
    </row>
    <row r="2059" spans="7:10" ht="35.450000000000003" hidden="1" customHeight="1">
      <c r="G2059" s="113"/>
      <c r="J2059" s="28">
        <f>IFERROR(VLOOKUP(TEXT(B2059,"0"),STOCK!A:H,7,0),1)</f>
        <v>1</v>
      </c>
    </row>
    <row r="2060" spans="7:10" ht="35.450000000000003" hidden="1" customHeight="1">
      <c r="G2060" s="113"/>
      <c r="J2060" s="28">
        <f>IFERROR(VLOOKUP(TEXT(B2060,"0"),STOCK!A:H,7,0),1)</f>
        <v>1</v>
      </c>
    </row>
    <row r="2061" spans="7:10" ht="35.450000000000003" hidden="1" customHeight="1">
      <c r="G2061" s="113"/>
      <c r="J2061" s="28">
        <f>IFERROR(VLOOKUP(TEXT(B2061,"0"),STOCK!A:H,7,0),1)</f>
        <v>1</v>
      </c>
    </row>
    <row r="2062" spans="7:10" ht="35.450000000000003" hidden="1" customHeight="1">
      <c r="G2062" s="113"/>
      <c r="J2062" s="28">
        <f>IFERROR(VLOOKUP(TEXT(B2062,"0"),STOCK!A:H,7,0),1)</f>
        <v>1</v>
      </c>
    </row>
    <row r="2063" spans="7:10" ht="35.450000000000003" hidden="1" customHeight="1">
      <c r="G2063" s="113"/>
      <c r="J2063" s="28">
        <f>IFERROR(VLOOKUP(TEXT(B2063,"0"),STOCK!A:H,7,0),1)</f>
        <v>1</v>
      </c>
    </row>
    <row r="2064" spans="7:10" ht="35.450000000000003" hidden="1" customHeight="1">
      <c r="G2064" s="113"/>
      <c r="J2064" s="28">
        <f>IFERROR(VLOOKUP(TEXT(B2064,"0"),STOCK!A:H,7,0),1)</f>
        <v>1</v>
      </c>
    </row>
    <row r="2065" spans="7:10" ht="35.450000000000003" hidden="1" customHeight="1">
      <c r="G2065" s="113"/>
      <c r="J2065" s="28">
        <f>IFERROR(VLOOKUP(TEXT(B2065,"0"),STOCK!A:H,7,0),1)</f>
        <v>1</v>
      </c>
    </row>
    <row r="2066" spans="7:10" ht="35.450000000000003" hidden="1" customHeight="1">
      <c r="G2066" s="113"/>
      <c r="J2066" s="28">
        <f>IFERROR(VLOOKUP(TEXT(B2066,"0"),STOCK!A:H,7,0),1)</f>
        <v>1</v>
      </c>
    </row>
    <row r="2067" spans="7:10" ht="35.450000000000003" hidden="1" customHeight="1">
      <c r="G2067" s="113"/>
      <c r="J2067" s="28">
        <f>IFERROR(VLOOKUP(TEXT(B2067,"0"),STOCK!A:H,7,0),1)</f>
        <v>1</v>
      </c>
    </row>
    <row r="2068" spans="7:10" ht="35.450000000000003" hidden="1" customHeight="1">
      <c r="G2068" s="113"/>
      <c r="J2068" s="28">
        <f>IFERROR(VLOOKUP(TEXT(B2068,"0"),STOCK!A:H,7,0),1)</f>
        <v>1</v>
      </c>
    </row>
    <row r="2069" spans="7:10" ht="35.450000000000003" hidden="1" customHeight="1">
      <c r="G2069" s="113"/>
      <c r="J2069" s="28">
        <f>IFERROR(VLOOKUP(TEXT(B2069,"0"),STOCK!A:H,7,0),1)</f>
        <v>1</v>
      </c>
    </row>
    <row r="2070" spans="7:10" ht="35.450000000000003" hidden="1" customHeight="1">
      <c r="G2070" s="113"/>
      <c r="J2070" s="28">
        <f>IFERROR(VLOOKUP(TEXT(B2070,"0"),STOCK!A:H,7,0),1)</f>
        <v>1</v>
      </c>
    </row>
    <row r="2071" spans="7:10" ht="35.450000000000003" hidden="1" customHeight="1">
      <c r="G2071" s="113"/>
      <c r="J2071" s="28">
        <f>IFERROR(VLOOKUP(TEXT(B2071,"0"),STOCK!A:H,7,0),1)</f>
        <v>1</v>
      </c>
    </row>
    <row r="2072" spans="7:10" ht="35.450000000000003" hidden="1" customHeight="1">
      <c r="G2072" s="113"/>
      <c r="J2072" s="28">
        <f>IFERROR(VLOOKUP(TEXT(B2072,"0"),STOCK!A:H,7,0),1)</f>
        <v>1</v>
      </c>
    </row>
    <row r="2073" spans="7:10" ht="35.450000000000003" hidden="1" customHeight="1">
      <c r="G2073" s="113"/>
      <c r="J2073" s="28">
        <f>IFERROR(VLOOKUP(TEXT(B2073,"0"),STOCK!A:H,7,0),1)</f>
        <v>1</v>
      </c>
    </row>
    <row r="2074" spans="7:10" ht="35.450000000000003" hidden="1" customHeight="1">
      <c r="G2074" s="113"/>
      <c r="J2074" s="28">
        <f>IFERROR(VLOOKUP(TEXT(B2074,"0"),STOCK!A:H,7,0),1)</f>
        <v>1</v>
      </c>
    </row>
    <row r="2075" spans="7:10" ht="35.450000000000003" hidden="1" customHeight="1">
      <c r="G2075" s="113"/>
      <c r="J2075" s="28">
        <f>IFERROR(VLOOKUP(TEXT(B2075,"0"),STOCK!A:H,7,0),1)</f>
        <v>1</v>
      </c>
    </row>
    <row r="2076" spans="7:10" ht="35.450000000000003" hidden="1" customHeight="1">
      <c r="G2076" s="113"/>
      <c r="J2076" s="28">
        <f>IFERROR(VLOOKUP(TEXT(B2076,"0"),STOCK!A:H,7,0),1)</f>
        <v>1</v>
      </c>
    </row>
    <row r="2077" spans="7:10" ht="35.450000000000003" hidden="1" customHeight="1">
      <c r="G2077" s="113"/>
      <c r="J2077" s="28">
        <f>IFERROR(VLOOKUP(TEXT(B2077,"0"),STOCK!A:H,7,0),1)</f>
        <v>1</v>
      </c>
    </row>
    <row r="2078" spans="7:10" ht="35.450000000000003" hidden="1" customHeight="1">
      <c r="G2078" s="113"/>
      <c r="J2078" s="28">
        <f>IFERROR(VLOOKUP(TEXT(B2078,"0"),STOCK!A:H,7,0),1)</f>
        <v>1</v>
      </c>
    </row>
    <row r="2079" spans="7:10" ht="35.450000000000003" hidden="1" customHeight="1">
      <c r="G2079" s="113"/>
      <c r="J2079" s="28">
        <f>IFERROR(VLOOKUP(TEXT(B2079,"0"),STOCK!A:H,7,0),1)</f>
        <v>1</v>
      </c>
    </row>
    <row r="2080" spans="7:10" ht="35.450000000000003" hidden="1" customHeight="1">
      <c r="G2080" s="113"/>
      <c r="J2080" s="28">
        <f>IFERROR(VLOOKUP(TEXT(B2080,"0"),STOCK!A:H,7,0),1)</f>
        <v>1</v>
      </c>
    </row>
    <row r="2081" spans="7:10" ht="35.450000000000003" hidden="1" customHeight="1">
      <c r="G2081" s="113"/>
      <c r="J2081" s="28">
        <f>IFERROR(VLOOKUP(TEXT(B2081,"0"),STOCK!A:H,7,0),1)</f>
        <v>1</v>
      </c>
    </row>
    <row r="2082" spans="7:10" ht="35.450000000000003" hidden="1" customHeight="1">
      <c r="G2082" s="113"/>
      <c r="J2082" s="28">
        <f>IFERROR(VLOOKUP(TEXT(B2082,"0"),STOCK!A:H,7,0),1)</f>
        <v>1</v>
      </c>
    </row>
    <row r="2083" spans="7:10" ht="35.450000000000003" hidden="1" customHeight="1">
      <c r="G2083" s="113"/>
      <c r="J2083" s="28">
        <f>IFERROR(VLOOKUP(TEXT(B2083,"0"),STOCK!A:H,7,0),1)</f>
        <v>1</v>
      </c>
    </row>
    <row r="2084" spans="7:10" ht="35.450000000000003" hidden="1" customHeight="1">
      <c r="G2084" s="113"/>
      <c r="J2084" s="28">
        <f>IFERROR(VLOOKUP(TEXT(B2084,"0"),STOCK!A:H,7,0),1)</f>
        <v>1</v>
      </c>
    </row>
    <row r="2085" spans="7:10" ht="35.450000000000003" hidden="1" customHeight="1">
      <c r="G2085" s="113"/>
      <c r="J2085" s="28">
        <f>IFERROR(VLOOKUP(TEXT(B2085,"0"),STOCK!A:H,7,0),1)</f>
        <v>1</v>
      </c>
    </row>
    <row r="2086" spans="7:10" ht="35.450000000000003" hidden="1" customHeight="1">
      <c r="G2086" s="113"/>
      <c r="J2086" s="28">
        <f>IFERROR(VLOOKUP(TEXT(B2086,"0"),STOCK!A:H,7,0),1)</f>
        <v>1</v>
      </c>
    </row>
    <row r="2087" spans="7:10" ht="35.450000000000003" hidden="1" customHeight="1">
      <c r="G2087" s="113"/>
      <c r="J2087" s="28">
        <f>IFERROR(VLOOKUP(TEXT(B2087,"0"),STOCK!A:H,7,0),1)</f>
        <v>1</v>
      </c>
    </row>
    <row r="2088" spans="7:10" ht="35.450000000000003" hidden="1" customHeight="1">
      <c r="G2088" s="113"/>
      <c r="J2088" s="28">
        <f>IFERROR(VLOOKUP(TEXT(B2088,"0"),STOCK!A:H,7,0),1)</f>
        <v>1</v>
      </c>
    </row>
    <row r="2089" spans="7:10" ht="35.450000000000003" hidden="1" customHeight="1">
      <c r="G2089" s="113"/>
      <c r="J2089" s="28">
        <f>IFERROR(VLOOKUP(TEXT(B2089,"0"),STOCK!A:H,7,0),1)</f>
        <v>1</v>
      </c>
    </row>
    <row r="2090" spans="7:10" ht="35.450000000000003" hidden="1" customHeight="1">
      <c r="G2090" s="113"/>
      <c r="J2090" s="28">
        <f>IFERROR(VLOOKUP(TEXT(B2090,"0"),STOCK!A:H,7,0),1)</f>
        <v>1</v>
      </c>
    </row>
    <row r="2091" spans="7:10" ht="35.450000000000003" hidden="1" customHeight="1">
      <c r="G2091" s="113"/>
      <c r="J2091" s="28">
        <f>IFERROR(VLOOKUP(TEXT(B2091,"0"),STOCK!A:H,7,0),1)</f>
        <v>1</v>
      </c>
    </row>
    <row r="2092" spans="7:10" ht="35.450000000000003" hidden="1" customHeight="1">
      <c r="G2092" s="113"/>
      <c r="J2092" s="28">
        <f>IFERROR(VLOOKUP(TEXT(B2092,"0"),STOCK!A:H,7,0),1)</f>
        <v>1</v>
      </c>
    </row>
    <row r="2093" spans="7:10" ht="35.450000000000003" hidden="1" customHeight="1">
      <c r="G2093" s="113"/>
      <c r="J2093" s="28">
        <f>IFERROR(VLOOKUP(TEXT(B2093,"0"),STOCK!A:H,7,0),1)</f>
        <v>1</v>
      </c>
    </row>
    <row r="2094" spans="7:10" ht="35.450000000000003" hidden="1" customHeight="1">
      <c r="G2094" s="113"/>
      <c r="J2094" s="28">
        <f>IFERROR(VLOOKUP(TEXT(B2094,"0"),STOCK!A:H,7,0),1)</f>
        <v>1</v>
      </c>
    </row>
    <row r="2095" spans="7:10" ht="35.450000000000003" hidden="1" customHeight="1">
      <c r="G2095" s="113"/>
      <c r="J2095" s="28">
        <f>IFERROR(VLOOKUP(TEXT(B2095,"0"),STOCK!A:H,7,0),1)</f>
        <v>1</v>
      </c>
    </row>
    <row r="2096" spans="7:10" ht="35.450000000000003" hidden="1" customHeight="1">
      <c r="G2096" s="113"/>
      <c r="J2096" s="28">
        <f>IFERROR(VLOOKUP(TEXT(B2096,"0"),STOCK!A:H,7,0),1)</f>
        <v>1</v>
      </c>
    </row>
    <row r="2097" spans="7:10" ht="35.450000000000003" hidden="1" customHeight="1">
      <c r="G2097" s="113"/>
      <c r="J2097" s="28">
        <f>IFERROR(VLOOKUP(TEXT(B2097,"0"),STOCK!A:H,7,0),1)</f>
        <v>1</v>
      </c>
    </row>
    <row r="2098" spans="7:10" ht="35.450000000000003" hidden="1" customHeight="1">
      <c r="G2098" s="113"/>
      <c r="J2098" s="28">
        <f>IFERROR(VLOOKUP(TEXT(B2098,"0"),STOCK!A:H,7,0),1)</f>
        <v>1</v>
      </c>
    </row>
    <row r="2099" spans="7:10" ht="35.450000000000003" hidden="1" customHeight="1">
      <c r="G2099" s="113"/>
      <c r="J2099" s="28">
        <f>IFERROR(VLOOKUP(TEXT(B2099,"0"),STOCK!A:H,7,0),1)</f>
        <v>1</v>
      </c>
    </row>
    <row r="2100" spans="7:10" ht="35.450000000000003" hidden="1" customHeight="1">
      <c r="G2100" s="113"/>
      <c r="J2100" s="28">
        <f>IFERROR(VLOOKUP(TEXT(B2100,"0"),STOCK!A:H,7,0),1)</f>
        <v>1</v>
      </c>
    </row>
    <row r="2101" spans="7:10" ht="35.450000000000003" hidden="1" customHeight="1">
      <c r="G2101" s="113"/>
      <c r="J2101" s="28">
        <f>IFERROR(VLOOKUP(TEXT(B2101,"0"),STOCK!A:H,7,0),1)</f>
        <v>1</v>
      </c>
    </row>
    <row r="2102" spans="7:10" ht="35.450000000000003" hidden="1" customHeight="1">
      <c r="G2102" s="113"/>
      <c r="J2102" s="28">
        <f>IFERROR(VLOOKUP(TEXT(B2102,"0"),STOCK!A:H,7,0),1)</f>
        <v>1</v>
      </c>
    </row>
    <row r="2103" spans="7:10" ht="35.450000000000003" hidden="1" customHeight="1">
      <c r="G2103" s="113"/>
      <c r="J2103" s="28">
        <f>IFERROR(VLOOKUP(TEXT(B2103,"0"),STOCK!A:H,7,0),1)</f>
        <v>1</v>
      </c>
    </row>
    <row r="2104" spans="7:10" ht="35.450000000000003" hidden="1" customHeight="1">
      <c r="G2104" s="113"/>
      <c r="J2104" s="28">
        <f>IFERROR(VLOOKUP(TEXT(B2104,"0"),STOCK!A:H,7,0),1)</f>
        <v>1</v>
      </c>
    </row>
    <row r="2105" spans="7:10" ht="35.450000000000003" hidden="1" customHeight="1">
      <c r="G2105" s="113"/>
      <c r="J2105" s="28">
        <f>IFERROR(VLOOKUP(TEXT(B2105,"0"),STOCK!A:H,7,0),1)</f>
        <v>1</v>
      </c>
    </row>
    <row r="2106" spans="7:10" ht="35.450000000000003" hidden="1" customHeight="1">
      <c r="G2106" s="113"/>
      <c r="J2106" s="28">
        <f>IFERROR(VLOOKUP(TEXT(B2106,"0"),STOCK!A:H,7,0),1)</f>
        <v>1</v>
      </c>
    </row>
    <row r="2107" spans="7:10" ht="35.450000000000003" hidden="1" customHeight="1">
      <c r="G2107" s="113"/>
      <c r="J2107" s="28">
        <f>IFERROR(VLOOKUP(TEXT(B2107,"0"),STOCK!A:H,7,0),1)</f>
        <v>1</v>
      </c>
    </row>
    <row r="2108" spans="7:10" ht="35.450000000000003" hidden="1" customHeight="1">
      <c r="G2108" s="113"/>
      <c r="J2108" s="28">
        <f>IFERROR(VLOOKUP(TEXT(B2108,"0"),STOCK!A:H,7,0),1)</f>
        <v>1</v>
      </c>
    </row>
    <row r="2109" spans="7:10" ht="35.450000000000003" hidden="1" customHeight="1">
      <c r="G2109" s="113"/>
      <c r="J2109" s="28">
        <f>IFERROR(VLOOKUP(TEXT(B2109,"0"),STOCK!A:H,7,0),1)</f>
        <v>1</v>
      </c>
    </row>
    <row r="2110" spans="7:10" ht="35.450000000000003" hidden="1" customHeight="1">
      <c r="G2110" s="113"/>
      <c r="J2110" s="28">
        <f>IFERROR(VLOOKUP(TEXT(B2110,"0"),STOCK!A:H,7,0),1)</f>
        <v>1</v>
      </c>
    </row>
    <row r="2111" spans="7:10" ht="35.450000000000003" hidden="1" customHeight="1">
      <c r="G2111" s="113"/>
      <c r="J2111" s="28">
        <f>IFERROR(VLOOKUP(TEXT(B2111,"0"),STOCK!A:H,7,0),1)</f>
        <v>1</v>
      </c>
    </row>
    <row r="2112" spans="7:10" ht="35.450000000000003" hidden="1" customHeight="1">
      <c r="G2112" s="113"/>
      <c r="J2112" s="28">
        <f>IFERROR(VLOOKUP(TEXT(B2112,"0"),STOCK!A:H,7,0),1)</f>
        <v>1</v>
      </c>
    </row>
    <row r="2113" spans="7:10" ht="35.450000000000003" hidden="1" customHeight="1">
      <c r="G2113" s="113"/>
      <c r="J2113" s="28">
        <f>IFERROR(VLOOKUP(TEXT(B2113,"0"),STOCK!A:H,7,0),1)</f>
        <v>1</v>
      </c>
    </row>
    <row r="2114" spans="7:10" ht="35.450000000000003" hidden="1" customHeight="1">
      <c r="G2114" s="113"/>
      <c r="J2114" s="28">
        <f>IFERROR(VLOOKUP(TEXT(B2114,"0"),STOCK!A:H,7,0),1)</f>
        <v>1</v>
      </c>
    </row>
    <row r="2115" spans="7:10" ht="35.450000000000003" hidden="1" customHeight="1">
      <c r="G2115" s="113"/>
      <c r="J2115" s="28">
        <f>IFERROR(VLOOKUP(TEXT(B2115,"0"),STOCK!A:H,7,0),1)</f>
        <v>1</v>
      </c>
    </row>
    <row r="2116" spans="7:10" ht="35.450000000000003" hidden="1" customHeight="1">
      <c r="G2116" s="113"/>
      <c r="J2116" s="28">
        <f>IFERROR(VLOOKUP(TEXT(B2116,"0"),STOCK!A:H,7,0),1)</f>
        <v>1</v>
      </c>
    </row>
    <row r="2117" spans="7:10" ht="35.450000000000003" hidden="1" customHeight="1">
      <c r="G2117" s="113"/>
      <c r="J2117" s="28">
        <f>IFERROR(VLOOKUP(TEXT(B2117,"0"),STOCK!A:H,7,0),1)</f>
        <v>1</v>
      </c>
    </row>
    <row r="2118" spans="7:10" ht="35.450000000000003" hidden="1" customHeight="1">
      <c r="G2118" s="113"/>
      <c r="J2118" s="28">
        <f>IFERROR(VLOOKUP(TEXT(B2118,"0"),STOCK!A:H,7,0),1)</f>
        <v>1</v>
      </c>
    </row>
    <row r="2119" spans="7:10" ht="35.450000000000003" hidden="1" customHeight="1">
      <c r="G2119" s="113"/>
      <c r="J2119" s="28">
        <f>IFERROR(VLOOKUP(TEXT(B2119,"0"),STOCK!A:H,7,0),1)</f>
        <v>1</v>
      </c>
    </row>
    <row r="2120" spans="7:10" ht="35.450000000000003" hidden="1" customHeight="1">
      <c r="G2120" s="113"/>
      <c r="J2120" s="28">
        <f>IFERROR(VLOOKUP(TEXT(B2120,"0"),STOCK!A:H,7,0),1)</f>
        <v>1</v>
      </c>
    </row>
    <row r="2121" spans="7:10" ht="35.450000000000003" hidden="1" customHeight="1">
      <c r="G2121" s="113"/>
      <c r="J2121" s="28">
        <f>IFERROR(VLOOKUP(TEXT(B2121,"0"),STOCK!A:H,7,0),1)</f>
        <v>1</v>
      </c>
    </row>
    <row r="2122" spans="7:10" ht="35.450000000000003" hidden="1" customHeight="1">
      <c r="G2122" s="113"/>
      <c r="J2122" s="28">
        <f>IFERROR(VLOOKUP(TEXT(B2122,"0"),STOCK!A:H,7,0),1)</f>
        <v>1</v>
      </c>
    </row>
    <row r="2123" spans="7:10" ht="35.450000000000003" hidden="1" customHeight="1">
      <c r="G2123" s="113"/>
      <c r="J2123" s="28">
        <f>IFERROR(VLOOKUP(TEXT(B2123,"0"),STOCK!A:H,7,0),1)</f>
        <v>1</v>
      </c>
    </row>
    <row r="2124" spans="7:10" ht="35.450000000000003" hidden="1" customHeight="1">
      <c r="G2124" s="113"/>
      <c r="J2124" s="28">
        <f>IFERROR(VLOOKUP(TEXT(B2124,"0"),STOCK!A:H,7,0),1)</f>
        <v>1</v>
      </c>
    </row>
    <row r="2125" spans="7:10" ht="35.450000000000003" hidden="1" customHeight="1">
      <c r="G2125" s="113"/>
      <c r="J2125" s="28">
        <f>IFERROR(VLOOKUP(TEXT(B2125,"0"),STOCK!A:H,7,0),1)</f>
        <v>1</v>
      </c>
    </row>
    <row r="2126" spans="7:10" ht="35.450000000000003" hidden="1" customHeight="1">
      <c r="G2126" s="113"/>
      <c r="J2126" s="28">
        <f>IFERROR(VLOOKUP(TEXT(B2126,"0"),STOCK!A:H,7,0),1)</f>
        <v>1</v>
      </c>
    </row>
    <row r="2127" spans="7:10" ht="35.450000000000003" hidden="1" customHeight="1">
      <c r="G2127" s="113"/>
      <c r="J2127" s="28">
        <f>IFERROR(VLOOKUP(TEXT(B2127,"0"),STOCK!A:H,7,0),1)</f>
        <v>1</v>
      </c>
    </row>
    <row r="2128" spans="7:10" ht="35.450000000000003" hidden="1" customHeight="1">
      <c r="G2128" s="113"/>
      <c r="J2128" s="28">
        <f>IFERROR(VLOOKUP(TEXT(B2128,"0"),STOCK!A:H,7,0),1)</f>
        <v>1</v>
      </c>
    </row>
    <row r="2129" spans="7:10" ht="35.450000000000003" hidden="1" customHeight="1">
      <c r="G2129" s="113"/>
      <c r="J2129" s="28">
        <f>IFERROR(VLOOKUP(TEXT(B2129,"0"),STOCK!A:H,7,0),1)</f>
        <v>1</v>
      </c>
    </row>
    <row r="2130" spans="7:10" ht="35.450000000000003" hidden="1" customHeight="1">
      <c r="G2130" s="113"/>
      <c r="J2130" s="28">
        <f>IFERROR(VLOOKUP(TEXT(B2130,"0"),STOCK!A:H,7,0),1)</f>
        <v>1</v>
      </c>
    </row>
    <row r="2131" spans="7:10" ht="35.450000000000003" hidden="1" customHeight="1">
      <c r="G2131" s="113"/>
      <c r="J2131" s="28">
        <f>IFERROR(VLOOKUP(TEXT(B2131,"0"),STOCK!A:H,7,0),1)</f>
        <v>1</v>
      </c>
    </row>
    <row r="2132" spans="7:10" ht="35.450000000000003" hidden="1" customHeight="1">
      <c r="G2132" s="113"/>
      <c r="J2132" s="28">
        <f>IFERROR(VLOOKUP(TEXT(B2132,"0"),STOCK!A:H,7,0),1)</f>
        <v>1</v>
      </c>
    </row>
    <row r="2133" spans="7:10" ht="35.450000000000003" hidden="1" customHeight="1">
      <c r="G2133" s="113"/>
      <c r="J2133" s="28">
        <f>IFERROR(VLOOKUP(TEXT(B2133,"0"),STOCK!A:H,7,0),1)</f>
        <v>1</v>
      </c>
    </row>
    <row r="2134" spans="7:10" ht="35.450000000000003" hidden="1" customHeight="1">
      <c r="G2134" s="113"/>
      <c r="J2134" s="28">
        <f>IFERROR(VLOOKUP(TEXT(B2134,"0"),STOCK!A:H,7,0),1)</f>
        <v>1</v>
      </c>
    </row>
    <row r="2135" spans="7:10" ht="35.450000000000003" hidden="1" customHeight="1">
      <c r="G2135" s="113"/>
      <c r="J2135" s="28">
        <f>IFERROR(VLOOKUP(TEXT(B2135,"0"),STOCK!A:H,7,0),1)</f>
        <v>1</v>
      </c>
    </row>
    <row r="2136" spans="7:10" ht="35.450000000000003" hidden="1" customHeight="1">
      <c r="G2136" s="113"/>
      <c r="J2136" s="28">
        <f>IFERROR(VLOOKUP(TEXT(B2136,"0"),STOCK!A:H,7,0),1)</f>
        <v>1</v>
      </c>
    </row>
    <row r="2137" spans="7:10" ht="35.450000000000003" hidden="1" customHeight="1">
      <c r="G2137" s="113"/>
      <c r="J2137" s="28">
        <f>IFERROR(VLOOKUP(TEXT(B2137,"0"),STOCK!A:H,7,0),1)</f>
        <v>1</v>
      </c>
    </row>
    <row r="2138" spans="7:10" ht="35.450000000000003" hidden="1" customHeight="1">
      <c r="G2138" s="113"/>
      <c r="J2138" s="28">
        <f>IFERROR(VLOOKUP(TEXT(B2138,"0"),STOCK!A:H,7,0),1)</f>
        <v>1</v>
      </c>
    </row>
    <row r="2139" spans="7:10" ht="35.450000000000003" hidden="1" customHeight="1">
      <c r="G2139" s="113"/>
      <c r="J2139" s="28">
        <f>IFERROR(VLOOKUP(TEXT(B2139,"0"),STOCK!A:H,7,0),1)</f>
        <v>1</v>
      </c>
    </row>
    <row r="2140" spans="7:10" ht="35.450000000000003" hidden="1" customHeight="1">
      <c r="G2140" s="113"/>
      <c r="J2140" s="28">
        <f>IFERROR(VLOOKUP(TEXT(B2140,"0"),STOCK!A:H,7,0),1)</f>
        <v>1</v>
      </c>
    </row>
    <row r="2141" spans="7:10" ht="35.450000000000003" hidden="1" customHeight="1">
      <c r="G2141" s="113"/>
      <c r="J2141" s="28">
        <f>IFERROR(VLOOKUP(TEXT(B2141,"0"),STOCK!A:H,7,0),1)</f>
        <v>1</v>
      </c>
    </row>
    <row r="2142" spans="7:10" ht="35.450000000000003" hidden="1" customHeight="1">
      <c r="G2142" s="113"/>
      <c r="J2142" s="28">
        <f>IFERROR(VLOOKUP(TEXT(B2142,"0"),STOCK!A:H,7,0),1)</f>
        <v>1</v>
      </c>
    </row>
    <row r="2143" spans="7:10" ht="35.450000000000003" hidden="1" customHeight="1">
      <c r="G2143" s="113"/>
      <c r="J2143" s="28">
        <f>IFERROR(VLOOKUP(TEXT(B2143,"0"),STOCK!A:H,7,0),1)</f>
        <v>1</v>
      </c>
    </row>
    <row r="2144" spans="7:10" ht="35.450000000000003" hidden="1" customHeight="1">
      <c r="G2144" s="113"/>
      <c r="J2144" s="28">
        <f>IFERROR(VLOOKUP(TEXT(B2144,"0"),STOCK!A:H,7,0),1)</f>
        <v>1</v>
      </c>
    </row>
    <row r="2145" spans="7:10" ht="35.450000000000003" hidden="1" customHeight="1">
      <c r="G2145" s="113"/>
      <c r="J2145" s="28">
        <f>IFERROR(VLOOKUP(TEXT(B2145,"0"),STOCK!A:H,7,0),1)</f>
        <v>1</v>
      </c>
    </row>
    <row r="2146" spans="7:10" ht="35.450000000000003" hidden="1" customHeight="1">
      <c r="G2146" s="113"/>
      <c r="J2146" s="28">
        <f>IFERROR(VLOOKUP(TEXT(B2146,"0"),STOCK!A:H,7,0),1)</f>
        <v>1</v>
      </c>
    </row>
    <row r="2147" spans="7:10" ht="35.450000000000003" hidden="1" customHeight="1">
      <c r="G2147" s="113"/>
      <c r="J2147" s="28">
        <f>IFERROR(VLOOKUP(TEXT(B2147,"0"),STOCK!A:H,7,0),1)</f>
        <v>1</v>
      </c>
    </row>
    <row r="2148" spans="7:10" ht="35.450000000000003" hidden="1" customHeight="1">
      <c r="G2148" s="113"/>
      <c r="J2148" s="28">
        <f>IFERROR(VLOOKUP(TEXT(B2148,"0"),STOCK!A:H,7,0),1)</f>
        <v>1</v>
      </c>
    </row>
    <row r="2149" spans="7:10" ht="35.450000000000003" hidden="1" customHeight="1">
      <c r="G2149" s="113"/>
      <c r="J2149" s="28">
        <f>IFERROR(VLOOKUP(TEXT(B2149,"0"),STOCK!A:H,7,0),1)</f>
        <v>1</v>
      </c>
    </row>
    <row r="2150" spans="7:10" ht="35.450000000000003" hidden="1" customHeight="1">
      <c r="G2150" s="113"/>
      <c r="J2150" s="28">
        <f>IFERROR(VLOOKUP(TEXT(B2150,"0"),STOCK!A:H,7,0),1)</f>
        <v>1</v>
      </c>
    </row>
    <row r="2151" spans="7:10" ht="35.450000000000003" hidden="1" customHeight="1">
      <c r="G2151" s="113"/>
      <c r="J2151" s="28">
        <f>IFERROR(VLOOKUP(TEXT(B2151,"0"),STOCK!A:H,7,0),1)</f>
        <v>1</v>
      </c>
    </row>
    <row r="2152" spans="7:10" ht="35.450000000000003" hidden="1" customHeight="1">
      <c r="G2152" s="113"/>
      <c r="J2152" s="28">
        <f>IFERROR(VLOOKUP(TEXT(B2152,"0"),STOCK!A:H,7,0),1)</f>
        <v>1</v>
      </c>
    </row>
    <row r="2153" spans="7:10" ht="35.450000000000003" hidden="1" customHeight="1">
      <c r="G2153" s="113"/>
      <c r="J2153" s="28">
        <f>IFERROR(VLOOKUP(TEXT(B2153,"0"),STOCK!A:H,7,0),1)</f>
        <v>1</v>
      </c>
    </row>
    <row r="2154" spans="7:10" ht="35.450000000000003" hidden="1" customHeight="1">
      <c r="G2154" s="113"/>
      <c r="J2154" s="28">
        <f>IFERROR(VLOOKUP(TEXT(B2154,"0"),STOCK!A:H,7,0),1)</f>
        <v>1</v>
      </c>
    </row>
    <row r="2155" spans="7:10" ht="35.450000000000003" hidden="1" customHeight="1">
      <c r="G2155" s="113"/>
      <c r="J2155" s="28">
        <f>IFERROR(VLOOKUP(TEXT(B2155,"0"),STOCK!A:H,7,0),1)</f>
        <v>1</v>
      </c>
    </row>
    <row r="2156" spans="7:10" ht="35.450000000000003" hidden="1" customHeight="1">
      <c r="G2156" s="113"/>
      <c r="J2156" s="28">
        <f>IFERROR(VLOOKUP(TEXT(B2156,"0"),STOCK!A:H,7,0),1)</f>
        <v>1</v>
      </c>
    </row>
    <row r="2157" spans="7:10" ht="35.450000000000003" hidden="1" customHeight="1">
      <c r="G2157" s="113"/>
      <c r="J2157" s="28">
        <f>IFERROR(VLOOKUP(TEXT(B2157,"0"),STOCK!A:H,7,0),1)</f>
        <v>1</v>
      </c>
    </row>
    <row r="2158" spans="7:10" ht="35.450000000000003" hidden="1" customHeight="1">
      <c r="G2158" s="113"/>
      <c r="J2158" s="28">
        <f>IFERROR(VLOOKUP(TEXT(B2158,"0"),STOCK!A:H,7,0),1)</f>
        <v>1</v>
      </c>
    </row>
    <row r="2159" spans="7:10" ht="35.450000000000003" hidden="1" customHeight="1">
      <c r="G2159" s="113"/>
      <c r="J2159" s="28">
        <f>IFERROR(VLOOKUP(TEXT(B2159,"0"),STOCK!A:H,7,0),1)</f>
        <v>1</v>
      </c>
    </row>
    <row r="2160" spans="7:10" ht="35.450000000000003" hidden="1" customHeight="1">
      <c r="G2160" s="113"/>
      <c r="J2160" s="28">
        <f>IFERROR(VLOOKUP(TEXT(B2160,"0"),STOCK!A:H,7,0),1)</f>
        <v>1</v>
      </c>
    </row>
    <row r="2161" spans="7:10" ht="35.450000000000003" hidden="1" customHeight="1">
      <c r="G2161" s="113"/>
      <c r="J2161" s="28">
        <f>IFERROR(VLOOKUP(TEXT(B2161,"0"),STOCK!A:H,7,0),1)</f>
        <v>1</v>
      </c>
    </row>
    <row r="2162" spans="7:10" ht="35.450000000000003" hidden="1" customHeight="1">
      <c r="G2162" s="113"/>
      <c r="J2162" s="28">
        <f>IFERROR(VLOOKUP(TEXT(B2162,"0"),STOCK!A:H,7,0),1)</f>
        <v>1</v>
      </c>
    </row>
    <row r="2163" spans="7:10" ht="35.450000000000003" hidden="1" customHeight="1">
      <c r="G2163" s="113"/>
      <c r="J2163" s="28">
        <f>IFERROR(VLOOKUP(TEXT(B2163,"0"),STOCK!A:H,7,0),1)</f>
        <v>1</v>
      </c>
    </row>
    <row r="2164" spans="7:10" ht="35.450000000000003" hidden="1" customHeight="1">
      <c r="G2164" s="113"/>
      <c r="J2164" s="28">
        <f>IFERROR(VLOOKUP(TEXT(B2164,"0"),STOCK!A:H,7,0),1)</f>
        <v>1</v>
      </c>
    </row>
    <row r="2165" spans="7:10" ht="35.450000000000003" hidden="1" customHeight="1">
      <c r="G2165" s="113"/>
      <c r="J2165" s="28">
        <f>IFERROR(VLOOKUP(TEXT(B2165,"0"),STOCK!A:H,7,0),1)</f>
        <v>1</v>
      </c>
    </row>
    <row r="2166" spans="7:10" ht="35.450000000000003" hidden="1" customHeight="1">
      <c r="G2166" s="113"/>
      <c r="J2166" s="28">
        <f>IFERROR(VLOOKUP(TEXT(B2166,"0"),STOCK!A:H,7,0),1)</f>
        <v>1</v>
      </c>
    </row>
    <row r="2167" spans="7:10" ht="35.450000000000003" hidden="1" customHeight="1">
      <c r="G2167" s="113"/>
      <c r="J2167" s="28">
        <f>IFERROR(VLOOKUP(TEXT(B2167,"0"),STOCK!A:H,7,0),1)</f>
        <v>1</v>
      </c>
    </row>
    <row r="2168" spans="7:10" ht="35.450000000000003" hidden="1" customHeight="1">
      <c r="G2168" s="113"/>
      <c r="J2168" s="28">
        <f>IFERROR(VLOOKUP(TEXT(B2168,"0"),STOCK!A:H,7,0),1)</f>
        <v>1</v>
      </c>
    </row>
    <row r="2169" spans="7:10" ht="35.450000000000003" hidden="1" customHeight="1">
      <c r="G2169" s="113"/>
      <c r="J2169" s="28">
        <f>IFERROR(VLOOKUP(TEXT(B2169,"0"),STOCK!A:H,7,0),1)</f>
        <v>1</v>
      </c>
    </row>
    <row r="2170" spans="7:10" ht="35.450000000000003" hidden="1" customHeight="1">
      <c r="G2170" s="113"/>
      <c r="J2170" s="28">
        <f>IFERROR(VLOOKUP(TEXT(B2170,"0"),STOCK!A:H,7,0),1)</f>
        <v>1</v>
      </c>
    </row>
    <row r="2171" spans="7:10" ht="35.450000000000003" hidden="1" customHeight="1">
      <c r="G2171" s="113"/>
      <c r="J2171" s="28">
        <f>IFERROR(VLOOKUP(TEXT(B2171,"0"),STOCK!A:H,7,0),1)</f>
        <v>1</v>
      </c>
    </row>
    <row r="2172" spans="7:10" ht="35.450000000000003" hidden="1" customHeight="1">
      <c r="G2172" s="113"/>
      <c r="J2172" s="28">
        <f>IFERROR(VLOOKUP(TEXT(B2172,"0"),STOCK!A:H,7,0),1)</f>
        <v>1</v>
      </c>
    </row>
    <row r="2173" spans="7:10" ht="35.450000000000003" hidden="1" customHeight="1">
      <c r="G2173" s="113"/>
      <c r="J2173" s="28">
        <f>IFERROR(VLOOKUP(TEXT(B2173,"0"),STOCK!A:H,7,0),1)</f>
        <v>1</v>
      </c>
    </row>
    <row r="2174" spans="7:10" ht="35.450000000000003" hidden="1" customHeight="1">
      <c r="G2174" s="113"/>
      <c r="J2174" s="28">
        <f>IFERROR(VLOOKUP(TEXT(B2174,"0"),STOCK!A:H,7,0),1)</f>
        <v>1</v>
      </c>
    </row>
    <row r="2175" spans="7:10" ht="35.450000000000003" hidden="1" customHeight="1">
      <c r="G2175" s="113"/>
      <c r="J2175" s="28">
        <f>IFERROR(VLOOKUP(TEXT(B2175,"0"),STOCK!A:H,7,0),1)</f>
        <v>1</v>
      </c>
    </row>
    <row r="2176" spans="7:10" ht="35.450000000000003" hidden="1" customHeight="1">
      <c r="G2176" s="113"/>
      <c r="J2176" s="28">
        <f>IFERROR(VLOOKUP(TEXT(B2176,"0"),STOCK!A:H,7,0),1)</f>
        <v>1</v>
      </c>
    </row>
    <row r="2177" spans="7:10" ht="35.450000000000003" hidden="1" customHeight="1">
      <c r="G2177" s="113"/>
      <c r="J2177" s="28">
        <f>IFERROR(VLOOKUP(TEXT(B2177,"0"),STOCK!A:H,7,0),1)</f>
        <v>1</v>
      </c>
    </row>
    <row r="2178" spans="7:10" ht="35.450000000000003" hidden="1" customHeight="1">
      <c r="G2178" s="113"/>
      <c r="J2178" s="28">
        <f>IFERROR(VLOOKUP(TEXT(B2178,"0"),STOCK!A:H,7,0),1)</f>
        <v>1</v>
      </c>
    </row>
    <row r="2179" spans="7:10" ht="35.450000000000003" hidden="1" customHeight="1">
      <c r="G2179" s="113"/>
      <c r="J2179" s="28">
        <f>IFERROR(VLOOKUP(TEXT(B2179,"0"),STOCK!A:H,7,0),1)</f>
        <v>1</v>
      </c>
    </row>
    <row r="2180" spans="7:10" ht="35.450000000000003" hidden="1" customHeight="1">
      <c r="G2180" s="113"/>
      <c r="J2180" s="28">
        <f>IFERROR(VLOOKUP(TEXT(B2180,"0"),STOCK!A:H,7,0),1)</f>
        <v>1</v>
      </c>
    </row>
    <row r="2181" spans="7:10" ht="35.450000000000003" hidden="1" customHeight="1">
      <c r="G2181" s="113"/>
      <c r="J2181" s="28">
        <f>IFERROR(VLOOKUP(TEXT(B2181,"0"),STOCK!A:H,7,0),1)</f>
        <v>1</v>
      </c>
    </row>
    <row r="2182" spans="7:10" ht="35.450000000000003" hidden="1" customHeight="1">
      <c r="G2182" s="113"/>
      <c r="J2182" s="28">
        <f>IFERROR(VLOOKUP(TEXT(B2182,"0"),STOCK!A:H,7,0),1)</f>
        <v>1</v>
      </c>
    </row>
    <row r="2183" spans="7:10" ht="35.450000000000003" hidden="1" customHeight="1">
      <c r="G2183" s="113"/>
      <c r="J2183" s="28">
        <f>IFERROR(VLOOKUP(TEXT(B2183,"0"),STOCK!A:H,7,0),1)</f>
        <v>1</v>
      </c>
    </row>
    <row r="2184" spans="7:10" ht="35.450000000000003" hidden="1" customHeight="1">
      <c r="G2184" s="113"/>
      <c r="J2184" s="28">
        <f>IFERROR(VLOOKUP(TEXT(B2184,"0"),STOCK!A:H,7,0),1)</f>
        <v>1</v>
      </c>
    </row>
    <row r="2185" spans="7:10" ht="35.450000000000003" hidden="1" customHeight="1">
      <c r="G2185" s="113"/>
      <c r="J2185" s="28">
        <f>IFERROR(VLOOKUP(TEXT(B2185,"0"),STOCK!A:H,7,0),1)</f>
        <v>1</v>
      </c>
    </row>
    <row r="2186" spans="7:10" ht="35.450000000000003" hidden="1" customHeight="1">
      <c r="G2186" s="113"/>
      <c r="J2186" s="28">
        <f>IFERROR(VLOOKUP(TEXT(B2186,"0"),STOCK!A:H,7,0),1)</f>
        <v>1</v>
      </c>
    </row>
    <row r="2187" spans="7:10" ht="35.450000000000003" hidden="1" customHeight="1">
      <c r="G2187" s="113"/>
      <c r="J2187" s="28">
        <f>IFERROR(VLOOKUP(TEXT(B2187,"0"),STOCK!A:H,7,0),1)</f>
        <v>1</v>
      </c>
    </row>
    <row r="2188" spans="7:10" ht="35.450000000000003" hidden="1" customHeight="1">
      <c r="G2188" s="113"/>
      <c r="J2188" s="28">
        <f>IFERROR(VLOOKUP(TEXT(B2188,"0"),STOCK!A:H,7,0),1)</f>
        <v>1</v>
      </c>
    </row>
    <row r="2189" spans="7:10" ht="35.450000000000003" hidden="1" customHeight="1">
      <c r="G2189" s="113"/>
      <c r="J2189" s="28">
        <f>IFERROR(VLOOKUP(TEXT(B2189,"0"),STOCK!A:H,7,0),1)</f>
        <v>1</v>
      </c>
    </row>
    <row r="2190" spans="7:10" ht="35.450000000000003" hidden="1" customHeight="1">
      <c r="G2190" s="113"/>
      <c r="J2190" s="28">
        <f>IFERROR(VLOOKUP(TEXT(B2190,"0"),STOCK!A:H,7,0),1)</f>
        <v>1</v>
      </c>
    </row>
    <row r="2191" spans="7:10" ht="35.450000000000003" hidden="1" customHeight="1">
      <c r="G2191" s="113"/>
      <c r="J2191" s="28">
        <f>IFERROR(VLOOKUP(TEXT(B2191,"0"),STOCK!A:H,7,0),1)</f>
        <v>1</v>
      </c>
    </row>
    <row r="2192" spans="7:10" ht="35.450000000000003" hidden="1" customHeight="1">
      <c r="G2192" s="113"/>
      <c r="J2192" s="28">
        <f>IFERROR(VLOOKUP(TEXT(B2192,"0"),STOCK!A:H,7,0),1)</f>
        <v>1</v>
      </c>
    </row>
    <row r="2193" spans="7:10" ht="35.450000000000003" hidden="1" customHeight="1">
      <c r="G2193" s="113"/>
      <c r="J2193" s="28">
        <f>IFERROR(VLOOKUP(TEXT(B2193,"0"),STOCK!A:H,7,0),1)</f>
        <v>1</v>
      </c>
    </row>
    <row r="2194" spans="7:10" ht="35.450000000000003" hidden="1" customHeight="1">
      <c r="G2194" s="113"/>
      <c r="J2194" s="28">
        <f>IFERROR(VLOOKUP(TEXT(B2194,"0"),STOCK!A:H,7,0),1)</f>
        <v>1</v>
      </c>
    </row>
    <row r="2195" spans="7:10" ht="35.450000000000003" hidden="1" customHeight="1">
      <c r="G2195" s="113"/>
      <c r="J2195" s="28">
        <f>IFERROR(VLOOKUP(TEXT(B2195,"0"),STOCK!A:H,7,0),1)</f>
        <v>1</v>
      </c>
    </row>
    <row r="2196" spans="7:10" ht="35.450000000000003" hidden="1" customHeight="1">
      <c r="G2196" s="113"/>
      <c r="J2196" s="28">
        <f>IFERROR(VLOOKUP(TEXT(B2196,"0"),STOCK!A:H,7,0),1)</f>
        <v>1</v>
      </c>
    </row>
    <row r="2197" spans="7:10" ht="35.450000000000003" hidden="1" customHeight="1">
      <c r="G2197" s="113"/>
      <c r="J2197" s="28">
        <f>IFERROR(VLOOKUP(TEXT(B2197,"0"),STOCK!A:H,7,0),1)</f>
        <v>1</v>
      </c>
    </row>
    <row r="2198" spans="7:10" ht="35.450000000000003" hidden="1" customHeight="1">
      <c r="G2198" s="113"/>
      <c r="J2198" s="28">
        <f>IFERROR(VLOOKUP(TEXT(B2198,"0"),STOCK!A:H,7,0),1)</f>
        <v>1</v>
      </c>
    </row>
    <row r="2199" spans="7:10" ht="35.450000000000003" hidden="1" customHeight="1">
      <c r="G2199" s="113"/>
      <c r="J2199" s="28">
        <f>IFERROR(VLOOKUP(TEXT(B2199,"0"),STOCK!A:H,7,0),1)</f>
        <v>1</v>
      </c>
    </row>
    <row r="2200" spans="7:10" ht="35.450000000000003" hidden="1" customHeight="1">
      <c r="G2200" s="113"/>
      <c r="J2200" s="28">
        <f>IFERROR(VLOOKUP(TEXT(B2200,"0"),STOCK!A:H,7,0),1)</f>
        <v>1</v>
      </c>
    </row>
    <row r="2201" spans="7:10" ht="35.450000000000003" hidden="1" customHeight="1">
      <c r="G2201" s="113"/>
      <c r="J2201" s="28">
        <f>IFERROR(VLOOKUP(TEXT(B2201,"0"),STOCK!A:H,7,0),1)</f>
        <v>1</v>
      </c>
    </row>
    <row r="2202" spans="7:10" ht="35.450000000000003" hidden="1" customHeight="1">
      <c r="G2202" s="113"/>
      <c r="J2202" s="28">
        <f>IFERROR(VLOOKUP(TEXT(B2202,"0"),STOCK!A:H,7,0),1)</f>
        <v>1</v>
      </c>
    </row>
    <row r="2203" spans="7:10" ht="35.450000000000003" hidden="1" customHeight="1">
      <c r="G2203" s="113"/>
      <c r="J2203" s="28">
        <f>IFERROR(VLOOKUP(TEXT(B2203,"0"),STOCK!A:H,7,0),1)</f>
        <v>1</v>
      </c>
    </row>
    <row r="2204" spans="7:10" ht="35.450000000000003" hidden="1" customHeight="1">
      <c r="G2204" s="113"/>
      <c r="J2204" s="28">
        <f>IFERROR(VLOOKUP(TEXT(B2204,"0"),STOCK!A:H,7,0),1)</f>
        <v>1</v>
      </c>
    </row>
    <row r="2205" spans="7:10" ht="35.450000000000003" hidden="1" customHeight="1">
      <c r="G2205" s="113"/>
      <c r="J2205" s="28">
        <f>IFERROR(VLOOKUP(TEXT(B2205,"0"),STOCK!A:H,7,0),1)</f>
        <v>1</v>
      </c>
    </row>
    <row r="2206" spans="7:10" ht="35.450000000000003" hidden="1" customHeight="1">
      <c r="G2206" s="113"/>
      <c r="J2206" s="28">
        <f>IFERROR(VLOOKUP(TEXT(B2206,"0"),STOCK!A:H,7,0),1)</f>
        <v>1</v>
      </c>
    </row>
    <row r="2207" spans="7:10" ht="35.450000000000003" hidden="1" customHeight="1">
      <c r="G2207" s="113"/>
      <c r="J2207" s="28">
        <f>IFERROR(VLOOKUP(TEXT(B2207,"0"),STOCK!A:H,7,0),1)</f>
        <v>1</v>
      </c>
    </row>
    <row r="2208" spans="7:10" ht="35.450000000000003" hidden="1" customHeight="1">
      <c r="G2208" s="113"/>
      <c r="J2208" s="28">
        <f>IFERROR(VLOOKUP(TEXT(B2208,"0"),STOCK!A:H,7,0),1)</f>
        <v>1</v>
      </c>
    </row>
    <row r="2209" spans="7:10" ht="35.450000000000003" hidden="1" customHeight="1">
      <c r="G2209" s="113"/>
      <c r="J2209" s="28">
        <f>IFERROR(VLOOKUP(TEXT(B2209,"0"),STOCK!A:H,7,0),1)</f>
        <v>1</v>
      </c>
    </row>
    <row r="2210" spans="7:10" ht="35.450000000000003" hidden="1" customHeight="1">
      <c r="G2210" s="113"/>
      <c r="J2210" s="28">
        <f>IFERROR(VLOOKUP(TEXT(B2210,"0"),STOCK!A:H,7,0),1)</f>
        <v>1</v>
      </c>
    </row>
    <row r="2211" spans="7:10" ht="35.450000000000003" hidden="1" customHeight="1">
      <c r="G2211" s="113"/>
      <c r="J2211" s="28">
        <f>IFERROR(VLOOKUP(TEXT(B2211,"0"),STOCK!A:H,7,0),1)</f>
        <v>1</v>
      </c>
    </row>
    <row r="2212" spans="7:10" ht="35.450000000000003" hidden="1" customHeight="1">
      <c r="G2212" s="113"/>
      <c r="J2212" s="28">
        <f>IFERROR(VLOOKUP(TEXT(B2212,"0"),STOCK!A:H,7,0),1)</f>
        <v>1</v>
      </c>
    </row>
    <row r="2213" spans="7:10" ht="35.450000000000003" hidden="1" customHeight="1">
      <c r="G2213" s="113"/>
      <c r="J2213" s="28">
        <f>IFERROR(VLOOKUP(TEXT(B2213,"0"),STOCK!A:H,7,0),1)</f>
        <v>1</v>
      </c>
    </row>
    <row r="2214" spans="7:10" ht="35.450000000000003" hidden="1" customHeight="1">
      <c r="G2214" s="113"/>
      <c r="J2214" s="28">
        <f>IFERROR(VLOOKUP(TEXT(B2214,"0"),STOCK!A:H,7,0),1)</f>
        <v>1</v>
      </c>
    </row>
    <row r="2215" spans="7:10" ht="35.450000000000003" hidden="1" customHeight="1">
      <c r="G2215" s="113"/>
      <c r="J2215" s="28">
        <f>IFERROR(VLOOKUP(TEXT(B2215,"0"),STOCK!A:H,7,0),1)</f>
        <v>1</v>
      </c>
    </row>
    <row r="2216" spans="7:10" ht="35.450000000000003" hidden="1" customHeight="1">
      <c r="G2216" s="113"/>
      <c r="J2216" s="28">
        <f>IFERROR(VLOOKUP(TEXT(B2216,"0"),STOCK!A:H,7,0),1)</f>
        <v>1</v>
      </c>
    </row>
    <row r="2217" spans="7:10" ht="35.450000000000003" hidden="1" customHeight="1">
      <c r="G2217" s="113"/>
      <c r="J2217" s="28">
        <f>IFERROR(VLOOKUP(TEXT(B2217,"0"),STOCK!A:H,7,0),1)</f>
        <v>1</v>
      </c>
    </row>
    <row r="2218" spans="7:10" ht="35.450000000000003" hidden="1" customHeight="1">
      <c r="G2218" s="113"/>
      <c r="J2218" s="28">
        <f>IFERROR(VLOOKUP(TEXT(B2218,"0"),STOCK!A:H,7,0),1)</f>
        <v>1</v>
      </c>
    </row>
    <row r="2219" spans="7:10" ht="35.450000000000003" hidden="1" customHeight="1">
      <c r="G2219" s="113"/>
      <c r="J2219" s="28">
        <f>IFERROR(VLOOKUP(TEXT(B2219,"0"),STOCK!A:H,7,0),1)</f>
        <v>1</v>
      </c>
    </row>
    <row r="2220" spans="7:10" ht="35.450000000000003" hidden="1" customHeight="1">
      <c r="G2220" s="113"/>
      <c r="J2220" s="28">
        <f>IFERROR(VLOOKUP(TEXT(B2220,"0"),STOCK!A:H,7,0),1)</f>
        <v>1</v>
      </c>
    </row>
    <row r="2221" spans="7:10" ht="35.450000000000003" hidden="1" customHeight="1">
      <c r="G2221" s="113"/>
      <c r="J2221" s="28">
        <f>IFERROR(VLOOKUP(TEXT(B2221,"0"),STOCK!A:H,7,0),1)</f>
        <v>1</v>
      </c>
    </row>
    <row r="2222" spans="7:10" ht="35.450000000000003" hidden="1" customHeight="1">
      <c r="G2222" s="113"/>
      <c r="J2222" s="28">
        <f>IFERROR(VLOOKUP(TEXT(B2222,"0"),STOCK!A:H,7,0),1)</f>
        <v>1</v>
      </c>
    </row>
    <row r="2223" spans="7:10" ht="35.450000000000003" hidden="1" customHeight="1">
      <c r="G2223" s="113"/>
      <c r="J2223" s="28">
        <f>IFERROR(VLOOKUP(TEXT(B2223,"0"),STOCK!A:H,7,0),1)</f>
        <v>1</v>
      </c>
    </row>
    <row r="2224" spans="7:10" ht="35.450000000000003" hidden="1" customHeight="1">
      <c r="G2224" s="113"/>
      <c r="J2224" s="28">
        <f>IFERROR(VLOOKUP(TEXT(B2224,"0"),STOCK!A:H,7,0),1)</f>
        <v>1</v>
      </c>
    </row>
    <row r="2225" spans="7:10" ht="35.450000000000003" hidden="1" customHeight="1">
      <c r="G2225" s="113"/>
      <c r="J2225" s="28">
        <f>IFERROR(VLOOKUP(TEXT(B2225,"0"),STOCK!A:H,7,0),1)</f>
        <v>1</v>
      </c>
    </row>
    <row r="2226" spans="7:10" ht="35.450000000000003" hidden="1" customHeight="1">
      <c r="G2226" s="113"/>
      <c r="J2226" s="28">
        <f>IFERROR(VLOOKUP(TEXT(B2226,"0"),STOCK!A:H,7,0),1)</f>
        <v>1</v>
      </c>
    </row>
    <row r="2227" spans="7:10" ht="35.450000000000003" hidden="1" customHeight="1">
      <c r="G2227" s="113"/>
      <c r="J2227" s="28">
        <f>IFERROR(VLOOKUP(TEXT(B2227,"0"),STOCK!A:H,7,0),1)</f>
        <v>1</v>
      </c>
    </row>
    <row r="2228" spans="7:10" ht="35.450000000000003" hidden="1" customHeight="1">
      <c r="G2228" s="113"/>
      <c r="J2228" s="28">
        <f>IFERROR(VLOOKUP(TEXT(B2228,"0"),STOCK!A:H,7,0),1)</f>
        <v>1</v>
      </c>
    </row>
    <row r="2229" spans="7:10" ht="35.450000000000003" hidden="1" customHeight="1">
      <c r="G2229" s="113"/>
      <c r="J2229" s="28">
        <f>IFERROR(VLOOKUP(TEXT(B2229,"0"),STOCK!A:H,7,0),1)</f>
        <v>1</v>
      </c>
    </row>
    <row r="2230" spans="7:10" ht="35.450000000000003" hidden="1" customHeight="1">
      <c r="G2230" s="113"/>
      <c r="J2230" s="28">
        <f>IFERROR(VLOOKUP(TEXT(B2230,"0"),STOCK!A:H,7,0),1)</f>
        <v>1</v>
      </c>
    </row>
    <row r="2231" spans="7:10" ht="35.450000000000003" hidden="1" customHeight="1">
      <c r="G2231" s="113"/>
      <c r="J2231" s="28">
        <f>IFERROR(VLOOKUP(TEXT(B2231,"0"),STOCK!A:H,7,0),1)</f>
        <v>1</v>
      </c>
    </row>
    <row r="2232" spans="7:10" ht="35.450000000000003" hidden="1" customHeight="1">
      <c r="G2232" s="113"/>
      <c r="J2232" s="28">
        <f>IFERROR(VLOOKUP(TEXT(B2232,"0"),STOCK!A:H,7,0),1)</f>
        <v>1</v>
      </c>
    </row>
    <row r="2233" spans="7:10" ht="35.450000000000003" hidden="1" customHeight="1">
      <c r="G2233" s="113"/>
      <c r="J2233" s="28">
        <f>IFERROR(VLOOKUP(TEXT(B2233,"0"),STOCK!A:H,7,0),1)</f>
        <v>1</v>
      </c>
    </row>
    <row r="2234" spans="7:10" ht="35.450000000000003" hidden="1" customHeight="1">
      <c r="G2234" s="113"/>
      <c r="J2234" s="28">
        <f>IFERROR(VLOOKUP(TEXT(B2234,"0"),STOCK!A:H,7,0),1)</f>
        <v>1</v>
      </c>
    </row>
    <row r="2235" spans="7:10" ht="35.450000000000003" hidden="1" customHeight="1">
      <c r="G2235" s="113"/>
      <c r="J2235" s="28">
        <f>IFERROR(VLOOKUP(TEXT(B2235,"0"),STOCK!A:H,7,0),1)</f>
        <v>1</v>
      </c>
    </row>
    <row r="2236" spans="7:10" ht="35.450000000000003" hidden="1" customHeight="1">
      <c r="G2236" s="113"/>
      <c r="J2236" s="28">
        <f>IFERROR(VLOOKUP(TEXT(B2236,"0"),STOCK!A:H,7,0),1)</f>
        <v>1</v>
      </c>
    </row>
    <row r="2237" spans="7:10" ht="35.450000000000003" hidden="1" customHeight="1">
      <c r="G2237" s="113"/>
      <c r="J2237" s="28">
        <f>IFERROR(VLOOKUP(TEXT(B2237,"0"),STOCK!A:H,7,0),1)</f>
        <v>1</v>
      </c>
    </row>
    <row r="2238" spans="7:10" ht="35.450000000000003" hidden="1" customHeight="1">
      <c r="G2238" s="113"/>
      <c r="J2238" s="28">
        <f>IFERROR(VLOOKUP(TEXT(B2238,"0"),STOCK!A:H,7,0),1)</f>
        <v>1</v>
      </c>
    </row>
    <row r="2239" spans="7:10" ht="35.450000000000003" hidden="1" customHeight="1">
      <c r="G2239" s="113"/>
      <c r="J2239" s="28">
        <f>IFERROR(VLOOKUP(TEXT(B2239,"0"),STOCK!A:H,7,0),1)</f>
        <v>1</v>
      </c>
    </row>
    <row r="2240" spans="7:10" ht="35.450000000000003" hidden="1" customHeight="1">
      <c r="G2240" s="113"/>
      <c r="J2240" s="28">
        <f>IFERROR(VLOOKUP(TEXT(B2240,"0"),STOCK!A:H,7,0),1)</f>
        <v>1</v>
      </c>
    </row>
    <row r="2241" spans="7:10" ht="35.450000000000003" hidden="1" customHeight="1">
      <c r="G2241" s="113"/>
      <c r="J2241" s="28">
        <f>IFERROR(VLOOKUP(TEXT(B2241,"0"),STOCK!A:H,7,0),1)</f>
        <v>1</v>
      </c>
    </row>
    <row r="2242" spans="7:10" ht="35.450000000000003" hidden="1" customHeight="1">
      <c r="G2242" s="113"/>
      <c r="J2242" s="28">
        <f>IFERROR(VLOOKUP(TEXT(B2242,"0"),STOCK!A:H,7,0),1)</f>
        <v>1</v>
      </c>
    </row>
    <row r="2243" spans="7:10" ht="35.450000000000003" hidden="1" customHeight="1">
      <c r="G2243" s="113"/>
      <c r="J2243" s="28">
        <f>IFERROR(VLOOKUP(TEXT(B2243,"0"),STOCK!A:H,7,0),1)</f>
        <v>1</v>
      </c>
    </row>
    <row r="2244" spans="7:10" ht="35.450000000000003" hidden="1" customHeight="1">
      <c r="G2244" s="113"/>
      <c r="J2244" s="28">
        <f>IFERROR(VLOOKUP(TEXT(B2244,"0"),STOCK!A:H,7,0),1)</f>
        <v>1</v>
      </c>
    </row>
    <row r="2245" spans="7:10" ht="35.450000000000003" hidden="1" customHeight="1">
      <c r="G2245" s="113"/>
      <c r="J2245" s="28">
        <f>IFERROR(VLOOKUP(TEXT(B2245,"0"),STOCK!A:H,7,0),1)</f>
        <v>1</v>
      </c>
    </row>
    <row r="2246" spans="7:10" ht="35.450000000000003" hidden="1" customHeight="1">
      <c r="G2246" s="113"/>
      <c r="J2246" s="28">
        <f>IFERROR(VLOOKUP(TEXT(B2246,"0"),STOCK!A:H,7,0),1)</f>
        <v>1</v>
      </c>
    </row>
    <row r="2247" spans="7:10" ht="35.450000000000003" hidden="1" customHeight="1">
      <c r="G2247" s="113"/>
      <c r="J2247" s="28">
        <f>IFERROR(VLOOKUP(TEXT(B2247,"0"),STOCK!A:H,7,0),1)</f>
        <v>1</v>
      </c>
    </row>
    <row r="2248" spans="7:10" ht="35.450000000000003" hidden="1" customHeight="1">
      <c r="G2248" s="113"/>
      <c r="J2248" s="28">
        <f>IFERROR(VLOOKUP(TEXT(B2248,"0"),STOCK!A:H,7,0),1)</f>
        <v>1</v>
      </c>
    </row>
    <row r="2249" spans="7:10" ht="35.450000000000003" hidden="1" customHeight="1">
      <c r="G2249" s="113"/>
      <c r="J2249" s="28">
        <f>IFERROR(VLOOKUP(TEXT(B2249,"0"),STOCK!A:H,7,0),1)</f>
        <v>1</v>
      </c>
    </row>
    <row r="2250" spans="7:10" ht="35.450000000000003" hidden="1" customHeight="1">
      <c r="G2250" s="113"/>
      <c r="J2250" s="28">
        <f>IFERROR(VLOOKUP(TEXT(B2250,"0"),STOCK!A:H,7,0),1)</f>
        <v>1</v>
      </c>
    </row>
    <row r="2251" spans="7:10" ht="35.450000000000003" hidden="1" customHeight="1">
      <c r="G2251" s="113"/>
      <c r="J2251" s="28">
        <f>IFERROR(VLOOKUP(TEXT(B2251,"0"),STOCK!A:H,7,0),1)</f>
        <v>1</v>
      </c>
    </row>
    <row r="2252" spans="7:10" ht="35.450000000000003" hidden="1" customHeight="1">
      <c r="G2252" s="113"/>
      <c r="J2252" s="28">
        <f>IFERROR(VLOOKUP(TEXT(B2252,"0"),STOCK!A:H,7,0),1)</f>
        <v>1</v>
      </c>
    </row>
    <row r="2253" spans="7:10" ht="35.450000000000003" hidden="1" customHeight="1">
      <c r="G2253" s="113"/>
      <c r="J2253" s="28">
        <f>IFERROR(VLOOKUP(TEXT(B2253,"0"),STOCK!A:H,7,0),1)</f>
        <v>1</v>
      </c>
    </row>
    <row r="2254" spans="7:10" ht="35.450000000000003" hidden="1" customHeight="1">
      <c r="G2254" s="113"/>
      <c r="J2254" s="28">
        <f>IFERROR(VLOOKUP(TEXT(B2254,"0"),STOCK!A:H,7,0),1)</f>
        <v>1</v>
      </c>
    </row>
    <row r="2255" spans="7:10" ht="35.450000000000003" hidden="1" customHeight="1">
      <c r="G2255" s="113"/>
      <c r="J2255" s="28">
        <f>IFERROR(VLOOKUP(TEXT(B2255,"0"),STOCK!A:H,7,0),1)</f>
        <v>1</v>
      </c>
    </row>
    <row r="2256" spans="7:10" ht="35.450000000000003" hidden="1" customHeight="1">
      <c r="G2256" s="113"/>
      <c r="J2256" s="28">
        <f>IFERROR(VLOOKUP(TEXT(B2256,"0"),STOCK!A:H,7,0),1)</f>
        <v>1</v>
      </c>
    </row>
    <row r="2257" spans="7:10" ht="35.450000000000003" hidden="1" customHeight="1">
      <c r="G2257" s="113"/>
      <c r="J2257" s="28">
        <f>IFERROR(VLOOKUP(TEXT(B2257,"0"),STOCK!A:H,7,0),1)</f>
        <v>1</v>
      </c>
    </row>
    <row r="2258" spans="7:10" ht="35.450000000000003" hidden="1" customHeight="1">
      <c r="G2258" s="113"/>
      <c r="J2258" s="28">
        <f>IFERROR(VLOOKUP(TEXT(B2258,"0"),STOCK!A:H,7,0),1)</f>
        <v>1</v>
      </c>
    </row>
    <row r="2259" spans="7:10" ht="35.450000000000003" hidden="1" customHeight="1">
      <c r="G2259" s="113"/>
      <c r="J2259" s="28">
        <f>IFERROR(VLOOKUP(TEXT(B2259,"0"),STOCK!A:H,7,0),1)</f>
        <v>1</v>
      </c>
    </row>
    <row r="2260" spans="7:10" ht="35.450000000000003" hidden="1" customHeight="1">
      <c r="G2260" s="113"/>
      <c r="J2260" s="28">
        <f>IFERROR(VLOOKUP(TEXT(B2260,"0"),STOCK!A:H,7,0),1)</f>
        <v>1</v>
      </c>
    </row>
    <row r="2261" spans="7:10" ht="35.450000000000003" hidden="1" customHeight="1">
      <c r="G2261" s="113"/>
      <c r="J2261" s="28">
        <f>IFERROR(VLOOKUP(TEXT(B2261,"0"),STOCK!A:H,7,0),1)</f>
        <v>1</v>
      </c>
    </row>
    <row r="2262" spans="7:10" ht="35.450000000000003" hidden="1" customHeight="1">
      <c r="G2262" s="113"/>
      <c r="J2262" s="28">
        <f>IFERROR(VLOOKUP(TEXT(B2262,"0"),STOCK!A:H,7,0),1)</f>
        <v>1</v>
      </c>
    </row>
    <row r="2263" spans="7:10" ht="35.450000000000003" hidden="1" customHeight="1">
      <c r="G2263" s="113"/>
      <c r="J2263" s="28">
        <f>IFERROR(VLOOKUP(TEXT(B2263,"0"),STOCK!A:H,7,0),1)</f>
        <v>1</v>
      </c>
    </row>
    <row r="2264" spans="7:10" ht="35.450000000000003" hidden="1" customHeight="1">
      <c r="G2264" s="113"/>
      <c r="J2264" s="28">
        <f>IFERROR(VLOOKUP(TEXT(B2264,"0"),STOCK!A:H,7,0),1)</f>
        <v>1</v>
      </c>
    </row>
    <row r="2265" spans="7:10" ht="35.450000000000003" hidden="1" customHeight="1">
      <c r="G2265" s="113"/>
      <c r="J2265" s="28">
        <f>IFERROR(VLOOKUP(TEXT(B2265,"0"),STOCK!A:H,7,0),1)</f>
        <v>1</v>
      </c>
    </row>
    <row r="2266" spans="7:10" ht="35.450000000000003" hidden="1" customHeight="1">
      <c r="G2266" s="113"/>
      <c r="J2266" s="28">
        <f>IFERROR(VLOOKUP(TEXT(B2266,"0"),STOCK!A:H,7,0),1)</f>
        <v>1</v>
      </c>
    </row>
    <row r="2267" spans="7:10" ht="35.450000000000003" hidden="1" customHeight="1">
      <c r="G2267" s="113"/>
      <c r="J2267" s="28">
        <f>IFERROR(VLOOKUP(TEXT(B2267,"0"),STOCK!A:H,7,0),1)</f>
        <v>1</v>
      </c>
    </row>
    <row r="2268" spans="7:10" ht="35.450000000000003" hidden="1" customHeight="1">
      <c r="G2268" s="113"/>
      <c r="J2268" s="28">
        <f>IFERROR(VLOOKUP(TEXT(B2268,"0"),STOCK!A:H,7,0),1)</f>
        <v>1</v>
      </c>
    </row>
    <row r="2269" spans="7:10" ht="35.450000000000003" hidden="1" customHeight="1">
      <c r="G2269" s="113"/>
      <c r="J2269" s="28">
        <f>IFERROR(VLOOKUP(TEXT(B2269,"0"),STOCK!A:H,7,0),1)</f>
        <v>1</v>
      </c>
    </row>
    <row r="2270" spans="7:10" ht="35.450000000000003" hidden="1" customHeight="1">
      <c r="G2270" s="113"/>
      <c r="J2270" s="28">
        <f>IFERROR(VLOOKUP(TEXT(B2270,"0"),STOCK!A:H,7,0),1)</f>
        <v>1</v>
      </c>
    </row>
    <row r="2271" spans="7:10" ht="35.450000000000003" hidden="1" customHeight="1">
      <c r="G2271" s="113"/>
      <c r="J2271" s="28">
        <f>IFERROR(VLOOKUP(TEXT(B2271,"0"),STOCK!A:H,7,0),1)</f>
        <v>1</v>
      </c>
    </row>
    <row r="2272" spans="7:10" ht="35.450000000000003" hidden="1" customHeight="1">
      <c r="G2272" s="113"/>
      <c r="J2272" s="28">
        <f>IFERROR(VLOOKUP(TEXT(B2272,"0"),STOCK!A:H,7,0),1)</f>
        <v>1</v>
      </c>
    </row>
    <row r="2273" spans="7:10" ht="35.450000000000003" hidden="1" customHeight="1">
      <c r="G2273" s="113"/>
      <c r="J2273" s="28">
        <f>IFERROR(VLOOKUP(TEXT(B2273,"0"),STOCK!A:H,7,0),1)</f>
        <v>1</v>
      </c>
    </row>
    <row r="2274" spans="7:10" ht="35.450000000000003" hidden="1" customHeight="1">
      <c r="G2274" s="113"/>
      <c r="J2274" s="28">
        <f>IFERROR(VLOOKUP(TEXT(B2274,"0"),STOCK!A:H,7,0),1)</f>
        <v>1</v>
      </c>
    </row>
    <row r="2275" spans="7:10" ht="35.450000000000003" hidden="1" customHeight="1">
      <c r="G2275" s="113"/>
      <c r="J2275" s="28">
        <f>IFERROR(VLOOKUP(TEXT(B2275,"0"),STOCK!A:H,7,0),1)</f>
        <v>1</v>
      </c>
    </row>
    <row r="2276" spans="7:10" ht="35.450000000000003" hidden="1" customHeight="1">
      <c r="G2276" s="113"/>
      <c r="J2276" s="28">
        <f>IFERROR(VLOOKUP(TEXT(B2276,"0"),STOCK!A:H,7,0),1)</f>
        <v>1</v>
      </c>
    </row>
    <row r="2277" spans="7:10" ht="35.450000000000003" hidden="1" customHeight="1">
      <c r="G2277" s="113"/>
      <c r="J2277" s="28">
        <f>IFERROR(VLOOKUP(TEXT(B2277,"0"),STOCK!A:H,7,0),1)</f>
        <v>1</v>
      </c>
    </row>
    <row r="2278" spans="7:10" ht="35.450000000000003" hidden="1" customHeight="1">
      <c r="G2278" s="113"/>
      <c r="J2278" s="28">
        <f>IFERROR(VLOOKUP(TEXT(B2278,"0"),STOCK!A:H,7,0),1)</f>
        <v>1</v>
      </c>
    </row>
    <row r="2279" spans="7:10" ht="35.450000000000003" hidden="1" customHeight="1">
      <c r="G2279" s="113"/>
      <c r="J2279" s="28">
        <f>IFERROR(VLOOKUP(TEXT(B2279,"0"),STOCK!A:H,7,0),1)</f>
        <v>1</v>
      </c>
    </row>
    <row r="2280" spans="7:10" ht="35.450000000000003" hidden="1" customHeight="1">
      <c r="G2280" s="113"/>
      <c r="J2280" s="28">
        <f>IFERROR(VLOOKUP(TEXT(B2280,"0"),STOCK!A:H,7,0),1)</f>
        <v>1</v>
      </c>
    </row>
    <row r="2281" spans="7:10" ht="35.450000000000003" hidden="1" customHeight="1">
      <c r="G2281" s="113"/>
      <c r="J2281" s="28">
        <f>IFERROR(VLOOKUP(TEXT(B2281,"0"),STOCK!A:H,7,0),1)</f>
        <v>1</v>
      </c>
    </row>
    <row r="2282" spans="7:10" ht="35.450000000000003" hidden="1" customHeight="1">
      <c r="G2282" s="113"/>
      <c r="J2282" s="28">
        <f>IFERROR(VLOOKUP(TEXT(B2282,"0"),STOCK!A:H,7,0),1)</f>
        <v>1</v>
      </c>
    </row>
    <row r="2283" spans="7:10" ht="35.450000000000003" hidden="1" customHeight="1">
      <c r="G2283" s="113"/>
      <c r="J2283" s="28">
        <f>IFERROR(VLOOKUP(TEXT(B2283,"0"),STOCK!A:H,7,0),1)</f>
        <v>1</v>
      </c>
    </row>
    <row r="2284" spans="7:10" ht="35.450000000000003" hidden="1" customHeight="1">
      <c r="G2284" s="113"/>
      <c r="J2284" s="28">
        <f>IFERROR(VLOOKUP(TEXT(B2284,"0"),STOCK!A:H,7,0),1)</f>
        <v>1</v>
      </c>
    </row>
    <row r="2285" spans="7:10" ht="35.450000000000003" hidden="1" customHeight="1">
      <c r="G2285" s="113"/>
      <c r="J2285" s="28">
        <f>IFERROR(VLOOKUP(TEXT(B2285,"0"),STOCK!A:H,7,0),1)</f>
        <v>1</v>
      </c>
    </row>
    <row r="2286" spans="7:10" ht="35.450000000000003" hidden="1" customHeight="1">
      <c r="G2286" s="113"/>
      <c r="J2286" s="28">
        <f>IFERROR(VLOOKUP(TEXT(B2286,"0"),STOCK!A:H,7,0),1)</f>
        <v>1</v>
      </c>
    </row>
    <row r="2287" spans="7:10" ht="35.450000000000003" hidden="1" customHeight="1">
      <c r="G2287" s="113"/>
      <c r="J2287" s="28">
        <f>IFERROR(VLOOKUP(TEXT(B2287,"0"),STOCK!A:H,7,0),1)</f>
        <v>1</v>
      </c>
    </row>
    <row r="2288" spans="7:10" ht="35.450000000000003" hidden="1" customHeight="1">
      <c r="G2288" s="113"/>
      <c r="J2288" s="28">
        <f>IFERROR(VLOOKUP(TEXT(B2288,"0"),STOCK!A:H,7,0),1)</f>
        <v>1</v>
      </c>
    </row>
    <row r="2289" spans="7:10" ht="35.450000000000003" hidden="1" customHeight="1">
      <c r="G2289" s="113"/>
      <c r="J2289" s="28">
        <f>IFERROR(VLOOKUP(TEXT(B2289,"0"),STOCK!A:H,7,0),1)</f>
        <v>1</v>
      </c>
    </row>
    <row r="2290" spans="7:10" ht="35.450000000000003" hidden="1" customHeight="1">
      <c r="G2290" s="113"/>
      <c r="J2290" s="28">
        <f>IFERROR(VLOOKUP(TEXT(B2290,"0"),STOCK!A:H,7,0),1)</f>
        <v>1</v>
      </c>
    </row>
    <row r="2291" spans="7:10" ht="35.450000000000003" hidden="1" customHeight="1">
      <c r="G2291" s="113"/>
      <c r="J2291" s="28">
        <f>IFERROR(VLOOKUP(TEXT(B2291,"0"),STOCK!A:H,7,0),1)</f>
        <v>1</v>
      </c>
    </row>
    <row r="2292" spans="7:10" ht="35.450000000000003" hidden="1" customHeight="1">
      <c r="G2292" s="113"/>
      <c r="J2292" s="28">
        <f>IFERROR(VLOOKUP(TEXT(B2292,"0"),STOCK!A:H,7,0),1)</f>
        <v>1</v>
      </c>
    </row>
    <row r="2293" spans="7:10" ht="35.450000000000003" hidden="1" customHeight="1">
      <c r="G2293" s="113"/>
      <c r="J2293" s="28">
        <f>IFERROR(VLOOKUP(TEXT(B2293,"0"),STOCK!A:H,7,0),1)</f>
        <v>1</v>
      </c>
    </row>
    <row r="2294" spans="7:10" ht="35.450000000000003" hidden="1" customHeight="1">
      <c r="G2294" s="113"/>
      <c r="J2294" s="28">
        <f>IFERROR(VLOOKUP(TEXT(B2294,"0"),STOCK!A:H,7,0),1)</f>
        <v>1</v>
      </c>
    </row>
    <row r="2295" spans="7:10" ht="35.450000000000003" hidden="1" customHeight="1">
      <c r="G2295" s="113"/>
      <c r="J2295" s="28">
        <f>IFERROR(VLOOKUP(TEXT(B2295,"0"),STOCK!A:H,7,0),1)</f>
        <v>1</v>
      </c>
    </row>
    <row r="2296" spans="7:10" ht="35.450000000000003" hidden="1" customHeight="1">
      <c r="G2296" s="113"/>
      <c r="J2296" s="28">
        <f>IFERROR(VLOOKUP(TEXT(B2296,"0"),STOCK!A:H,7,0),1)</f>
        <v>1</v>
      </c>
    </row>
    <row r="2297" spans="7:10" ht="35.450000000000003" hidden="1" customHeight="1">
      <c r="G2297" s="113"/>
      <c r="J2297" s="28">
        <f>IFERROR(VLOOKUP(TEXT(B2297,"0"),STOCK!A:H,7,0),1)</f>
        <v>1</v>
      </c>
    </row>
    <row r="2298" spans="7:10" ht="35.450000000000003" hidden="1" customHeight="1">
      <c r="G2298" s="113"/>
      <c r="J2298" s="28">
        <f>IFERROR(VLOOKUP(TEXT(B2298,"0"),STOCK!A:H,7,0),1)</f>
        <v>1</v>
      </c>
    </row>
    <row r="2299" spans="7:10" ht="35.450000000000003" hidden="1" customHeight="1">
      <c r="G2299" s="113"/>
      <c r="J2299" s="28">
        <f>IFERROR(VLOOKUP(TEXT(B2299,"0"),STOCK!A:H,7,0),1)</f>
        <v>1</v>
      </c>
    </row>
    <row r="2300" spans="7:10" ht="35.450000000000003" hidden="1" customHeight="1">
      <c r="G2300" s="113"/>
      <c r="J2300" s="28">
        <f>IFERROR(VLOOKUP(TEXT(B2300,"0"),STOCK!A:H,7,0),1)</f>
        <v>1</v>
      </c>
    </row>
    <row r="2301" spans="7:10" ht="35.450000000000003" hidden="1" customHeight="1">
      <c r="G2301" s="113"/>
      <c r="J2301" s="28">
        <f>IFERROR(VLOOKUP(TEXT(B2301,"0"),STOCK!A:H,7,0),1)</f>
        <v>1</v>
      </c>
    </row>
    <row r="2302" spans="7:10" ht="35.450000000000003" hidden="1" customHeight="1">
      <c r="G2302" s="113"/>
      <c r="J2302" s="28">
        <f>IFERROR(VLOOKUP(TEXT(B2302,"0"),STOCK!A:H,7,0),1)</f>
        <v>1</v>
      </c>
    </row>
    <row r="2303" spans="7:10" ht="35.450000000000003" hidden="1" customHeight="1">
      <c r="G2303" s="113"/>
      <c r="J2303" s="28">
        <f>IFERROR(VLOOKUP(TEXT(B2303,"0"),STOCK!A:H,7,0),1)</f>
        <v>1</v>
      </c>
    </row>
    <row r="2304" spans="7:10" ht="35.450000000000003" hidden="1" customHeight="1">
      <c r="G2304" s="113"/>
      <c r="J2304" s="28">
        <f>IFERROR(VLOOKUP(TEXT(B2304,"0"),STOCK!A:H,7,0),1)</f>
        <v>1</v>
      </c>
    </row>
    <row r="2305" spans="7:10" ht="35.450000000000003" hidden="1" customHeight="1">
      <c r="G2305" s="113"/>
      <c r="J2305" s="28">
        <f>IFERROR(VLOOKUP(TEXT(B2305,"0"),STOCK!A:H,7,0),1)</f>
        <v>1</v>
      </c>
    </row>
    <row r="2306" spans="7:10" ht="35.450000000000003" hidden="1" customHeight="1">
      <c r="G2306" s="113"/>
      <c r="J2306" s="28">
        <f>IFERROR(VLOOKUP(TEXT(B2306,"0"),STOCK!A:H,7,0),1)</f>
        <v>1</v>
      </c>
    </row>
    <row r="2307" spans="7:10" ht="35.450000000000003" hidden="1" customHeight="1">
      <c r="G2307" s="113"/>
      <c r="J2307" s="28">
        <f>IFERROR(VLOOKUP(TEXT(B2307,"0"),STOCK!A:H,7,0),1)</f>
        <v>1</v>
      </c>
    </row>
    <row r="2308" spans="7:10" ht="35.450000000000003" hidden="1" customHeight="1">
      <c r="G2308" s="113"/>
      <c r="J2308" s="28">
        <f>IFERROR(VLOOKUP(TEXT(B2308,"0"),STOCK!A:H,7,0),1)</f>
        <v>1</v>
      </c>
    </row>
    <row r="2309" spans="7:10" ht="35.450000000000003" hidden="1" customHeight="1">
      <c r="G2309" s="113"/>
      <c r="J2309" s="28">
        <f>IFERROR(VLOOKUP(TEXT(B2309,"0"),STOCK!A:H,7,0),1)</f>
        <v>1</v>
      </c>
    </row>
    <row r="2310" spans="7:10" ht="35.450000000000003" hidden="1" customHeight="1">
      <c r="G2310" s="113"/>
      <c r="J2310" s="28">
        <f>IFERROR(VLOOKUP(TEXT(B2310,"0"),STOCK!A:H,7,0),1)</f>
        <v>1</v>
      </c>
    </row>
    <row r="2311" spans="7:10" ht="35.450000000000003" hidden="1" customHeight="1">
      <c r="G2311" s="113"/>
      <c r="J2311" s="28">
        <f>IFERROR(VLOOKUP(TEXT(B2311,"0"),STOCK!A:H,7,0),1)</f>
        <v>1</v>
      </c>
    </row>
    <row r="2312" spans="7:10" ht="35.450000000000003" hidden="1" customHeight="1">
      <c r="G2312" s="113"/>
      <c r="J2312" s="28">
        <f>IFERROR(VLOOKUP(TEXT(B2312,"0"),STOCK!A:H,7,0),1)</f>
        <v>1</v>
      </c>
    </row>
    <row r="2313" spans="7:10" ht="35.450000000000003" hidden="1" customHeight="1">
      <c r="G2313" s="113"/>
      <c r="J2313" s="28">
        <f>IFERROR(VLOOKUP(TEXT(B2313,"0"),STOCK!A:H,7,0),1)</f>
        <v>1</v>
      </c>
    </row>
    <row r="2314" spans="7:10" ht="35.450000000000003" hidden="1" customHeight="1">
      <c r="G2314" s="113"/>
      <c r="J2314" s="28">
        <f>IFERROR(VLOOKUP(TEXT(B2314,"0"),STOCK!A:H,7,0),1)</f>
        <v>1</v>
      </c>
    </row>
    <row r="2315" spans="7:10" ht="35.450000000000003" hidden="1" customHeight="1">
      <c r="G2315" s="113"/>
      <c r="J2315" s="28">
        <f>IFERROR(VLOOKUP(TEXT(B2315,"0"),STOCK!A:H,7,0),1)</f>
        <v>1</v>
      </c>
    </row>
    <row r="2316" spans="7:10" ht="35.450000000000003" hidden="1" customHeight="1">
      <c r="G2316" s="113"/>
      <c r="J2316" s="28">
        <f>IFERROR(VLOOKUP(TEXT(B2316,"0"),STOCK!A:H,7,0),1)</f>
        <v>1</v>
      </c>
    </row>
    <row r="2317" spans="7:10" ht="35.450000000000003" hidden="1" customHeight="1">
      <c r="G2317" s="113"/>
      <c r="J2317" s="28">
        <f>IFERROR(VLOOKUP(TEXT(B2317,"0"),STOCK!A:H,7,0),1)</f>
        <v>1</v>
      </c>
    </row>
    <row r="2318" spans="7:10" ht="35.450000000000003" hidden="1" customHeight="1">
      <c r="G2318" s="113"/>
      <c r="J2318" s="28">
        <f>IFERROR(VLOOKUP(TEXT(B2318,"0"),STOCK!A:H,7,0),1)</f>
        <v>1</v>
      </c>
    </row>
    <row r="2319" spans="7:10" ht="35.450000000000003" hidden="1" customHeight="1">
      <c r="G2319" s="113"/>
      <c r="J2319" s="28">
        <f>IFERROR(VLOOKUP(TEXT(B2319,"0"),STOCK!A:H,7,0),1)</f>
        <v>1</v>
      </c>
    </row>
    <row r="2320" spans="7:10" ht="35.450000000000003" hidden="1" customHeight="1">
      <c r="G2320" s="113"/>
      <c r="J2320" s="28">
        <f>IFERROR(VLOOKUP(TEXT(B2320,"0"),STOCK!A:H,7,0),1)</f>
        <v>1</v>
      </c>
    </row>
    <row r="2321" spans="7:10" ht="35.450000000000003" hidden="1" customHeight="1">
      <c r="G2321" s="113"/>
      <c r="J2321" s="28">
        <f>IFERROR(VLOOKUP(TEXT(B2321,"0"),STOCK!A:H,7,0),1)</f>
        <v>1</v>
      </c>
    </row>
    <row r="2322" spans="7:10" ht="35.450000000000003" hidden="1" customHeight="1">
      <c r="G2322" s="113"/>
      <c r="J2322" s="28">
        <f>IFERROR(VLOOKUP(TEXT(B2322,"0"),STOCK!A:H,7,0),1)</f>
        <v>1</v>
      </c>
    </row>
    <row r="2323" spans="7:10" ht="35.450000000000003" hidden="1" customHeight="1">
      <c r="G2323" s="113"/>
      <c r="J2323" s="28">
        <f>IFERROR(VLOOKUP(TEXT(B2323,"0"),STOCK!A:H,7,0),1)</f>
        <v>1</v>
      </c>
    </row>
    <row r="2324" spans="7:10" ht="35.450000000000003" hidden="1" customHeight="1">
      <c r="G2324" s="113"/>
      <c r="J2324" s="28">
        <f>IFERROR(VLOOKUP(TEXT(B2324,"0"),STOCK!A:H,7,0),1)</f>
        <v>1</v>
      </c>
    </row>
    <row r="2325" spans="7:10" ht="35.450000000000003" hidden="1" customHeight="1">
      <c r="G2325" s="113"/>
      <c r="J2325" s="28">
        <f>IFERROR(VLOOKUP(TEXT(B2325,"0"),STOCK!A:H,7,0),1)</f>
        <v>1</v>
      </c>
    </row>
    <row r="2326" spans="7:10" ht="35.450000000000003" hidden="1" customHeight="1">
      <c r="G2326" s="113"/>
      <c r="J2326" s="28">
        <f>IFERROR(VLOOKUP(TEXT(B2326,"0"),STOCK!A:H,7,0),1)</f>
        <v>1</v>
      </c>
    </row>
    <row r="2327" spans="7:10" ht="35.450000000000003" hidden="1" customHeight="1">
      <c r="G2327" s="113"/>
      <c r="J2327" s="28">
        <f>IFERROR(VLOOKUP(TEXT(B2327,"0"),STOCK!A:H,7,0),1)</f>
        <v>1</v>
      </c>
    </row>
    <row r="2328" spans="7:10" ht="35.450000000000003" hidden="1" customHeight="1">
      <c r="G2328" s="113"/>
      <c r="J2328" s="28">
        <f>IFERROR(VLOOKUP(TEXT(B2328,"0"),STOCK!A:H,7,0),1)</f>
        <v>1</v>
      </c>
    </row>
    <row r="2329" spans="7:10" ht="35.450000000000003" hidden="1" customHeight="1">
      <c r="G2329" s="113"/>
      <c r="J2329" s="28">
        <f>IFERROR(VLOOKUP(TEXT(B2329,"0"),STOCK!A:H,7,0),1)</f>
        <v>1</v>
      </c>
    </row>
    <row r="2330" spans="7:10" ht="35.450000000000003" hidden="1" customHeight="1">
      <c r="G2330" s="113"/>
      <c r="J2330" s="28">
        <f>IFERROR(VLOOKUP(TEXT(B2330,"0"),STOCK!A:H,7,0),1)</f>
        <v>1</v>
      </c>
    </row>
    <row r="2331" spans="7:10" ht="35.450000000000003" hidden="1" customHeight="1">
      <c r="G2331" s="113"/>
      <c r="J2331" s="28">
        <f>IFERROR(VLOOKUP(TEXT(B2331,"0"),STOCK!A:H,7,0),1)</f>
        <v>1</v>
      </c>
    </row>
    <row r="2332" spans="7:10" ht="35.450000000000003" hidden="1" customHeight="1">
      <c r="G2332" s="113"/>
      <c r="J2332" s="28">
        <f>IFERROR(VLOOKUP(TEXT(B2332,"0"),STOCK!A:H,7,0),1)</f>
        <v>1</v>
      </c>
    </row>
    <row r="2333" spans="7:10" ht="35.450000000000003" hidden="1" customHeight="1">
      <c r="G2333" s="113"/>
      <c r="J2333" s="28">
        <f>IFERROR(VLOOKUP(TEXT(B2333,"0"),STOCK!A:H,7,0),1)</f>
        <v>1</v>
      </c>
    </row>
    <row r="2334" spans="7:10" ht="35.450000000000003" hidden="1" customHeight="1">
      <c r="G2334" s="113"/>
      <c r="J2334" s="28">
        <f>IFERROR(VLOOKUP(TEXT(B2334,"0"),STOCK!A:H,7,0),1)</f>
        <v>1</v>
      </c>
    </row>
    <row r="2335" spans="7:10" ht="35.450000000000003" hidden="1" customHeight="1">
      <c r="G2335" s="113"/>
      <c r="J2335" s="28">
        <f>IFERROR(VLOOKUP(TEXT(B2335,"0"),STOCK!A:H,7,0),1)</f>
        <v>1</v>
      </c>
    </row>
    <row r="2336" spans="7:10" ht="35.450000000000003" hidden="1" customHeight="1">
      <c r="G2336" s="113"/>
      <c r="J2336" s="28">
        <f>IFERROR(VLOOKUP(TEXT(B2336,"0"),STOCK!A:H,7,0),1)</f>
        <v>1</v>
      </c>
    </row>
    <row r="2337" spans="7:10" ht="35.450000000000003" hidden="1" customHeight="1">
      <c r="G2337" s="113"/>
      <c r="J2337" s="28">
        <f>IFERROR(VLOOKUP(TEXT(B2337,"0"),STOCK!A:H,7,0),1)</f>
        <v>1</v>
      </c>
    </row>
    <row r="2338" spans="7:10" ht="35.450000000000003" hidden="1" customHeight="1">
      <c r="G2338" s="113"/>
      <c r="J2338" s="28">
        <f>IFERROR(VLOOKUP(TEXT(B2338,"0"),STOCK!A:H,7,0),1)</f>
        <v>1</v>
      </c>
    </row>
    <row r="2339" spans="7:10" ht="35.450000000000003" hidden="1" customHeight="1">
      <c r="G2339" s="113"/>
      <c r="J2339" s="28">
        <f>IFERROR(VLOOKUP(TEXT(B2339,"0"),STOCK!A:H,7,0),1)</f>
        <v>1</v>
      </c>
    </row>
    <row r="2340" spans="7:10" ht="35.450000000000003" hidden="1" customHeight="1">
      <c r="G2340" s="113"/>
      <c r="J2340" s="28">
        <f>IFERROR(VLOOKUP(TEXT(B2340,"0"),STOCK!A:H,7,0),1)</f>
        <v>1</v>
      </c>
    </row>
    <row r="2341" spans="7:10" ht="35.450000000000003" hidden="1" customHeight="1">
      <c r="G2341" s="113"/>
      <c r="J2341" s="28">
        <f>IFERROR(VLOOKUP(TEXT(B2341,"0"),STOCK!A:H,7,0),1)</f>
        <v>1</v>
      </c>
    </row>
    <row r="2342" spans="7:10" ht="35.450000000000003" hidden="1" customHeight="1">
      <c r="G2342" s="113"/>
      <c r="J2342" s="28">
        <f>IFERROR(VLOOKUP(TEXT(B2342,"0"),STOCK!A:H,7,0),1)</f>
        <v>1</v>
      </c>
    </row>
    <row r="2343" spans="7:10" ht="35.450000000000003" hidden="1" customHeight="1">
      <c r="G2343" s="113"/>
      <c r="J2343" s="28">
        <f>IFERROR(VLOOKUP(TEXT(B2343,"0"),STOCK!A:H,7,0),1)</f>
        <v>1</v>
      </c>
    </row>
    <row r="2344" spans="7:10" ht="35.450000000000003" hidden="1" customHeight="1">
      <c r="G2344" s="113"/>
      <c r="J2344" s="28">
        <f>IFERROR(VLOOKUP(TEXT(B2344,"0"),STOCK!A:H,7,0),1)</f>
        <v>1</v>
      </c>
    </row>
    <row r="2345" spans="7:10" ht="35.450000000000003" hidden="1" customHeight="1">
      <c r="G2345" s="113"/>
      <c r="J2345" s="28">
        <f>IFERROR(VLOOKUP(TEXT(B2345,"0"),STOCK!A:H,7,0),1)</f>
        <v>1</v>
      </c>
    </row>
    <row r="2346" spans="7:10" ht="35.450000000000003" hidden="1" customHeight="1">
      <c r="G2346" s="113"/>
      <c r="J2346" s="28">
        <f>IFERROR(VLOOKUP(TEXT(B2346,"0"),STOCK!A:H,7,0),1)</f>
        <v>1</v>
      </c>
    </row>
    <row r="2347" spans="7:10" ht="35.450000000000003" hidden="1" customHeight="1">
      <c r="G2347" s="113"/>
      <c r="J2347" s="28">
        <f>IFERROR(VLOOKUP(TEXT(B2347,"0"),STOCK!A:H,7,0),1)</f>
        <v>1</v>
      </c>
    </row>
    <row r="2348" spans="7:10" ht="35.450000000000003" hidden="1" customHeight="1">
      <c r="G2348" s="113"/>
      <c r="J2348" s="28">
        <f>IFERROR(VLOOKUP(TEXT(B2348,"0"),STOCK!A:H,7,0),1)</f>
        <v>1</v>
      </c>
    </row>
    <row r="2349" spans="7:10" ht="35.450000000000003" hidden="1" customHeight="1">
      <c r="G2349" s="113"/>
      <c r="J2349" s="28">
        <f>IFERROR(VLOOKUP(TEXT(B2349,"0"),STOCK!A:H,7,0),1)</f>
        <v>1</v>
      </c>
    </row>
    <row r="2350" spans="7:10" ht="35.450000000000003" hidden="1" customHeight="1">
      <c r="G2350" s="113"/>
      <c r="J2350" s="28">
        <f>IFERROR(VLOOKUP(TEXT(B2350,"0"),STOCK!A:H,7,0),1)</f>
        <v>1</v>
      </c>
    </row>
    <row r="2351" spans="7:10" ht="35.450000000000003" hidden="1" customHeight="1">
      <c r="G2351" s="113"/>
      <c r="J2351" s="28">
        <f>IFERROR(VLOOKUP(TEXT(B2351,"0"),STOCK!A:H,7,0),1)</f>
        <v>1</v>
      </c>
    </row>
    <row r="2352" spans="7:10" ht="35.450000000000003" hidden="1" customHeight="1">
      <c r="G2352" s="113"/>
      <c r="J2352" s="28">
        <f>IFERROR(VLOOKUP(TEXT(B2352,"0"),STOCK!A:H,7,0),1)</f>
        <v>1</v>
      </c>
    </row>
    <row r="2353" spans="7:10" ht="35.450000000000003" hidden="1" customHeight="1">
      <c r="G2353" s="113"/>
      <c r="J2353" s="28">
        <f>IFERROR(VLOOKUP(TEXT(B2353,"0"),STOCK!A:H,7,0),1)</f>
        <v>1</v>
      </c>
    </row>
    <row r="2354" spans="7:10" ht="35.450000000000003" hidden="1" customHeight="1">
      <c r="G2354" s="113"/>
      <c r="J2354" s="28">
        <f>IFERROR(VLOOKUP(TEXT(B2354,"0"),STOCK!A:H,7,0),1)</f>
        <v>1</v>
      </c>
    </row>
    <row r="2355" spans="7:10" ht="35.450000000000003" hidden="1" customHeight="1">
      <c r="G2355" s="113"/>
      <c r="J2355" s="28">
        <f>IFERROR(VLOOKUP(TEXT(B2355,"0"),STOCK!A:H,7,0),1)</f>
        <v>1</v>
      </c>
    </row>
    <row r="2356" spans="7:10" ht="35.450000000000003" hidden="1" customHeight="1">
      <c r="G2356" s="113"/>
      <c r="J2356" s="28">
        <f>IFERROR(VLOOKUP(TEXT(B2356,"0"),STOCK!A:H,7,0),1)</f>
        <v>1</v>
      </c>
    </row>
    <row r="2357" spans="7:10" ht="35.450000000000003" hidden="1" customHeight="1">
      <c r="G2357" s="113"/>
      <c r="J2357" s="28">
        <f>IFERROR(VLOOKUP(TEXT(B2357,"0"),STOCK!A:H,7,0),1)</f>
        <v>1</v>
      </c>
    </row>
    <row r="2358" spans="7:10" ht="35.450000000000003" hidden="1" customHeight="1">
      <c r="G2358" s="113"/>
      <c r="J2358" s="28">
        <f>IFERROR(VLOOKUP(TEXT(B2358,"0"),STOCK!A:H,7,0),1)</f>
        <v>1</v>
      </c>
    </row>
    <row r="2359" spans="7:10" ht="35.450000000000003" hidden="1" customHeight="1">
      <c r="G2359" s="113"/>
      <c r="J2359" s="28">
        <f>IFERROR(VLOOKUP(TEXT(B2359,"0"),STOCK!A:H,7,0),1)</f>
        <v>1</v>
      </c>
    </row>
    <row r="2360" spans="7:10" ht="35.450000000000003" hidden="1" customHeight="1">
      <c r="G2360" s="113"/>
      <c r="J2360" s="28">
        <f>IFERROR(VLOOKUP(TEXT(B2360,"0"),STOCK!A:H,7,0),1)</f>
        <v>1</v>
      </c>
    </row>
    <row r="2361" spans="7:10" ht="35.450000000000003" hidden="1" customHeight="1">
      <c r="G2361" s="113"/>
      <c r="J2361" s="28">
        <f>IFERROR(VLOOKUP(TEXT(B2361,"0"),STOCK!A:H,7,0),1)</f>
        <v>1</v>
      </c>
    </row>
    <row r="2362" spans="7:10" ht="35.450000000000003" hidden="1" customHeight="1">
      <c r="G2362" s="113"/>
      <c r="J2362" s="28">
        <f>IFERROR(VLOOKUP(TEXT(B2362,"0"),STOCK!A:H,7,0),1)</f>
        <v>1</v>
      </c>
    </row>
    <row r="2363" spans="7:10" ht="35.450000000000003" hidden="1" customHeight="1">
      <c r="G2363" s="113"/>
      <c r="J2363" s="28">
        <f>IFERROR(VLOOKUP(TEXT(B2363,"0"),STOCK!A:H,7,0),1)</f>
        <v>1</v>
      </c>
    </row>
    <row r="2364" spans="7:10" ht="35.450000000000003" hidden="1" customHeight="1">
      <c r="G2364" s="113"/>
      <c r="J2364" s="28">
        <f>IFERROR(VLOOKUP(TEXT(B2364,"0"),STOCK!A:H,7,0),1)</f>
        <v>1</v>
      </c>
    </row>
    <row r="2365" spans="7:10" ht="35.450000000000003" hidden="1" customHeight="1">
      <c r="G2365" s="113"/>
      <c r="J2365" s="28">
        <f>IFERROR(VLOOKUP(TEXT(B2365,"0"),STOCK!A:H,7,0),1)</f>
        <v>1</v>
      </c>
    </row>
    <row r="2366" spans="7:10" ht="35.450000000000003" hidden="1" customHeight="1">
      <c r="G2366" s="113"/>
      <c r="J2366" s="28">
        <f>IFERROR(VLOOKUP(TEXT(B2366,"0"),STOCK!A:H,7,0),1)</f>
        <v>1</v>
      </c>
    </row>
    <row r="2367" spans="7:10" ht="35.450000000000003" hidden="1" customHeight="1">
      <c r="G2367" s="113"/>
      <c r="J2367" s="28">
        <f>IFERROR(VLOOKUP(TEXT(B2367,"0"),STOCK!A:H,7,0),1)</f>
        <v>1</v>
      </c>
    </row>
    <row r="2368" spans="7:10" ht="35.450000000000003" hidden="1" customHeight="1">
      <c r="G2368" s="113"/>
      <c r="J2368" s="28">
        <f>IFERROR(VLOOKUP(TEXT(B2368,"0"),STOCK!A:H,7,0),1)</f>
        <v>1</v>
      </c>
    </row>
    <row r="2369" spans="7:10" ht="35.450000000000003" hidden="1" customHeight="1">
      <c r="G2369" s="113"/>
      <c r="J2369" s="28">
        <f>IFERROR(VLOOKUP(TEXT(B2369,"0"),STOCK!A:H,7,0),1)</f>
        <v>1</v>
      </c>
    </row>
    <row r="2370" spans="7:10" ht="35.450000000000003" hidden="1" customHeight="1">
      <c r="G2370" s="113"/>
      <c r="J2370" s="28">
        <f>IFERROR(VLOOKUP(TEXT(B2370,"0"),STOCK!A:H,7,0),1)</f>
        <v>1</v>
      </c>
    </row>
    <row r="2371" spans="7:10" ht="35.450000000000003" hidden="1" customHeight="1">
      <c r="G2371" s="113"/>
      <c r="J2371" s="28">
        <f>IFERROR(VLOOKUP(TEXT(B2371,"0"),STOCK!A:H,7,0),1)</f>
        <v>1</v>
      </c>
    </row>
    <row r="2372" spans="7:10" ht="35.450000000000003" hidden="1" customHeight="1">
      <c r="G2372" s="113"/>
      <c r="J2372" s="28">
        <f>IFERROR(VLOOKUP(TEXT(B2372,"0"),STOCK!A:H,7,0),1)</f>
        <v>1</v>
      </c>
    </row>
    <row r="2373" spans="7:10" ht="35.450000000000003" hidden="1" customHeight="1">
      <c r="G2373" s="113"/>
      <c r="J2373" s="28">
        <f>IFERROR(VLOOKUP(TEXT(B2373,"0"),STOCK!A:H,7,0),1)</f>
        <v>1</v>
      </c>
    </row>
    <row r="2374" spans="7:10" ht="35.450000000000003" hidden="1" customHeight="1">
      <c r="G2374" s="113"/>
      <c r="J2374" s="28">
        <f>IFERROR(VLOOKUP(TEXT(B2374,"0"),STOCK!A:H,7,0),1)</f>
        <v>1</v>
      </c>
    </row>
    <row r="2375" spans="7:10" ht="35.450000000000003" hidden="1" customHeight="1">
      <c r="G2375" s="113"/>
      <c r="J2375" s="28">
        <f>IFERROR(VLOOKUP(TEXT(B2375,"0"),STOCK!A:H,7,0),1)</f>
        <v>1</v>
      </c>
    </row>
    <row r="2376" spans="7:10" ht="35.450000000000003" hidden="1" customHeight="1">
      <c r="G2376" s="113"/>
      <c r="J2376" s="28">
        <f>IFERROR(VLOOKUP(TEXT(B2376,"0"),STOCK!A:H,7,0),1)</f>
        <v>1</v>
      </c>
    </row>
    <row r="2377" spans="7:10" ht="35.450000000000003" hidden="1" customHeight="1">
      <c r="G2377" s="113"/>
      <c r="J2377" s="28">
        <f>IFERROR(VLOOKUP(TEXT(B2377,"0"),STOCK!A:H,7,0),1)</f>
        <v>1</v>
      </c>
    </row>
    <row r="2378" spans="7:10" ht="35.450000000000003" hidden="1" customHeight="1">
      <c r="G2378" s="113"/>
      <c r="J2378" s="28">
        <f>IFERROR(VLOOKUP(TEXT(B2378,"0"),STOCK!A:H,7,0),1)</f>
        <v>1</v>
      </c>
    </row>
    <row r="2379" spans="7:10" ht="35.450000000000003" hidden="1" customHeight="1">
      <c r="G2379" s="113"/>
      <c r="J2379" s="28">
        <f>IFERROR(VLOOKUP(TEXT(B2379,"0"),STOCK!A:H,7,0),1)</f>
        <v>1</v>
      </c>
    </row>
    <row r="2380" spans="7:10" ht="35.450000000000003" hidden="1" customHeight="1">
      <c r="G2380" s="113"/>
      <c r="J2380" s="28">
        <f>IFERROR(VLOOKUP(TEXT(B2380,"0"),STOCK!A:H,7,0),1)</f>
        <v>1</v>
      </c>
    </row>
    <row r="2381" spans="7:10" ht="35.450000000000003" hidden="1" customHeight="1">
      <c r="G2381" s="113"/>
      <c r="J2381" s="28">
        <f>IFERROR(VLOOKUP(TEXT(B2381,"0"),STOCK!A:H,7,0),1)</f>
        <v>1</v>
      </c>
    </row>
    <row r="2382" spans="7:10" ht="35.450000000000003" hidden="1" customHeight="1">
      <c r="G2382" s="113"/>
      <c r="J2382" s="28">
        <f>IFERROR(VLOOKUP(TEXT(B2382,"0"),STOCK!A:H,7,0),1)</f>
        <v>1</v>
      </c>
    </row>
    <row r="2383" spans="7:10" ht="35.450000000000003" hidden="1" customHeight="1">
      <c r="G2383" s="113"/>
      <c r="J2383" s="28">
        <f>IFERROR(VLOOKUP(TEXT(B2383,"0"),STOCK!A:H,7,0),1)</f>
        <v>1</v>
      </c>
    </row>
    <row r="2384" spans="7:10" ht="35.450000000000003" hidden="1" customHeight="1">
      <c r="G2384" s="113"/>
      <c r="J2384" s="28">
        <f>IFERROR(VLOOKUP(TEXT(B2384,"0"),STOCK!A:H,7,0),1)</f>
        <v>1</v>
      </c>
    </row>
    <row r="2385" spans="7:10" ht="35.450000000000003" hidden="1" customHeight="1">
      <c r="G2385" s="113"/>
      <c r="J2385" s="28">
        <f>IFERROR(VLOOKUP(TEXT(B2385,"0"),STOCK!A:H,7,0),1)</f>
        <v>1</v>
      </c>
    </row>
    <row r="2386" spans="7:10" ht="35.450000000000003" hidden="1" customHeight="1">
      <c r="G2386" s="113"/>
      <c r="J2386" s="28">
        <f>IFERROR(VLOOKUP(TEXT(B2386,"0"),STOCK!A:H,7,0),1)</f>
        <v>1</v>
      </c>
    </row>
    <row r="2387" spans="7:10" ht="35.450000000000003" hidden="1" customHeight="1">
      <c r="G2387" s="113"/>
      <c r="J2387" s="28">
        <f>IFERROR(VLOOKUP(TEXT(B2387,"0"),STOCK!A:H,7,0),1)</f>
        <v>1</v>
      </c>
    </row>
    <row r="2388" spans="7:10" ht="35.450000000000003" hidden="1" customHeight="1">
      <c r="G2388" s="113"/>
      <c r="J2388" s="28">
        <f>IFERROR(VLOOKUP(TEXT(B2388,"0"),STOCK!A:H,7,0),1)</f>
        <v>1</v>
      </c>
    </row>
    <row r="2389" spans="7:10" ht="35.450000000000003" hidden="1" customHeight="1">
      <c r="G2389" s="113"/>
      <c r="J2389" s="28">
        <f>IFERROR(VLOOKUP(TEXT(B2389,"0"),STOCK!A:H,7,0),1)</f>
        <v>1</v>
      </c>
    </row>
    <row r="2390" spans="7:10" ht="35.450000000000003" hidden="1" customHeight="1">
      <c r="G2390" s="113"/>
      <c r="J2390" s="28">
        <f>IFERROR(VLOOKUP(TEXT(B2390,"0"),STOCK!A:H,7,0),1)</f>
        <v>1</v>
      </c>
    </row>
    <row r="2391" spans="7:10" ht="35.450000000000003" hidden="1" customHeight="1">
      <c r="G2391" s="113"/>
      <c r="J2391" s="28">
        <f>IFERROR(VLOOKUP(TEXT(B2391,"0"),STOCK!A:H,7,0),1)</f>
        <v>1</v>
      </c>
    </row>
    <row r="2392" spans="7:10" ht="35.450000000000003" hidden="1" customHeight="1">
      <c r="G2392" s="113"/>
      <c r="J2392" s="28">
        <f>IFERROR(VLOOKUP(TEXT(B2392,"0"),STOCK!A:H,7,0),1)</f>
        <v>1</v>
      </c>
    </row>
    <row r="2393" spans="7:10" ht="35.450000000000003" hidden="1" customHeight="1">
      <c r="G2393" s="113"/>
      <c r="J2393" s="28">
        <f>IFERROR(VLOOKUP(TEXT(B2393,"0"),STOCK!A:H,7,0),1)</f>
        <v>1</v>
      </c>
    </row>
    <row r="2394" spans="7:10" ht="35.450000000000003" hidden="1" customHeight="1">
      <c r="G2394" s="113"/>
      <c r="J2394" s="28">
        <f>IFERROR(VLOOKUP(TEXT(B2394,"0"),STOCK!A:H,7,0),1)</f>
        <v>1</v>
      </c>
    </row>
    <row r="2395" spans="7:10" ht="35.450000000000003" hidden="1" customHeight="1">
      <c r="G2395" s="113"/>
      <c r="J2395" s="28">
        <f>IFERROR(VLOOKUP(TEXT(B2395,"0"),STOCK!A:H,7,0),1)</f>
        <v>1</v>
      </c>
    </row>
    <row r="2396" spans="7:10" ht="35.450000000000003" hidden="1" customHeight="1">
      <c r="G2396" s="113"/>
      <c r="J2396" s="28">
        <f>IFERROR(VLOOKUP(TEXT(B2396,"0"),STOCK!A:H,7,0),1)</f>
        <v>1</v>
      </c>
    </row>
    <row r="2397" spans="7:10" ht="35.450000000000003" hidden="1" customHeight="1">
      <c r="G2397" s="113"/>
      <c r="J2397" s="28">
        <f>IFERROR(VLOOKUP(TEXT(B2397,"0"),STOCK!A:H,7,0),1)</f>
        <v>1</v>
      </c>
    </row>
    <row r="2398" spans="7:10" ht="35.450000000000003" hidden="1" customHeight="1">
      <c r="G2398" s="113"/>
      <c r="J2398" s="28">
        <f>IFERROR(VLOOKUP(TEXT(B2398,"0"),STOCK!A:H,7,0),1)</f>
        <v>1</v>
      </c>
    </row>
    <row r="2399" spans="7:10" ht="35.450000000000003" hidden="1" customHeight="1">
      <c r="G2399" s="113"/>
      <c r="J2399" s="28">
        <f>IFERROR(VLOOKUP(TEXT(B2399,"0"),STOCK!A:H,7,0),1)</f>
        <v>1</v>
      </c>
    </row>
    <row r="2400" spans="7:10" ht="35.450000000000003" hidden="1" customHeight="1">
      <c r="G2400" s="113"/>
      <c r="J2400" s="28">
        <f>IFERROR(VLOOKUP(TEXT(B2400,"0"),STOCK!A:H,7,0),1)</f>
        <v>1</v>
      </c>
    </row>
    <row r="2401" spans="7:10" ht="35.450000000000003" hidden="1" customHeight="1">
      <c r="G2401" s="113"/>
      <c r="J2401" s="28">
        <f>IFERROR(VLOOKUP(TEXT(B2401,"0"),STOCK!A:H,7,0),1)</f>
        <v>1</v>
      </c>
    </row>
    <row r="2402" spans="7:10" ht="35.450000000000003" hidden="1" customHeight="1">
      <c r="G2402" s="113"/>
      <c r="J2402" s="28">
        <f>IFERROR(VLOOKUP(TEXT(B2402,"0"),STOCK!A:H,7,0),1)</f>
        <v>1</v>
      </c>
    </row>
    <row r="2403" spans="7:10" ht="35.450000000000003" hidden="1" customHeight="1">
      <c r="G2403" s="113"/>
      <c r="J2403" s="28">
        <f>IFERROR(VLOOKUP(TEXT(B2403,"0"),STOCK!A:H,7,0),1)</f>
        <v>1</v>
      </c>
    </row>
    <row r="2404" spans="7:10" ht="35.450000000000003" hidden="1" customHeight="1">
      <c r="G2404" s="113"/>
      <c r="J2404" s="28">
        <f>IFERROR(VLOOKUP(TEXT(B2404,"0"),STOCK!A:H,7,0),1)</f>
        <v>1</v>
      </c>
    </row>
    <row r="2405" spans="7:10" ht="35.450000000000003" hidden="1" customHeight="1">
      <c r="G2405" s="113"/>
      <c r="J2405" s="28">
        <f>IFERROR(VLOOKUP(TEXT(B2405,"0"),STOCK!A:H,7,0),1)</f>
        <v>1</v>
      </c>
    </row>
    <row r="2406" spans="7:10" ht="35.450000000000003" hidden="1" customHeight="1">
      <c r="G2406" s="113"/>
      <c r="J2406" s="28">
        <f>IFERROR(VLOOKUP(TEXT(B2406,"0"),STOCK!A:H,7,0),1)</f>
        <v>1</v>
      </c>
    </row>
    <row r="2407" spans="7:10" ht="35.450000000000003" hidden="1" customHeight="1">
      <c r="G2407" s="113"/>
      <c r="J2407" s="28">
        <f>IFERROR(VLOOKUP(TEXT(B2407,"0"),STOCK!A:H,7,0),1)</f>
        <v>1</v>
      </c>
    </row>
    <row r="2408" spans="7:10" ht="35.450000000000003" hidden="1" customHeight="1">
      <c r="G2408" s="113"/>
      <c r="J2408" s="28">
        <f>IFERROR(VLOOKUP(TEXT(B2408,"0"),STOCK!A:H,7,0),1)</f>
        <v>1</v>
      </c>
    </row>
    <row r="2409" spans="7:10" ht="35.450000000000003" hidden="1" customHeight="1">
      <c r="G2409" s="113"/>
      <c r="J2409" s="28">
        <f>IFERROR(VLOOKUP(TEXT(B2409,"0"),STOCK!A:H,7,0),1)</f>
        <v>1</v>
      </c>
    </row>
    <row r="2410" spans="7:10" ht="35.450000000000003" hidden="1" customHeight="1">
      <c r="G2410" s="113"/>
      <c r="J2410" s="28">
        <f>IFERROR(VLOOKUP(TEXT(B2410,"0"),STOCK!A:H,7,0),1)</f>
        <v>1</v>
      </c>
    </row>
    <row r="2411" spans="7:10" ht="35.450000000000003" hidden="1" customHeight="1">
      <c r="G2411" s="113"/>
      <c r="J2411" s="28">
        <f>IFERROR(VLOOKUP(TEXT(B2411,"0"),STOCK!A:H,7,0),1)</f>
        <v>1</v>
      </c>
    </row>
    <row r="2412" spans="7:10" ht="35.450000000000003" hidden="1" customHeight="1">
      <c r="G2412" s="113"/>
      <c r="J2412" s="28">
        <f>IFERROR(VLOOKUP(TEXT(B2412,"0"),STOCK!A:H,7,0),1)</f>
        <v>1</v>
      </c>
    </row>
    <row r="2413" spans="7:10" ht="35.450000000000003" hidden="1" customHeight="1">
      <c r="G2413" s="113"/>
      <c r="J2413" s="28">
        <f>IFERROR(VLOOKUP(TEXT(B2413,"0"),STOCK!A:H,7,0),1)</f>
        <v>1</v>
      </c>
    </row>
    <row r="2414" spans="7:10" ht="35.450000000000003" hidden="1" customHeight="1">
      <c r="G2414" s="113"/>
      <c r="J2414" s="28">
        <f>IFERROR(VLOOKUP(TEXT(B2414,"0"),STOCK!A:H,7,0),1)</f>
        <v>1</v>
      </c>
    </row>
    <row r="2415" spans="7:10" ht="35.450000000000003" hidden="1" customHeight="1">
      <c r="G2415" s="113"/>
      <c r="J2415" s="28">
        <f>IFERROR(VLOOKUP(TEXT(B2415,"0"),STOCK!A:H,7,0),1)</f>
        <v>1</v>
      </c>
    </row>
    <row r="2416" spans="7:10" ht="35.450000000000003" hidden="1" customHeight="1">
      <c r="G2416" s="113"/>
      <c r="J2416" s="28">
        <f>IFERROR(VLOOKUP(TEXT(B2416,"0"),STOCK!A:H,7,0),1)</f>
        <v>1</v>
      </c>
    </row>
    <row r="2417" spans="7:10" ht="35.450000000000003" hidden="1" customHeight="1">
      <c r="G2417" s="113"/>
      <c r="J2417" s="28">
        <f>IFERROR(VLOOKUP(TEXT(B2417,"0"),STOCK!A:H,7,0),1)</f>
        <v>1</v>
      </c>
    </row>
    <row r="2418" spans="7:10" ht="35.450000000000003" hidden="1" customHeight="1">
      <c r="G2418" s="113"/>
      <c r="J2418" s="28">
        <f>IFERROR(VLOOKUP(TEXT(B2418,"0"),STOCK!A:H,7,0),1)</f>
        <v>1</v>
      </c>
    </row>
    <row r="2419" spans="7:10" ht="35.450000000000003" hidden="1" customHeight="1">
      <c r="G2419" s="113"/>
      <c r="J2419" s="28">
        <f>IFERROR(VLOOKUP(TEXT(B2419,"0"),STOCK!A:H,7,0),1)</f>
        <v>1</v>
      </c>
    </row>
    <row r="2420" spans="7:10" ht="35.450000000000003" hidden="1" customHeight="1">
      <c r="G2420" s="113"/>
      <c r="J2420" s="28">
        <f>IFERROR(VLOOKUP(TEXT(B2420,"0"),STOCK!A:H,7,0),1)</f>
        <v>1</v>
      </c>
    </row>
    <row r="2421" spans="7:10" ht="35.450000000000003" hidden="1" customHeight="1">
      <c r="G2421" s="113"/>
      <c r="J2421" s="28">
        <f>IFERROR(VLOOKUP(TEXT(B2421,"0"),STOCK!A:H,7,0),1)</f>
        <v>1</v>
      </c>
    </row>
    <row r="2422" spans="7:10" ht="35.450000000000003" hidden="1" customHeight="1">
      <c r="G2422" s="113"/>
      <c r="J2422" s="28">
        <f>IFERROR(VLOOKUP(TEXT(B2422,"0"),STOCK!A:H,7,0),1)</f>
        <v>1</v>
      </c>
    </row>
    <row r="2423" spans="7:10" ht="35.450000000000003" hidden="1" customHeight="1">
      <c r="G2423" s="113"/>
      <c r="J2423" s="28">
        <f>IFERROR(VLOOKUP(TEXT(B2423,"0"),STOCK!A:H,7,0),1)</f>
        <v>1</v>
      </c>
    </row>
    <row r="2424" spans="7:10" ht="35.450000000000003" hidden="1" customHeight="1">
      <c r="G2424" s="113"/>
      <c r="J2424" s="28">
        <f>IFERROR(VLOOKUP(TEXT(B2424,"0"),STOCK!A:H,7,0),1)</f>
        <v>1</v>
      </c>
    </row>
    <row r="2425" spans="7:10" ht="35.450000000000003" hidden="1" customHeight="1">
      <c r="G2425" s="113"/>
      <c r="J2425" s="28">
        <f>IFERROR(VLOOKUP(TEXT(B2425,"0"),STOCK!A:H,7,0),1)</f>
        <v>1</v>
      </c>
    </row>
    <row r="2426" spans="7:10" ht="35.450000000000003" hidden="1" customHeight="1">
      <c r="G2426" s="113"/>
      <c r="J2426" s="28">
        <f>IFERROR(VLOOKUP(TEXT(B2426,"0"),STOCK!A:H,7,0),1)</f>
        <v>1</v>
      </c>
    </row>
    <row r="2427" spans="7:10" ht="35.450000000000003" hidden="1" customHeight="1">
      <c r="G2427" s="113"/>
      <c r="J2427" s="28">
        <f>IFERROR(VLOOKUP(TEXT(B2427,"0"),STOCK!A:H,7,0),1)</f>
        <v>1</v>
      </c>
    </row>
    <row r="2428" spans="7:10" ht="35.450000000000003" hidden="1" customHeight="1">
      <c r="G2428" s="113"/>
      <c r="J2428" s="28">
        <f>IFERROR(VLOOKUP(TEXT(B2428,"0"),STOCK!A:H,7,0),1)</f>
        <v>1</v>
      </c>
    </row>
    <row r="2429" spans="7:10" ht="35.450000000000003" hidden="1" customHeight="1">
      <c r="G2429" s="113"/>
      <c r="J2429" s="28">
        <f>IFERROR(VLOOKUP(TEXT(B2429,"0"),STOCK!A:H,7,0),1)</f>
        <v>1</v>
      </c>
    </row>
    <row r="2430" spans="7:10" ht="35.450000000000003" hidden="1" customHeight="1">
      <c r="G2430" s="113"/>
      <c r="J2430" s="28">
        <f>IFERROR(VLOOKUP(TEXT(B2430,"0"),STOCK!A:H,7,0),1)</f>
        <v>1</v>
      </c>
    </row>
    <row r="2431" spans="7:10" ht="35.450000000000003" hidden="1" customHeight="1">
      <c r="G2431" s="113"/>
      <c r="J2431" s="28">
        <f>IFERROR(VLOOKUP(TEXT(B2431,"0"),STOCK!A:H,7,0),1)</f>
        <v>1</v>
      </c>
    </row>
    <row r="2432" spans="7:10" ht="35.450000000000003" hidden="1" customHeight="1">
      <c r="G2432" s="113"/>
      <c r="J2432" s="28">
        <f>IFERROR(VLOOKUP(TEXT(B2432,"0"),STOCK!A:H,7,0),1)</f>
        <v>1</v>
      </c>
    </row>
    <row r="2433" spans="7:10" ht="35.450000000000003" hidden="1" customHeight="1">
      <c r="G2433" s="113"/>
      <c r="J2433" s="28">
        <f>IFERROR(VLOOKUP(TEXT(B2433,"0"),STOCK!A:H,7,0),1)</f>
        <v>1</v>
      </c>
    </row>
    <row r="2434" spans="7:10" ht="35.450000000000003" hidden="1" customHeight="1">
      <c r="G2434" s="113"/>
      <c r="J2434" s="28">
        <f>IFERROR(VLOOKUP(TEXT(B2434,"0"),STOCK!A:H,7,0),1)</f>
        <v>1</v>
      </c>
    </row>
    <row r="2435" spans="7:10" ht="35.450000000000003" hidden="1" customHeight="1">
      <c r="G2435" s="113"/>
      <c r="J2435" s="28">
        <f>IFERROR(VLOOKUP(TEXT(B2435,"0"),STOCK!A:H,7,0),1)</f>
        <v>1</v>
      </c>
    </row>
    <row r="2436" spans="7:10" ht="35.450000000000003" hidden="1" customHeight="1">
      <c r="G2436" s="113"/>
      <c r="J2436" s="28">
        <f>IFERROR(VLOOKUP(TEXT(B2436,"0"),STOCK!A:H,7,0),1)</f>
        <v>1</v>
      </c>
    </row>
    <row r="2437" spans="7:10" ht="35.450000000000003" hidden="1" customHeight="1">
      <c r="G2437" s="113"/>
      <c r="J2437" s="28">
        <f>IFERROR(VLOOKUP(TEXT(B2437,"0"),STOCK!A:H,7,0),1)</f>
        <v>1</v>
      </c>
    </row>
    <row r="2438" spans="7:10" ht="35.450000000000003" hidden="1" customHeight="1">
      <c r="G2438" s="113"/>
      <c r="J2438" s="28">
        <f>IFERROR(VLOOKUP(TEXT(B2438,"0"),STOCK!A:H,7,0),1)</f>
        <v>1</v>
      </c>
    </row>
    <row r="2439" spans="7:10" ht="35.450000000000003" hidden="1" customHeight="1">
      <c r="G2439" s="113"/>
      <c r="J2439" s="28">
        <f>IFERROR(VLOOKUP(TEXT(B2439,"0"),STOCK!A:H,7,0),1)</f>
        <v>1</v>
      </c>
    </row>
    <row r="2440" spans="7:10" ht="35.450000000000003" hidden="1" customHeight="1">
      <c r="G2440" s="113"/>
      <c r="J2440" s="28">
        <f>IFERROR(VLOOKUP(TEXT(B2440,"0"),STOCK!A:H,7,0),1)</f>
        <v>1</v>
      </c>
    </row>
    <row r="2441" spans="7:10" ht="35.450000000000003" hidden="1" customHeight="1">
      <c r="G2441" s="113"/>
      <c r="J2441" s="28">
        <f>IFERROR(VLOOKUP(TEXT(B2441,"0"),STOCK!A:H,7,0),1)</f>
        <v>1</v>
      </c>
    </row>
    <row r="2442" spans="7:10" ht="35.450000000000003" hidden="1" customHeight="1">
      <c r="G2442" s="113"/>
      <c r="J2442" s="28">
        <f>IFERROR(VLOOKUP(TEXT(B2442,"0"),STOCK!A:H,7,0),1)</f>
        <v>1</v>
      </c>
    </row>
    <row r="2443" spans="7:10" ht="35.450000000000003" hidden="1" customHeight="1">
      <c r="G2443" s="113"/>
      <c r="J2443" s="28">
        <f>IFERROR(VLOOKUP(TEXT(B2443,"0"),STOCK!A:H,7,0),1)</f>
        <v>1</v>
      </c>
    </row>
    <row r="2444" spans="7:10" ht="35.450000000000003" hidden="1" customHeight="1">
      <c r="G2444" s="113"/>
      <c r="J2444" s="28">
        <f>IFERROR(VLOOKUP(TEXT(B2444,"0"),STOCK!A:H,7,0),1)</f>
        <v>1</v>
      </c>
    </row>
    <row r="2445" spans="7:10" ht="35.450000000000003" hidden="1" customHeight="1">
      <c r="G2445" s="113"/>
      <c r="J2445" s="28">
        <f>IFERROR(VLOOKUP(TEXT(B2445,"0"),STOCK!A:H,7,0),1)</f>
        <v>1</v>
      </c>
    </row>
    <row r="2446" spans="7:10" ht="35.450000000000003" hidden="1" customHeight="1">
      <c r="G2446" s="113"/>
      <c r="J2446" s="28">
        <f>IFERROR(VLOOKUP(TEXT(B2446,"0"),STOCK!A:H,7,0),1)</f>
        <v>1</v>
      </c>
    </row>
    <row r="2447" spans="7:10" ht="35.450000000000003" hidden="1" customHeight="1">
      <c r="G2447" s="113"/>
      <c r="J2447" s="28">
        <f>IFERROR(VLOOKUP(TEXT(B2447,"0"),STOCK!A:H,7,0),1)</f>
        <v>1</v>
      </c>
    </row>
    <row r="2448" spans="7:10" ht="35.450000000000003" hidden="1" customHeight="1">
      <c r="G2448" s="113"/>
      <c r="J2448" s="28">
        <f>IFERROR(VLOOKUP(TEXT(B2448,"0"),STOCK!A:H,7,0),1)</f>
        <v>1</v>
      </c>
    </row>
    <row r="2449" spans="7:10" ht="35.450000000000003" hidden="1" customHeight="1">
      <c r="G2449" s="113"/>
      <c r="J2449" s="28">
        <f>IFERROR(VLOOKUP(TEXT(B2449,"0"),STOCK!A:H,7,0),1)</f>
        <v>1</v>
      </c>
    </row>
    <row r="2450" spans="7:10" ht="35.450000000000003" hidden="1" customHeight="1">
      <c r="G2450" s="113"/>
      <c r="J2450" s="28">
        <f>IFERROR(VLOOKUP(TEXT(B2450,"0"),STOCK!A:H,7,0),1)</f>
        <v>1</v>
      </c>
    </row>
    <row r="2451" spans="7:10" ht="35.450000000000003" hidden="1" customHeight="1">
      <c r="G2451" s="113"/>
      <c r="J2451" s="28">
        <f>IFERROR(VLOOKUP(TEXT(B2451,"0"),STOCK!A:H,7,0),1)</f>
        <v>1</v>
      </c>
    </row>
    <row r="2452" spans="7:10" ht="35.450000000000003" hidden="1" customHeight="1">
      <c r="G2452" s="113"/>
      <c r="J2452" s="28">
        <f>IFERROR(VLOOKUP(TEXT(B2452,"0"),STOCK!A:H,7,0),1)</f>
        <v>1</v>
      </c>
    </row>
    <row r="2453" spans="7:10" ht="35.450000000000003" hidden="1" customHeight="1">
      <c r="G2453" s="113"/>
      <c r="J2453" s="28">
        <f>IFERROR(VLOOKUP(TEXT(B2453,"0"),STOCK!A:H,7,0),1)</f>
        <v>1</v>
      </c>
    </row>
    <row r="2454" spans="7:10" ht="35.450000000000003" hidden="1" customHeight="1">
      <c r="G2454" s="113"/>
      <c r="J2454" s="28">
        <f>IFERROR(VLOOKUP(TEXT(B2454,"0"),STOCK!A:H,7,0),1)</f>
        <v>1</v>
      </c>
    </row>
    <row r="2455" spans="7:10" ht="35.450000000000003" hidden="1" customHeight="1">
      <c r="G2455" s="113"/>
      <c r="J2455" s="28">
        <f>IFERROR(VLOOKUP(TEXT(B2455,"0"),STOCK!A:H,7,0),1)</f>
        <v>1</v>
      </c>
    </row>
    <row r="2456" spans="7:10" ht="35.450000000000003" hidden="1" customHeight="1">
      <c r="G2456" s="113"/>
      <c r="J2456" s="28">
        <f>IFERROR(VLOOKUP(TEXT(B2456,"0"),STOCK!A:H,7,0),1)</f>
        <v>1</v>
      </c>
    </row>
    <row r="2457" spans="7:10" ht="35.450000000000003" hidden="1" customHeight="1">
      <c r="G2457" s="113"/>
      <c r="J2457" s="28">
        <f>IFERROR(VLOOKUP(TEXT(B2457,"0"),STOCK!A:H,7,0),1)</f>
        <v>1</v>
      </c>
    </row>
    <row r="2458" spans="7:10" ht="35.450000000000003" hidden="1" customHeight="1">
      <c r="G2458" s="113"/>
      <c r="J2458" s="28">
        <f>IFERROR(VLOOKUP(TEXT(B2458,"0"),STOCK!A:H,7,0),1)</f>
        <v>1</v>
      </c>
    </row>
    <row r="2459" spans="7:10" ht="35.450000000000003" hidden="1" customHeight="1">
      <c r="G2459" s="113"/>
      <c r="J2459" s="28">
        <f>IFERROR(VLOOKUP(TEXT(B2459,"0"),STOCK!A:H,7,0),1)</f>
        <v>1</v>
      </c>
    </row>
    <row r="2460" spans="7:10" ht="35.450000000000003" hidden="1" customHeight="1">
      <c r="G2460" s="113"/>
      <c r="J2460" s="28">
        <f>IFERROR(VLOOKUP(TEXT(B2460,"0"),STOCK!A:H,7,0),1)</f>
        <v>1</v>
      </c>
    </row>
    <row r="2461" spans="7:10" ht="35.450000000000003" hidden="1" customHeight="1">
      <c r="G2461" s="113"/>
      <c r="J2461" s="28">
        <f>IFERROR(VLOOKUP(TEXT(B2461,"0"),STOCK!A:H,7,0),1)</f>
        <v>1</v>
      </c>
    </row>
    <row r="2462" spans="7:10" ht="35.450000000000003" hidden="1" customHeight="1">
      <c r="G2462" s="113"/>
      <c r="J2462" s="28">
        <f>IFERROR(VLOOKUP(TEXT(B2462,"0"),STOCK!A:H,7,0),1)</f>
        <v>1</v>
      </c>
    </row>
    <row r="2463" spans="7:10" ht="35.450000000000003" hidden="1" customHeight="1">
      <c r="G2463" s="113"/>
      <c r="J2463" s="28">
        <f>IFERROR(VLOOKUP(TEXT(B2463,"0"),STOCK!A:H,7,0),1)</f>
        <v>1</v>
      </c>
    </row>
    <row r="2464" spans="7:10" ht="35.450000000000003" hidden="1" customHeight="1">
      <c r="G2464" s="113"/>
      <c r="J2464" s="28">
        <f>IFERROR(VLOOKUP(TEXT(B2464,"0"),STOCK!A:H,7,0),1)</f>
        <v>1</v>
      </c>
    </row>
    <row r="2465" spans="7:10" ht="35.450000000000003" hidden="1" customHeight="1">
      <c r="G2465" s="113"/>
      <c r="J2465" s="28">
        <f>IFERROR(VLOOKUP(TEXT(B2465,"0"),STOCK!A:H,7,0),1)</f>
        <v>1</v>
      </c>
    </row>
    <row r="2466" spans="7:10" ht="35.450000000000003" hidden="1" customHeight="1">
      <c r="G2466" s="113"/>
      <c r="J2466" s="28">
        <f>IFERROR(VLOOKUP(TEXT(B2466,"0"),STOCK!A:H,7,0),1)</f>
        <v>1</v>
      </c>
    </row>
    <row r="2467" spans="7:10" ht="35.450000000000003" hidden="1" customHeight="1">
      <c r="G2467" s="113"/>
      <c r="J2467" s="28">
        <f>IFERROR(VLOOKUP(TEXT(B2467,"0"),STOCK!A:H,7,0),1)</f>
        <v>1</v>
      </c>
    </row>
    <row r="2468" spans="7:10" ht="35.450000000000003" hidden="1" customHeight="1">
      <c r="G2468" s="113"/>
      <c r="J2468" s="28">
        <f>IFERROR(VLOOKUP(TEXT(B2468,"0"),STOCK!A:H,7,0),1)</f>
        <v>1</v>
      </c>
    </row>
    <row r="2469" spans="7:10" ht="35.450000000000003" hidden="1" customHeight="1">
      <c r="G2469" s="113"/>
      <c r="J2469" s="28">
        <f>IFERROR(VLOOKUP(TEXT(B2469,"0"),STOCK!A:H,7,0),1)</f>
        <v>1</v>
      </c>
    </row>
    <row r="2470" spans="7:10" ht="35.450000000000003" hidden="1" customHeight="1">
      <c r="G2470" s="113"/>
      <c r="J2470" s="28">
        <f>IFERROR(VLOOKUP(TEXT(B2470,"0"),STOCK!A:H,7,0),1)</f>
        <v>1</v>
      </c>
    </row>
    <row r="2471" spans="7:10" ht="35.450000000000003" hidden="1" customHeight="1">
      <c r="G2471" s="113"/>
      <c r="J2471" s="28">
        <f>IFERROR(VLOOKUP(TEXT(B2471,"0"),STOCK!A:H,7,0),1)</f>
        <v>1</v>
      </c>
    </row>
    <row r="2472" spans="7:10" ht="35.450000000000003" hidden="1" customHeight="1">
      <c r="G2472" s="113"/>
      <c r="J2472" s="28">
        <f>IFERROR(VLOOKUP(TEXT(B2472,"0"),STOCK!A:H,7,0),1)</f>
        <v>1</v>
      </c>
    </row>
    <row r="2473" spans="7:10" ht="35.450000000000003" hidden="1" customHeight="1">
      <c r="G2473" s="113"/>
      <c r="J2473" s="28">
        <f>IFERROR(VLOOKUP(TEXT(B2473,"0"),STOCK!A:H,7,0),1)</f>
        <v>1</v>
      </c>
    </row>
    <row r="2474" spans="7:10" ht="35.450000000000003" hidden="1" customHeight="1">
      <c r="G2474" s="113"/>
      <c r="J2474" s="28">
        <f>IFERROR(VLOOKUP(TEXT(B2474,"0"),STOCK!A:H,7,0),1)</f>
        <v>1</v>
      </c>
    </row>
    <row r="2475" spans="7:10" ht="35.450000000000003" hidden="1" customHeight="1">
      <c r="G2475" s="113"/>
      <c r="J2475" s="28">
        <f>IFERROR(VLOOKUP(TEXT(B2475,"0"),STOCK!A:H,7,0),1)</f>
        <v>1</v>
      </c>
    </row>
    <row r="2476" spans="7:10" ht="35.450000000000003" hidden="1" customHeight="1">
      <c r="G2476" s="113"/>
      <c r="J2476" s="28">
        <f>IFERROR(VLOOKUP(TEXT(B2476,"0"),STOCK!A:H,7,0),1)</f>
        <v>1</v>
      </c>
    </row>
    <row r="2477" spans="7:10" ht="35.450000000000003" hidden="1" customHeight="1">
      <c r="G2477" s="113"/>
      <c r="J2477" s="28">
        <f>IFERROR(VLOOKUP(TEXT(B2477,"0"),STOCK!A:H,7,0),1)</f>
        <v>1</v>
      </c>
    </row>
    <row r="2478" spans="7:10" ht="35.450000000000003" hidden="1" customHeight="1">
      <c r="G2478" s="113"/>
      <c r="J2478" s="28">
        <f>IFERROR(VLOOKUP(TEXT(B2478,"0"),STOCK!A:H,7,0),1)</f>
        <v>1</v>
      </c>
    </row>
    <row r="2479" spans="7:10" ht="35.450000000000003" hidden="1" customHeight="1">
      <c r="G2479" s="113"/>
      <c r="J2479" s="28">
        <f>IFERROR(VLOOKUP(TEXT(B2479,"0"),STOCK!A:H,7,0),1)</f>
        <v>1</v>
      </c>
    </row>
    <row r="2480" spans="7:10" ht="35.450000000000003" hidden="1" customHeight="1">
      <c r="G2480" s="113"/>
      <c r="J2480" s="28">
        <f>IFERROR(VLOOKUP(TEXT(B2480,"0"),STOCK!A:H,7,0),1)</f>
        <v>1</v>
      </c>
    </row>
    <row r="2481" spans="7:10" ht="35.450000000000003" hidden="1" customHeight="1">
      <c r="G2481" s="113"/>
      <c r="J2481" s="28">
        <f>IFERROR(VLOOKUP(TEXT(B2481,"0"),STOCK!A:H,7,0),1)</f>
        <v>1</v>
      </c>
    </row>
    <row r="2482" spans="7:10" ht="35.450000000000003" hidden="1" customHeight="1">
      <c r="G2482" s="113"/>
      <c r="J2482" s="28">
        <f>IFERROR(VLOOKUP(TEXT(B2482,"0"),STOCK!A:H,7,0),1)</f>
        <v>1</v>
      </c>
    </row>
    <row r="2483" spans="7:10" ht="35.450000000000003" hidden="1" customHeight="1">
      <c r="G2483" s="113"/>
      <c r="J2483" s="28">
        <f>IFERROR(VLOOKUP(TEXT(B2483,"0"),STOCK!A:H,7,0),1)</f>
        <v>1</v>
      </c>
    </row>
    <row r="2484" spans="7:10" ht="35.450000000000003" hidden="1" customHeight="1">
      <c r="G2484" s="113"/>
      <c r="J2484" s="28">
        <f>IFERROR(VLOOKUP(TEXT(B2484,"0"),STOCK!A:H,7,0),1)</f>
        <v>1</v>
      </c>
    </row>
    <row r="2485" spans="7:10" ht="35.450000000000003" hidden="1" customHeight="1">
      <c r="G2485" s="113"/>
      <c r="J2485" s="28">
        <f>IFERROR(VLOOKUP(TEXT(B2485,"0"),STOCK!A:H,7,0),1)</f>
        <v>1</v>
      </c>
    </row>
    <row r="2486" spans="7:10" ht="35.450000000000003" hidden="1" customHeight="1">
      <c r="G2486" s="113"/>
      <c r="J2486" s="28">
        <f>IFERROR(VLOOKUP(TEXT(B2486,"0"),STOCK!A:H,7,0),1)</f>
        <v>1</v>
      </c>
    </row>
    <row r="2487" spans="7:10" ht="35.450000000000003" hidden="1" customHeight="1">
      <c r="G2487" s="113"/>
      <c r="J2487" s="28">
        <f>IFERROR(VLOOKUP(TEXT(B2487,"0"),STOCK!A:H,7,0),1)</f>
        <v>1</v>
      </c>
    </row>
    <row r="2488" spans="7:10" ht="35.450000000000003" hidden="1" customHeight="1">
      <c r="G2488" s="113"/>
      <c r="J2488" s="28">
        <f>IFERROR(VLOOKUP(TEXT(B2488,"0"),STOCK!A:H,7,0),1)</f>
        <v>1</v>
      </c>
    </row>
    <row r="2489" spans="7:10" ht="35.450000000000003" hidden="1" customHeight="1">
      <c r="G2489" s="113"/>
      <c r="J2489" s="28">
        <f>IFERROR(VLOOKUP(TEXT(B2489,"0"),STOCK!A:H,7,0),1)</f>
        <v>1</v>
      </c>
    </row>
    <row r="2490" spans="7:10" ht="35.450000000000003" hidden="1" customHeight="1">
      <c r="G2490" s="113"/>
      <c r="J2490" s="28">
        <f>IFERROR(VLOOKUP(TEXT(B2490,"0"),STOCK!A:H,7,0),1)</f>
        <v>1</v>
      </c>
    </row>
    <row r="2491" spans="7:10" ht="35.450000000000003" hidden="1" customHeight="1">
      <c r="G2491" s="113"/>
      <c r="J2491" s="28">
        <f>IFERROR(VLOOKUP(TEXT(B2491,"0"),STOCK!A:H,7,0),1)</f>
        <v>1</v>
      </c>
    </row>
    <row r="2492" spans="7:10" ht="35.450000000000003" hidden="1" customHeight="1">
      <c r="G2492" s="113"/>
      <c r="J2492" s="28">
        <f>IFERROR(VLOOKUP(TEXT(B2492,"0"),STOCK!A:H,7,0),1)</f>
        <v>1</v>
      </c>
    </row>
    <row r="2493" spans="7:10" ht="35.450000000000003" hidden="1" customHeight="1">
      <c r="G2493" s="113"/>
      <c r="J2493" s="28">
        <f>IFERROR(VLOOKUP(TEXT(B2493,"0"),STOCK!A:H,7,0),1)</f>
        <v>1</v>
      </c>
    </row>
    <row r="2494" spans="7:10" ht="35.450000000000003" hidden="1" customHeight="1">
      <c r="G2494" s="113"/>
      <c r="J2494" s="28">
        <f>IFERROR(VLOOKUP(TEXT(B2494,"0"),STOCK!A:H,7,0),1)</f>
        <v>1</v>
      </c>
    </row>
    <row r="2495" spans="7:10" ht="35.450000000000003" hidden="1" customHeight="1">
      <c r="G2495" s="113"/>
      <c r="J2495" s="28">
        <f>IFERROR(VLOOKUP(TEXT(B2495,"0"),STOCK!A:H,7,0),1)</f>
        <v>1</v>
      </c>
    </row>
    <row r="2496" spans="7:10" ht="35.450000000000003" hidden="1" customHeight="1">
      <c r="G2496" s="113"/>
      <c r="J2496" s="28">
        <f>IFERROR(VLOOKUP(TEXT(B2496,"0"),STOCK!A:H,7,0),1)</f>
        <v>1</v>
      </c>
    </row>
    <row r="2497" spans="7:10" ht="35.450000000000003" hidden="1" customHeight="1">
      <c r="G2497" s="113"/>
      <c r="J2497" s="28">
        <f>IFERROR(VLOOKUP(TEXT(B2497,"0"),STOCK!A:H,7,0),1)</f>
        <v>1</v>
      </c>
    </row>
    <row r="2498" spans="7:10" ht="35.450000000000003" hidden="1" customHeight="1">
      <c r="G2498" s="113"/>
      <c r="J2498" s="28">
        <f>IFERROR(VLOOKUP(TEXT(B2498,"0"),STOCK!A:H,7,0),1)</f>
        <v>1</v>
      </c>
    </row>
    <row r="2499" spans="7:10" ht="35.450000000000003" hidden="1" customHeight="1">
      <c r="G2499" s="113"/>
      <c r="J2499" s="28">
        <f>IFERROR(VLOOKUP(TEXT(B2499,"0"),STOCK!A:H,7,0),1)</f>
        <v>1</v>
      </c>
    </row>
    <row r="2500" spans="7:10" ht="35.450000000000003" hidden="1" customHeight="1">
      <c r="G2500" s="113"/>
      <c r="J2500" s="28">
        <f>IFERROR(VLOOKUP(TEXT(B2500,"0"),STOCK!A:H,7,0),1)</f>
        <v>1</v>
      </c>
    </row>
    <row r="2501" spans="7:10" ht="35.450000000000003" hidden="1" customHeight="1">
      <c r="G2501" s="113"/>
      <c r="J2501" s="28">
        <f>IFERROR(VLOOKUP(TEXT(B2501,"0"),STOCK!A:H,7,0),1)</f>
        <v>1</v>
      </c>
    </row>
    <row r="2502" spans="7:10" ht="35.450000000000003" hidden="1" customHeight="1">
      <c r="G2502" s="113"/>
      <c r="J2502" s="28">
        <f>IFERROR(VLOOKUP(TEXT(B2502,"0"),STOCK!A:H,7,0),1)</f>
        <v>1</v>
      </c>
    </row>
    <row r="2503" spans="7:10" ht="35.450000000000003" hidden="1" customHeight="1">
      <c r="G2503" s="113"/>
      <c r="J2503" s="28">
        <f>IFERROR(VLOOKUP(TEXT(B2503,"0"),STOCK!A:H,7,0),1)</f>
        <v>1</v>
      </c>
    </row>
    <row r="2504" spans="7:10" ht="35.450000000000003" hidden="1" customHeight="1">
      <c r="G2504" s="113"/>
      <c r="J2504" s="28">
        <f>IFERROR(VLOOKUP(TEXT(B2504,"0"),STOCK!A:H,7,0),1)</f>
        <v>1</v>
      </c>
    </row>
    <row r="2505" spans="7:10" ht="35.450000000000003" hidden="1" customHeight="1">
      <c r="G2505" s="113"/>
      <c r="J2505" s="28">
        <f>IFERROR(VLOOKUP(TEXT(B2505,"0"),STOCK!A:H,7,0),1)</f>
        <v>1</v>
      </c>
    </row>
    <row r="2506" spans="7:10" ht="35.450000000000003" hidden="1" customHeight="1">
      <c r="G2506" s="113"/>
      <c r="J2506" s="28">
        <f>IFERROR(VLOOKUP(TEXT(B2506,"0"),STOCK!A:H,7,0),1)</f>
        <v>1</v>
      </c>
    </row>
    <row r="2507" spans="7:10" ht="35.450000000000003" hidden="1" customHeight="1">
      <c r="G2507" s="113"/>
      <c r="J2507" s="28">
        <f>IFERROR(VLOOKUP(TEXT(B2507,"0"),STOCK!A:H,7,0),1)</f>
        <v>1</v>
      </c>
    </row>
    <row r="2508" spans="7:10" ht="35.450000000000003" hidden="1" customHeight="1">
      <c r="G2508" s="113"/>
      <c r="J2508" s="28">
        <f>IFERROR(VLOOKUP(TEXT(B2508,"0"),STOCK!A:H,7,0),1)</f>
        <v>1</v>
      </c>
    </row>
    <row r="2509" spans="7:10" ht="35.450000000000003" hidden="1" customHeight="1">
      <c r="G2509" s="113"/>
      <c r="J2509" s="28">
        <f>IFERROR(VLOOKUP(TEXT(B2509,"0"),STOCK!A:H,7,0),1)</f>
        <v>1</v>
      </c>
    </row>
    <row r="2510" spans="7:10" ht="35.450000000000003" hidden="1" customHeight="1">
      <c r="G2510" s="113"/>
      <c r="J2510" s="28">
        <f>IFERROR(VLOOKUP(TEXT(B2510,"0"),STOCK!A:H,7,0),1)</f>
        <v>1</v>
      </c>
    </row>
    <row r="2511" spans="7:10" ht="35.450000000000003" hidden="1" customHeight="1">
      <c r="G2511" s="113"/>
      <c r="J2511" s="28">
        <f>IFERROR(VLOOKUP(TEXT(B2511,"0"),STOCK!A:H,7,0),1)</f>
        <v>1</v>
      </c>
    </row>
    <row r="2512" spans="7:10" ht="35.450000000000003" hidden="1" customHeight="1">
      <c r="G2512" s="113"/>
      <c r="J2512" s="28">
        <f>IFERROR(VLOOKUP(TEXT(B2512,"0"),STOCK!A:H,7,0),1)</f>
        <v>1</v>
      </c>
    </row>
    <row r="2513" spans="7:10" ht="35.450000000000003" hidden="1" customHeight="1">
      <c r="G2513" s="113"/>
      <c r="J2513" s="28">
        <f>IFERROR(VLOOKUP(TEXT(B2513,"0"),STOCK!A:H,7,0),1)</f>
        <v>1</v>
      </c>
    </row>
    <row r="2514" spans="7:10" ht="35.450000000000003" hidden="1" customHeight="1">
      <c r="G2514" s="113"/>
      <c r="J2514" s="28">
        <f>IFERROR(VLOOKUP(TEXT(B2514,"0"),STOCK!A:H,7,0),1)</f>
        <v>1</v>
      </c>
    </row>
    <row r="2515" spans="7:10" ht="35.450000000000003" hidden="1" customHeight="1">
      <c r="G2515" s="113"/>
      <c r="J2515" s="28">
        <f>IFERROR(VLOOKUP(TEXT(B2515,"0"),STOCK!A:H,7,0),1)</f>
        <v>1</v>
      </c>
    </row>
    <row r="2516" spans="7:10" ht="35.450000000000003" hidden="1" customHeight="1">
      <c r="G2516" s="113"/>
      <c r="J2516" s="28">
        <f>IFERROR(VLOOKUP(TEXT(B2516,"0"),STOCK!A:H,7,0),1)</f>
        <v>1</v>
      </c>
    </row>
    <row r="2517" spans="7:10" ht="35.450000000000003" hidden="1" customHeight="1">
      <c r="G2517" s="113"/>
      <c r="J2517" s="28">
        <f>IFERROR(VLOOKUP(TEXT(B2517,"0"),STOCK!A:H,7,0),1)</f>
        <v>1</v>
      </c>
    </row>
    <row r="2518" spans="7:10" ht="35.450000000000003" hidden="1" customHeight="1">
      <c r="G2518" s="113"/>
      <c r="J2518" s="28">
        <f>IFERROR(VLOOKUP(TEXT(B2518,"0"),STOCK!A:H,7,0),1)</f>
        <v>1</v>
      </c>
    </row>
    <row r="2519" spans="7:10" ht="35.450000000000003" hidden="1" customHeight="1">
      <c r="G2519" s="113"/>
      <c r="J2519" s="28">
        <f>IFERROR(VLOOKUP(TEXT(B2519,"0"),STOCK!A:H,7,0),1)</f>
        <v>1</v>
      </c>
    </row>
    <row r="2520" spans="7:10" ht="35.450000000000003" hidden="1" customHeight="1">
      <c r="G2520" s="113"/>
      <c r="J2520" s="28">
        <f>IFERROR(VLOOKUP(TEXT(B2520,"0"),STOCK!A:H,7,0),1)</f>
        <v>1</v>
      </c>
    </row>
    <row r="2521" spans="7:10" ht="35.450000000000003" hidden="1" customHeight="1">
      <c r="G2521" s="113"/>
      <c r="J2521" s="28">
        <f>IFERROR(VLOOKUP(TEXT(B2521,"0"),STOCK!A:H,7,0),1)</f>
        <v>1</v>
      </c>
    </row>
    <row r="2522" spans="7:10" ht="35.450000000000003" hidden="1" customHeight="1">
      <c r="G2522" s="113"/>
      <c r="J2522" s="28">
        <f>IFERROR(VLOOKUP(TEXT(B2522,"0"),STOCK!A:H,7,0),1)</f>
        <v>1</v>
      </c>
    </row>
    <row r="2523" spans="7:10" ht="35.450000000000003" hidden="1" customHeight="1">
      <c r="G2523" s="113"/>
      <c r="J2523" s="28">
        <f>IFERROR(VLOOKUP(TEXT(B2523,"0"),STOCK!A:H,7,0),1)</f>
        <v>1</v>
      </c>
    </row>
    <row r="2524" spans="7:10" ht="35.450000000000003" hidden="1" customHeight="1">
      <c r="G2524" s="113"/>
      <c r="J2524" s="28">
        <f>IFERROR(VLOOKUP(TEXT(B2524,"0"),STOCK!A:H,7,0),1)</f>
        <v>1</v>
      </c>
    </row>
    <row r="2525" spans="7:10" ht="35.450000000000003" hidden="1" customHeight="1">
      <c r="G2525" s="113"/>
      <c r="J2525" s="28">
        <f>IFERROR(VLOOKUP(TEXT(B2525,"0"),STOCK!A:H,7,0),1)</f>
        <v>1</v>
      </c>
    </row>
    <row r="2526" spans="7:10" ht="35.450000000000003" hidden="1" customHeight="1">
      <c r="G2526" s="113"/>
      <c r="J2526" s="28">
        <f>IFERROR(VLOOKUP(TEXT(B2526,"0"),STOCK!A:H,7,0),1)</f>
        <v>1</v>
      </c>
    </row>
    <row r="2527" spans="7:10" ht="35.450000000000003" hidden="1" customHeight="1">
      <c r="G2527" s="113"/>
      <c r="J2527" s="28">
        <f>IFERROR(VLOOKUP(TEXT(B2527,"0"),STOCK!A:H,7,0),1)</f>
        <v>1</v>
      </c>
    </row>
    <row r="2528" spans="7:10" ht="35.450000000000003" hidden="1" customHeight="1">
      <c r="G2528" s="113"/>
      <c r="J2528" s="28">
        <f>IFERROR(VLOOKUP(TEXT(B2528,"0"),STOCK!A:H,7,0),1)</f>
        <v>1</v>
      </c>
    </row>
    <row r="2529" spans="7:10" ht="35.450000000000003" hidden="1" customHeight="1">
      <c r="G2529" s="113"/>
      <c r="J2529" s="28">
        <f>IFERROR(VLOOKUP(TEXT(B2529,"0"),STOCK!A:H,7,0),1)</f>
        <v>1</v>
      </c>
    </row>
    <row r="2530" spans="7:10" ht="35.450000000000003" hidden="1" customHeight="1">
      <c r="G2530" s="113"/>
      <c r="J2530" s="28">
        <f>IFERROR(VLOOKUP(TEXT(B2530,"0"),STOCK!A:H,7,0),1)</f>
        <v>1</v>
      </c>
    </row>
    <row r="2531" spans="7:10" ht="35.450000000000003" hidden="1" customHeight="1">
      <c r="G2531" s="113"/>
      <c r="J2531" s="28">
        <f>IFERROR(VLOOKUP(TEXT(B2531,"0"),STOCK!A:H,7,0),1)</f>
        <v>1</v>
      </c>
    </row>
    <row r="2532" spans="7:10" ht="35.450000000000003" hidden="1" customHeight="1">
      <c r="G2532" s="113"/>
      <c r="J2532" s="28">
        <f>IFERROR(VLOOKUP(TEXT(B2532,"0"),STOCK!A:H,7,0),1)</f>
        <v>1</v>
      </c>
    </row>
    <row r="2533" spans="7:10" ht="35.450000000000003" hidden="1" customHeight="1">
      <c r="G2533" s="113"/>
      <c r="J2533" s="28">
        <f>IFERROR(VLOOKUP(TEXT(B2533,"0"),STOCK!A:H,7,0),1)</f>
        <v>1</v>
      </c>
    </row>
    <row r="2534" spans="7:10" ht="35.450000000000003" hidden="1" customHeight="1">
      <c r="G2534" s="113"/>
      <c r="J2534" s="28">
        <f>IFERROR(VLOOKUP(TEXT(B2534,"0"),STOCK!A:H,7,0),1)</f>
        <v>1</v>
      </c>
    </row>
    <row r="2535" spans="7:10" ht="35.450000000000003" hidden="1" customHeight="1">
      <c r="G2535" s="113"/>
      <c r="J2535" s="28">
        <f>IFERROR(VLOOKUP(TEXT(B2535,"0"),STOCK!A:H,7,0),1)</f>
        <v>1</v>
      </c>
    </row>
    <row r="2536" spans="7:10" ht="35.450000000000003" hidden="1" customHeight="1">
      <c r="G2536" s="113"/>
      <c r="J2536" s="28">
        <f>IFERROR(VLOOKUP(TEXT(B2536,"0"),STOCK!A:H,7,0),1)</f>
        <v>1</v>
      </c>
    </row>
    <row r="2537" spans="7:10" ht="35.450000000000003" hidden="1" customHeight="1">
      <c r="G2537" s="113"/>
      <c r="J2537" s="28">
        <f>IFERROR(VLOOKUP(TEXT(B2537,"0"),STOCK!A:H,7,0),1)</f>
        <v>1</v>
      </c>
    </row>
    <row r="2538" spans="7:10" ht="35.450000000000003" hidden="1" customHeight="1">
      <c r="G2538" s="113"/>
      <c r="J2538" s="28">
        <f>IFERROR(VLOOKUP(TEXT(B2538,"0"),STOCK!A:H,7,0),1)</f>
        <v>1</v>
      </c>
    </row>
    <row r="2539" spans="7:10" ht="35.450000000000003" hidden="1" customHeight="1">
      <c r="G2539" s="113"/>
      <c r="J2539" s="28">
        <f>IFERROR(VLOOKUP(TEXT(B2539,"0"),STOCK!A:H,7,0),1)</f>
        <v>1</v>
      </c>
    </row>
    <row r="2540" spans="7:10" ht="35.450000000000003" hidden="1" customHeight="1">
      <c r="G2540" s="113"/>
      <c r="J2540" s="28">
        <f>IFERROR(VLOOKUP(TEXT(B2540,"0"),STOCK!A:H,7,0),1)</f>
        <v>1</v>
      </c>
    </row>
    <row r="2541" spans="7:10" ht="35.450000000000003" hidden="1" customHeight="1">
      <c r="G2541" s="113"/>
      <c r="J2541" s="28">
        <f>IFERROR(VLOOKUP(TEXT(B2541,"0"),STOCK!A:H,7,0),1)</f>
        <v>1</v>
      </c>
    </row>
    <row r="2542" spans="7:10" ht="35.450000000000003" hidden="1" customHeight="1">
      <c r="G2542" s="113"/>
      <c r="J2542" s="28">
        <f>IFERROR(VLOOKUP(TEXT(B2542,"0"),STOCK!A:H,7,0),1)</f>
        <v>1</v>
      </c>
    </row>
    <row r="2543" spans="7:10" ht="35.450000000000003" hidden="1" customHeight="1">
      <c r="G2543" s="113"/>
      <c r="J2543" s="28">
        <f>IFERROR(VLOOKUP(TEXT(B2543,"0"),STOCK!A:H,7,0),1)</f>
        <v>1</v>
      </c>
    </row>
    <row r="2544" spans="7:10" ht="35.450000000000003" hidden="1" customHeight="1">
      <c r="G2544" s="113"/>
      <c r="J2544" s="28">
        <f>IFERROR(VLOOKUP(TEXT(B2544,"0"),STOCK!A:H,7,0),1)</f>
        <v>1</v>
      </c>
    </row>
    <row r="2545" spans="7:10" ht="35.450000000000003" hidden="1" customHeight="1">
      <c r="G2545" s="113"/>
      <c r="J2545" s="28">
        <f>IFERROR(VLOOKUP(TEXT(B2545,"0"),STOCK!A:H,7,0),1)</f>
        <v>1</v>
      </c>
    </row>
    <row r="2546" spans="7:10" ht="35.450000000000003" hidden="1" customHeight="1">
      <c r="G2546" s="113"/>
      <c r="J2546" s="28">
        <f>IFERROR(VLOOKUP(TEXT(B2546,"0"),STOCK!A:H,7,0),1)</f>
        <v>1</v>
      </c>
    </row>
    <row r="2547" spans="7:10" ht="35.450000000000003" hidden="1" customHeight="1">
      <c r="G2547" s="113"/>
      <c r="J2547" s="28">
        <f>IFERROR(VLOOKUP(TEXT(B2547,"0"),STOCK!A:H,7,0),1)</f>
        <v>1</v>
      </c>
    </row>
    <row r="2548" spans="7:10" ht="35.450000000000003" hidden="1" customHeight="1">
      <c r="G2548" s="113"/>
      <c r="J2548" s="28">
        <f>IFERROR(VLOOKUP(TEXT(B2548,"0"),STOCK!A:H,7,0),1)</f>
        <v>1</v>
      </c>
    </row>
    <row r="2549" spans="7:10" ht="35.450000000000003" hidden="1" customHeight="1">
      <c r="G2549" s="113"/>
      <c r="J2549" s="28">
        <f>IFERROR(VLOOKUP(TEXT(B2549,"0"),STOCK!A:H,7,0),1)</f>
        <v>1</v>
      </c>
    </row>
    <row r="2550" spans="7:10" ht="35.450000000000003" hidden="1" customHeight="1">
      <c r="G2550" s="113"/>
      <c r="J2550" s="28">
        <f>IFERROR(VLOOKUP(TEXT(B2550,"0"),STOCK!A:H,7,0),1)</f>
        <v>1</v>
      </c>
    </row>
    <row r="2551" spans="7:10" ht="35.450000000000003" hidden="1" customHeight="1">
      <c r="G2551" s="113"/>
      <c r="J2551" s="28">
        <f>IFERROR(VLOOKUP(TEXT(B2551,"0"),STOCK!A:H,7,0),1)</f>
        <v>1</v>
      </c>
    </row>
    <row r="2552" spans="7:10" ht="35.450000000000003" hidden="1" customHeight="1">
      <c r="G2552" s="113"/>
      <c r="J2552" s="28">
        <f>IFERROR(VLOOKUP(TEXT(B2552,"0"),STOCK!A:H,7,0),1)</f>
        <v>1</v>
      </c>
    </row>
    <row r="2553" spans="7:10" ht="35.450000000000003" hidden="1" customHeight="1">
      <c r="G2553" s="113"/>
      <c r="J2553" s="28">
        <f>IFERROR(VLOOKUP(TEXT(B2553,"0"),STOCK!A:H,7,0),1)</f>
        <v>1</v>
      </c>
    </row>
    <row r="2554" spans="7:10" ht="35.450000000000003" hidden="1" customHeight="1">
      <c r="G2554" s="113"/>
      <c r="J2554" s="28">
        <f>IFERROR(VLOOKUP(TEXT(B2554,"0"),STOCK!A:H,7,0),1)</f>
        <v>1</v>
      </c>
    </row>
    <row r="2555" spans="7:10" ht="35.450000000000003" hidden="1" customHeight="1">
      <c r="G2555" s="113"/>
      <c r="J2555" s="28">
        <f>IFERROR(VLOOKUP(TEXT(B2555,"0"),STOCK!A:H,7,0),1)</f>
        <v>1</v>
      </c>
    </row>
    <row r="2556" spans="7:10" ht="35.450000000000003" hidden="1" customHeight="1">
      <c r="G2556" s="113"/>
      <c r="J2556" s="28">
        <f>IFERROR(VLOOKUP(TEXT(B2556,"0"),STOCK!A:H,7,0),1)</f>
        <v>1</v>
      </c>
    </row>
    <row r="2557" spans="7:10" ht="35.450000000000003" hidden="1" customHeight="1">
      <c r="G2557" s="113"/>
      <c r="J2557" s="28">
        <f>IFERROR(VLOOKUP(TEXT(B2557,"0"),STOCK!A:H,7,0),1)</f>
        <v>1</v>
      </c>
    </row>
    <row r="2558" spans="7:10" ht="35.450000000000003" hidden="1" customHeight="1">
      <c r="G2558" s="113"/>
      <c r="J2558" s="28">
        <f>IFERROR(VLOOKUP(TEXT(B2558,"0"),STOCK!A:H,7,0),1)</f>
        <v>1</v>
      </c>
    </row>
    <row r="2559" spans="7:10" ht="35.450000000000003" hidden="1" customHeight="1">
      <c r="G2559" s="113"/>
      <c r="J2559" s="28">
        <f>IFERROR(VLOOKUP(TEXT(B2559,"0"),STOCK!A:H,7,0),1)</f>
        <v>1</v>
      </c>
    </row>
    <row r="2560" spans="7:10" ht="35.450000000000003" hidden="1" customHeight="1">
      <c r="G2560" s="113"/>
      <c r="J2560" s="28">
        <f>IFERROR(VLOOKUP(TEXT(B2560,"0"),STOCK!A:H,7,0),1)</f>
        <v>1</v>
      </c>
    </row>
    <row r="2561" spans="7:10" ht="35.450000000000003" hidden="1" customHeight="1">
      <c r="G2561" s="113"/>
      <c r="J2561" s="28">
        <f>IFERROR(VLOOKUP(TEXT(B2561,"0"),STOCK!A:H,7,0),1)</f>
        <v>1</v>
      </c>
    </row>
    <row r="2562" spans="7:10" ht="35.450000000000003" hidden="1" customHeight="1">
      <c r="G2562" s="113"/>
      <c r="J2562" s="28">
        <f>IFERROR(VLOOKUP(TEXT(B2562,"0"),STOCK!A:H,7,0),1)</f>
        <v>1</v>
      </c>
    </row>
    <row r="2563" spans="7:10" ht="35.450000000000003" hidden="1" customHeight="1">
      <c r="G2563" s="113"/>
      <c r="J2563" s="28">
        <f>IFERROR(VLOOKUP(TEXT(B2563,"0"),STOCK!A:H,7,0),1)</f>
        <v>1</v>
      </c>
    </row>
    <row r="2564" spans="7:10" ht="35.450000000000003" hidden="1" customHeight="1">
      <c r="G2564" s="113"/>
      <c r="J2564" s="28">
        <f>IFERROR(VLOOKUP(TEXT(B2564,"0"),STOCK!A:H,7,0),1)</f>
        <v>1</v>
      </c>
    </row>
    <row r="2565" spans="7:10" ht="35.450000000000003" hidden="1" customHeight="1">
      <c r="G2565" s="113"/>
      <c r="J2565" s="28">
        <f>IFERROR(VLOOKUP(TEXT(B2565,"0"),STOCK!A:H,7,0),1)</f>
        <v>1</v>
      </c>
    </row>
    <row r="2566" spans="7:10" ht="35.450000000000003" hidden="1" customHeight="1">
      <c r="G2566" s="113"/>
      <c r="J2566" s="28">
        <f>IFERROR(VLOOKUP(TEXT(B2566,"0"),STOCK!A:H,7,0),1)</f>
        <v>1</v>
      </c>
    </row>
    <row r="2567" spans="7:10" ht="35.450000000000003" hidden="1" customHeight="1">
      <c r="G2567" s="113"/>
      <c r="J2567" s="28">
        <f>IFERROR(VLOOKUP(TEXT(B2567,"0"),STOCK!A:H,7,0),1)</f>
        <v>1</v>
      </c>
    </row>
    <row r="2568" spans="7:10" ht="35.450000000000003" hidden="1" customHeight="1">
      <c r="G2568" s="113"/>
      <c r="J2568" s="28">
        <f>IFERROR(VLOOKUP(TEXT(B2568,"0"),STOCK!A:H,7,0),1)</f>
        <v>1</v>
      </c>
    </row>
    <row r="2569" spans="7:10" ht="35.450000000000003" hidden="1" customHeight="1">
      <c r="G2569" s="113"/>
      <c r="J2569" s="28">
        <f>IFERROR(VLOOKUP(TEXT(B2569,"0"),STOCK!A:H,7,0),1)</f>
        <v>1</v>
      </c>
    </row>
    <row r="2570" spans="7:10" ht="35.450000000000003" hidden="1" customHeight="1">
      <c r="G2570" s="113"/>
      <c r="J2570" s="28">
        <f>IFERROR(VLOOKUP(TEXT(B2570,"0"),STOCK!A:H,7,0),1)</f>
        <v>1</v>
      </c>
    </row>
    <row r="2571" spans="7:10" ht="35.450000000000003" hidden="1" customHeight="1">
      <c r="G2571" s="113"/>
      <c r="J2571" s="28">
        <f>IFERROR(VLOOKUP(TEXT(B2571,"0"),STOCK!A:H,7,0),1)</f>
        <v>1</v>
      </c>
    </row>
    <row r="2572" spans="7:10" ht="35.450000000000003" hidden="1" customHeight="1">
      <c r="G2572" s="113"/>
      <c r="J2572" s="28">
        <f>IFERROR(VLOOKUP(TEXT(B2572,"0"),STOCK!A:H,7,0),1)</f>
        <v>1</v>
      </c>
    </row>
    <row r="2573" spans="7:10" ht="35.450000000000003" hidden="1" customHeight="1">
      <c r="G2573" s="113"/>
      <c r="J2573" s="28">
        <f>IFERROR(VLOOKUP(TEXT(B2573,"0"),STOCK!A:H,7,0),1)</f>
        <v>1</v>
      </c>
    </row>
    <row r="2574" spans="7:10" ht="35.450000000000003" hidden="1" customHeight="1">
      <c r="G2574" s="113"/>
      <c r="J2574" s="28">
        <f>IFERROR(VLOOKUP(TEXT(B2574,"0"),STOCK!A:H,7,0),1)</f>
        <v>1</v>
      </c>
    </row>
    <row r="2575" spans="7:10" ht="35.450000000000003" hidden="1" customHeight="1">
      <c r="G2575" s="113"/>
      <c r="J2575" s="28">
        <f>IFERROR(VLOOKUP(TEXT(B2575,"0"),STOCK!A:H,7,0),1)</f>
        <v>1</v>
      </c>
    </row>
    <row r="2576" spans="7:10" ht="35.450000000000003" hidden="1" customHeight="1">
      <c r="G2576" s="113"/>
      <c r="J2576" s="28">
        <f>IFERROR(VLOOKUP(TEXT(B2576,"0"),STOCK!A:H,7,0),1)</f>
        <v>1</v>
      </c>
    </row>
    <row r="2577" spans="7:10" ht="35.450000000000003" hidden="1" customHeight="1">
      <c r="G2577" s="113"/>
      <c r="J2577" s="28">
        <f>IFERROR(VLOOKUP(TEXT(B2577,"0"),STOCK!A:H,7,0),1)</f>
        <v>1</v>
      </c>
    </row>
    <row r="2578" spans="7:10" ht="35.450000000000003" hidden="1" customHeight="1">
      <c r="G2578" s="113"/>
      <c r="J2578" s="28">
        <f>IFERROR(VLOOKUP(TEXT(B2578,"0"),STOCK!A:H,7,0),1)</f>
        <v>1</v>
      </c>
    </row>
    <row r="2579" spans="7:10" ht="35.450000000000003" hidden="1" customHeight="1">
      <c r="G2579" s="113"/>
      <c r="J2579" s="28">
        <f>IFERROR(VLOOKUP(TEXT(B2579,"0"),STOCK!A:H,7,0),1)</f>
        <v>1</v>
      </c>
    </row>
    <row r="2580" spans="7:10" ht="35.450000000000003" hidden="1" customHeight="1">
      <c r="G2580" s="113"/>
      <c r="J2580" s="28">
        <f>IFERROR(VLOOKUP(TEXT(B2580,"0"),STOCK!A:H,7,0),1)</f>
        <v>1</v>
      </c>
    </row>
    <row r="2581" spans="7:10" ht="35.450000000000003" hidden="1" customHeight="1">
      <c r="G2581" s="113"/>
      <c r="J2581" s="28">
        <f>IFERROR(VLOOKUP(TEXT(B2581,"0"),STOCK!A:H,7,0),1)</f>
        <v>1</v>
      </c>
    </row>
    <row r="2582" spans="7:10" ht="35.450000000000003" hidden="1" customHeight="1">
      <c r="G2582" s="113"/>
      <c r="J2582" s="28">
        <f>IFERROR(VLOOKUP(TEXT(B2582,"0"),STOCK!A:H,7,0),1)</f>
        <v>1</v>
      </c>
    </row>
    <row r="2583" spans="7:10" ht="35.450000000000003" hidden="1" customHeight="1">
      <c r="G2583" s="113"/>
      <c r="J2583" s="28">
        <f>IFERROR(VLOOKUP(TEXT(B2583,"0"),STOCK!A:H,7,0),1)</f>
        <v>1</v>
      </c>
    </row>
    <row r="2584" spans="7:10" ht="35.450000000000003" hidden="1" customHeight="1">
      <c r="G2584" s="113"/>
      <c r="J2584" s="28">
        <f>IFERROR(VLOOKUP(TEXT(B2584,"0"),STOCK!A:H,7,0),1)</f>
        <v>1</v>
      </c>
    </row>
    <row r="2585" spans="7:10" ht="35.450000000000003" hidden="1" customHeight="1">
      <c r="G2585" s="113"/>
      <c r="J2585" s="28">
        <f>IFERROR(VLOOKUP(TEXT(B2585,"0"),STOCK!A:H,7,0),1)</f>
        <v>1</v>
      </c>
    </row>
    <row r="2586" spans="7:10" ht="35.450000000000003" hidden="1" customHeight="1">
      <c r="G2586" s="113"/>
      <c r="J2586" s="28">
        <f>IFERROR(VLOOKUP(TEXT(B2586,"0"),STOCK!A:H,7,0),1)</f>
        <v>1</v>
      </c>
    </row>
    <row r="2587" spans="7:10" ht="35.450000000000003" hidden="1" customHeight="1">
      <c r="G2587" s="113"/>
      <c r="J2587" s="28">
        <f>IFERROR(VLOOKUP(TEXT(B2587,"0"),STOCK!A:H,7,0),1)</f>
        <v>1</v>
      </c>
    </row>
    <row r="2588" spans="7:10" ht="35.450000000000003" hidden="1" customHeight="1">
      <c r="G2588" s="113"/>
      <c r="J2588" s="28">
        <f>IFERROR(VLOOKUP(TEXT(B2588,"0"),STOCK!A:H,7,0),1)</f>
        <v>1</v>
      </c>
    </row>
    <row r="2589" spans="7:10" ht="35.450000000000003" hidden="1" customHeight="1">
      <c r="G2589" s="113"/>
      <c r="J2589" s="28">
        <f>IFERROR(VLOOKUP(TEXT(B2589,"0"),STOCK!A:H,7,0),1)</f>
        <v>1</v>
      </c>
    </row>
    <row r="2590" spans="7:10" ht="35.450000000000003" hidden="1" customHeight="1">
      <c r="G2590" s="113"/>
      <c r="J2590" s="28">
        <f>IFERROR(VLOOKUP(TEXT(B2590,"0"),STOCK!A:H,7,0),1)</f>
        <v>1</v>
      </c>
    </row>
    <row r="2591" spans="7:10" ht="35.450000000000003" hidden="1" customHeight="1">
      <c r="G2591" s="113"/>
      <c r="J2591" s="28">
        <f>IFERROR(VLOOKUP(TEXT(B2591,"0"),STOCK!A:H,7,0),1)</f>
        <v>1</v>
      </c>
    </row>
    <row r="2592" spans="7:10" ht="35.450000000000003" hidden="1" customHeight="1">
      <c r="G2592" s="113"/>
      <c r="J2592" s="28">
        <f>IFERROR(VLOOKUP(TEXT(B2592,"0"),STOCK!A:H,7,0),1)</f>
        <v>1</v>
      </c>
    </row>
    <row r="2593" spans="7:10" ht="35.450000000000003" hidden="1" customHeight="1">
      <c r="G2593" s="113"/>
      <c r="J2593" s="28">
        <f>IFERROR(VLOOKUP(TEXT(B2593,"0"),STOCK!A:H,7,0),1)</f>
        <v>1</v>
      </c>
    </row>
    <row r="2594" spans="7:10" ht="35.450000000000003" hidden="1" customHeight="1">
      <c r="G2594" s="113"/>
      <c r="J2594" s="28">
        <f>IFERROR(VLOOKUP(TEXT(B2594,"0"),STOCK!A:H,7,0),1)</f>
        <v>1</v>
      </c>
    </row>
    <row r="2595" spans="7:10" ht="35.450000000000003" hidden="1" customHeight="1">
      <c r="G2595" s="113"/>
      <c r="J2595" s="28">
        <f>IFERROR(VLOOKUP(TEXT(B2595,"0"),STOCK!A:H,7,0),1)</f>
        <v>1</v>
      </c>
    </row>
    <row r="2596" spans="7:10" ht="35.450000000000003" hidden="1" customHeight="1">
      <c r="G2596" s="113"/>
      <c r="J2596" s="28">
        <f>IFERROR(VLOOKUP(TEXT(B2596,"0"),STOCK!A:H,7,0),1)</f>
        <v>1</v>
      </c>
    </row>
    <row r="2597" spans="7:10" ht="35.450000000000003" hidden="1" customHeight="1">
      <c r="G2597" s="113"/>
      <c r="J2597" s="28">
        <f>IFERROR(VLOOKUP(TEXT(B2597,"0"),STOCK!A:H,7,0),1)</f>
        <v>1</v>
      </c>
    </row>
    <row r="2598" spans="7:10" ht="35.450000000000003" hidden="1" customHeight="1">
      <c r="G2598" s="113"/>
      <c r="J2598" s="28">
        <f>IFERROR(VLOOKUP(TEXT(B2598,"0"),STOCK!A:H,7,0),1)</f>
        <v>1</v>
      </c>
    </row>
    <row r="2599" spans="7:10" ht="35.450000000000003" hidden="1" customHeight="1">
      <c r="G2599" s="113"/>
      <c r="J2599" s="28">
        <f>IFERROR(VLOOKUP(TEXT(B2599,"0"),STOCK!A:H,7,0),1)</f>
        <v>1</v>
      </c>
    </row>
    <row r="2600" spans="7:10" ht="35.450000000000003" hidden="1" customHeight="1">
      <c r="G2600" s="113"/>
      <c r="J2600" s="28">
        <f>IFERROR(VLOOKUP(TEXT(B2600,"0"),STOCK!A:H,7,0),1)</f>
        <v>1</v>
      </c>
    </row>
    <row r="2601" spans="7:10" ht="35.450000000000003" hidden="1" customHeight="1">
      <c r="G2601" s="113"/>
      <c r="J2601" s="28">
        <f>IFERROR(VLOOKUP(TEXT(B2601,"0"),STOCK!A:H,7,0),1)</f>
        <v>1</v>
      </c>
    </row>
    <row r="2602" spans="7:10" ht="35.450000000000003" hidden="1" customHeight="1">
      <c r="G2602" s="113"/>
      <c r="J2602" s="28">
        <f>IFERROR(VLOOKUP(TEXT(B2602,"0"),STOCK!A:H,7,0),1)</f>
        <v>1</v>
      </c>
    </row>
    <row r="2603" spans="7:10" ht="35.450000000000003" hidden="1" customHeight="1">
      <c r="G2603" s="113"/>
      <c r="J2603" s="28">
        <f>IFERROR(VLOOKUP(TEXT(B2603,"0"),STOCK!A:H,7,0),1)</f>
        <v>1</v>
      </c>
    </row>
    <row r="2604" spans="7:10" ht="35.450000000000003" hidden="1" customHeight="1">
      <c r="G2604" s="113"/>
      <c r="J2604" s="28">
        <f>IFERROR(VLOOKUP(TEXT(B2604,"0"),STOCK!A:H,7,0),1)</f>
        <v>1</v>
      </c>
    </row>
    <row r="2605" spans="7:10" ht="35.450000000000003" hidden="1" customHeight="1">
      <c r="G2605" s="113"/>
      <c r="J2605" s="28">
        <f>IFERROR(VLOOKUP(TEXT(B2605,"0"),STOCK!A:H,7,0),1)</f>
        <v>1</v>
      </c>
    </row>
    <row r="2606" spans="7:10" ht="35.450000000000003" hidden="1" customHeight="1">
      <c r="G2606" s="113"/>
      <c r="J2606" s="28">
        <f>IFERROR(VLOOKUP(TEXT(B2606,"0"),STOCK!A:H,7,0),1)</f>
        <v>1</v>
      </c>
    </row>
    <row r="2607" spans="7:10" ht="35.450000000000003" hidden="1" customHeight="1">
      <c r="G2607" s="113"/>
      <c r="J2607" s="28">
        <f>IFERROR(VLOOKUP(TEXT(B2607,"0"),STOCK!A:H,7,0),1)</f>
        <v>1</v>
      </c>
    </row>
    <row r="2608" spans="7:10" ht="35.450000000000003" hidden="1" customHeight="1">
      <c r="G2608" s="113"/>
      <c r="J2608" s="28">
        <f>IFERROR(VLOOKUP(TEXT(B2608,"0"),STOCK!A:H,7,0),1)</f>
        <v>1</v>
      </c>
    </row>
    <row r="2609" spans="7:10" ht="35.450000000000003" hidden="1" customHeight="1">
      <c r="G2609" s="113"/>
      <c r="J2609" s="28">
        <f>IFERROR(VLOOKUP(TEXT(B2609,"0"),STOCK!A:H,7,0),1)</f>
        <v>1</v>
      </c>
    </row>
    <row r="2610" spans="7:10" ht="35.450000000000003" hidden="1" customHeight="1">
      <c r="G2610" s="113"/>
      <c r="J2610" s="28">
        <f>IFERROR(VLOOKUP(TEXT(B2610,"0"),STOCK!A:H,7,0),1)</f>
        <v>1</v>
      </c>
    </row>
    <row r="2611" spans="7:10" ht="35.450000000000003" hidden="1" customHeight="1">
      <c r="G2611" s="113"/>
      <c r="J2611" s="28">
        <f>IFERROR(VLOOKUP(TEXT(B2611,"0"),STOCK!A:H,7,0),1)</f>
        <v>1</v>
      </c>
    </row>
    <row r="2612" spans="7:10" ht="35.450000000000003" hidden="1" customHeight="1">
      <c r="G2612" s="113"/>
      <c r="J2612" s="28">
        <f>IFERROR(VLOOKUP(TEXT(B2612,"0"),STOCK!A:H,7,0),1)</f>
        <v>1</v>
      </c>
    </row>
    <row r="2613" spans="7:10" ht="35.450000000000003" hidden="1" customHeight="1">
      <c r="G2613" s="113"/>
      <c r="J2613" s="28">
        <f>IFERROR(VLOOKUP(TEXT(B2613,"0"),STOCK!A:H,7,0),1)</f>
        <v>1</v>
      </c>
    </row>
    <row r="2614" spans="7:10" ht="35.450000000000003" hidden="1" customHeight="1">
      <c r="G2614" s="113"/>
      <c r="J2614" s="28">
        <f>IFERROR(VLOOKUP(TEXT(B2614,"0"),STOCK!A:H,7,0),1)</f>
        <v>1</v>
      </c>
    </row>
    <row r="2615" spans="7:10" ht="35.450000000000003" hidden="1" customHeight="1">
      <c r="G2615" s="113"/>
      <c r="J2615" s="28">
        <f>IFERROR(VLOOKUP(TEXT(B2615,"0"),STOCK!A:H,7,0),1)</f>
        <v>1</v>
      </c>
    </row>
    <row r="2616" spans="7:10" ht="35.450000000000003" hidden="1" customHeight="1">
      <c r="G2616" s="113"/>
      <c r="J2616" s="28">
        <f>IFERROR(VLOOKUP(TEXT(B2616,"0"),STOCK!A:H,7,0),1)</f>
        <v>1</v>
      </c>
    </row>
    <row r="2617" spans="7:10" ht="35.450000000000003" hidden="1" customHeight="1">
      <c r="G2617" s="113"/>
      <c r="J2617" s="28">
        <f>IFERROR(VLOOKUP(TEXT(B2617,"0"),STOCK!A:H,7,0),1)</f>
        <v>1</v>
      </c>
    </row>
    <row r="2618" spans="7:10" ht="35.450000000000003" hidden="1" customHeight="1">
      <c r="G2618" s="113"/>
      <c r="J2618" s="28">
        <f>IFERROR(VLOOKUP(TEXT(B2618,"0"),STOCK!A:H,7,0),1)</f>
        <v>1</v>
      </c>
    </row>
    <row r="2619" spans="7:10" ht="35.450000000000003" hidden="1" customHeight="1">
      <c r="G2619" s="113"/>
      <c r="J2619" s="28">
        <f>IFERROR(VLOOKUP(TEXT(B2619,"0"),STOCK!A:H,7,0),1)</f>
        <v>1</v>
      </c>
    </row>
    <row r="2620" spans="7:10" ht="35.450000000000003" hidden="1" customHeight="1">
      <c r="G2620" s="113"/>
      <c r="J2620" s="28">
        <f>IFERROR(VLOOKUP(TEXT(B2620,"0"),STOCK!A:H,7,0),1)</f>
        <v>1</v>
      </c>
    </row>
    <row r="2621" spans="7:10" ht="35.450000000000003" hidden="1" customHeight="1">
      <c r="G2621" s="113"/>
      <c r="J2621" s="28">
        <f>IFERROR(VLOOKUP(TEXT(B2621,"0"),STOCK!A:H,7,0),1)</f>
        <v>1</v>
      </c>
    </row>
    <row r="2622" spans="7:10" ht="35.450000000000003" hidden="1" customHeight="1">
      <c r="G2622" s="113"/>
      <c r="J2622" s="28">
        <f>IFERROR(VLOOKUP(TEXT(B2622,"0"),STOCK!A:H,7,0),1)</f>
        <v>1</v>
      </c>
    </row>
    <row r="2623" spans="7:10" ht="35.450000000000003" hidden="1" customHeight="1">
      <c r="G2623" s="113"/>
      <c r="J2623" s="28">
        <f>IFERROR(VLOOKUP(TEXT(B2623,"0"),STOCK!A:H,7,0),1)</f>
        <v>1</v>
      </c>
    </row>
    <row r="2624" spans="7:10" ht="35.450000000000003" hidden="1" customHeight="1">
      <c r="G2624" s="113"/>
      <c r="J2624" s="28">
        <f>IFERROR(VLOOKUP(TEXT(B2624,"0"),STOCK!A:H,7,0),1)</f>
        <v>1</v>
      </c>
    </row>
    <row r="2625" spans="7:10" ht="35.450000000000003" hidden="1" customHeight="1">
      <c r="G2625" s="113"/>
      <c r="J2625" s="28">
        <f>IFERROR(VLOOKUP(TEXT(B2625,"0"),STOCK!A:H,7,0),1)</f>
        <v>1</v>
      </c>
    </row>
    <row r="2626" spans="7:10" ht="35.450000000000003" hidden="1" customHeight="1">
      <c r="G2626" s="113"/>
      <c r="J2626" s="28">
        <f>IFERROR(VLOOKUP(TEXT(B2626,"0"),STOCK!A:H,7,0),1)</f>
        <v>1</v>
      </c>
    </row>
    <row r="2627" spans="7:10" ht="35.450000000000003" hidden="1" customHeight="1">
      <c r="G2627" s="113"/>
      <c r="J2627" s="28">
        <f>IFERROR(VLOOKUP(TEXT(B2627,"0"),STOCK!A:H,7,0),1)</f>
        <v>1</v>
      </c>
    </row>
    <row r="2628" spans="7:10" ht="35.450000000000003" hidden="1" customHeight="1">
      <c r="G2628" s="113"/>
      <c r="J2628" s="28">
        <f>IFERROR(VLOOKUP(TEXT(B2628,"0"),STOCK!A:H,7,0),1)</f>
        <v>1</v>
      </c>
    </row>
    <row r="2629" spans="7:10" ht="35.450000000000003" hidden="1" customHeight="1">
      <c r="G2629" s="113"/>
      <c r="J2629" s="28">
        <f>IFERROR(VLOOKUP(TEXT(B2629,"0"),STOCK!A:H,7,0),1)</f>
        <v>1</v>
      </c>
    </row>
    <row r="2630" spans="7:10" ht="35.450000000000003" hidden="1" customHeight="1">
      <c r="G2630" s="113"/>
      <c r="J2630" s="28">
        <f>IFERROR(VLOOKUP(TEXT(B2630,"0"),STOCK!A:H,7,0),1)</f>
        <v>1</v>
      </c>
    </row>
    <row r="2631" spans="7:10" ht="35.450000000000003" hidden="1" customHeight="1">
      <c r="G2631" s="113"/>
      <c r="J2631" s="28">
        <f>IFERROR(VLOOKUP(TEXT(B2631,"0"),STOCK!A:H,7,0),1)</f>
        <v>1</v>
      </c>
    </row>
    <row r="2632" spans="7:10" ht="35.450000000000003" hidden="1" customHeight="1">
      <c r="G2632" s="113"/>
      <c r="J2632" s="28">
        <f>IFERROR(VLOOKUP(TEXT(B2632,"0"),STOCK!A:H,7,0),1)</f>
        <v>1</v>
      </c>
    </row>
    <row r="2633" spans="7:10" ht="35.450000000000003" hidden="1" customHeight="1">
      <c r="G2633" s="113"/>
      <c r="J2633" s="28">
        <f>IFERROR(VLOOKUP(TEXT(B2633,"0"),STOCK!A:H,7,0),1)</f>
        <v>1</v>
      </c>
    </row>
    <row r="2634" spans="7:10" ht="35.450000000000003" hidden="1" customHeight="1">
      <c r="G2634" s="113"/>
      <c r="J2634" s="28">
        <f>IFERROR(VLOOKUP(TEXT(B2634,"0"),STOCK!A:H,7,0),1)</f>
        <v>1</v>
      </c>
    </row>
    <row r="2635" spans="7:10" ht="35.450000000000003" hidden="1" customHeight="1">
      <c r="G2635" s="113"/>
      <c r="J2635" s="28">
        <f>IFERROR(VLOOKUP(TEXT(B2635,"0"),STOCK!A:H,7,0),1)</f>
        <v>1</v>
      </c>
    </row>
    <row r="2636" spans="7:10" ht="35.450000000000003" hidden="1" customHeight="1">
      <c r="G2636" s="113"/>
      <c r="J2636" s="28">
        <f>IFERROR(VLOOKUP(TEXT(B2636,"0"),STOCK!A:H,7,0),1)</f>
        <v>1</v>
      </c>
    </row>
    <row r="2637" spans="7:10" ht="35.450000000000003" hidden="1" customHeight="1">
      <c r="G2637" s="113"/>
      <c r="J2637" s="28">
        <f>IFERROR(VLOOKUP(TEXT(B2637,"0"),STOCK!A:H,7,0),1)</f>
        <v>1</v>
      </c>
    </row>
    <row r="2638" spans="7:10" ht="35.450000000000003" hidden="1" customHeight="1">
      <c r="G2638" s="113"/>
      <c r="J2638" s="28">
        <f>IFERROR(VLOOKUP(TEXT(B2638,"0"),STOCK!A:H,7,0),1)</f>
        <v>1</v>
      </c>
    </row>
    <row r="2639" spans="7:10" ht="35.450000000000003" hidden="1" customHeight="1">
      <c r="G2639" s="113"/>
      <c r="J2639" s="28">
        <f>IFERROR(VLOOKUP(TEXT(B2639,"0"),STOCK!A:H,7,0),1)</f>
        <v>1</v>
      </c>
    </row>
    <row r="2640" spans="7:10" ht="35.450000000000003" hidden="1" customHeight="1">
      <c r="G2640" s="113"/>
      <c r="J2640" s="28">
        <f>IFERROR(VLOOKUP(TEXT(B2640,"0"),STOCK!A:H,7,0),1)</f>
        <v>1</v>
      </c>
    </row>
    <row r="2641" spans="7:10" ht="35.450000000000003" hidden="1" customHeight="1">
      <c r="G2641" s="113"/>
      <c r="J2641" s="28">
        <f>IFERROR(VLOOKUP(TEXT(B2641,"0"),STOCK!A:H,7,0),1)</f>
        <v>1</v>
      </c>
    </row>
    <row r="2642" spans="7:10" ht="35.450000000000003" hidden="1" customHeight="1">
      <c r="G2642" s="113"/>
      <c r="J2642" s="28">
        <f>IFERROR(VLOOKUP(TEXT(B2642,"0"),STOCK!A:H,7,0),1)</f>
        <v>1</v>
      </c>
    </row>
    <row r="2643" spans="7:10" ht="35.450000000000003" hidden="1" customHeight="1">
      <c r="G2643" s="113"/>
      <c r="J2643" s="28">
        <f>IFERROR(VLOOKUP(TEXT(B2643,"0"),STOCK!A:H,7,0),1)</f>
        <v>1</v>
      </c>
    </row>
    <row r="2644" spans="7:10" ht="35.450000000000003" hidden="1" customHeight="1">
      <c r="G2644" s="113"/>
      <c r="J2644" s="28">
        <f>IFERROR(VLOOKUP(TEXT(B2644,"0"),STOCK!A:H,7,0),1)</f>
        <v>1</v>
      </c>
    </row>
    <row r="2645" spans="7:10" ht="35.450000000000003" hidden="1" customHeight="1">
      <c r="G2645" s="113"/>
      <c r="J2645" s="28">
        <f>IFERROR(VLOOKUP(TEXT(B2645,"0"),STOCK!A:H,7,0),1)</f>
        <v>1</v>
      </c>
    </row>
    <row r="2646" spans="7:10" ht="35.450000000000003" hidden="1" customHeight="1">
      <c r="G2646" s="113"/>
      <c r="J2646" s="28">
        <f>IFERROR(VLOOKUP(TEXT(B2646,"0"),STOCK!A:H,7,0),1)</f>
        <v>1</v>
      </c>
    </row>
    <row r="2647" spans="7:10" ht="35.450000000000003" hidden="1" customHeight="1">
      <c r="G2647" s="113"/>
      <c r="J2647" s="28">
        <f>IFERROR(VLOOKUP(TEXT(B2647,"0"),STOCK!A:H,7,0),1)</f>
        <v>1</v>
      </c>
    </row>
    <row r="2648" spans="7:10" ht="35.450000000000003" hidden="1" customHeight="1">
      <c r="G2648" s="113"/>
      <c r="J2648" s="28">
        <f>IFERROR(VLOOKUP(TEXT(B2648,"0"),STOCK!A:H,7,0),1)</f>
        <v>1</v>
      </c>
    </row>
    <row r="2649" spans="7:10" ht="35.450000000000003" hidden="1" customHeight="1">
      <c r="G2649" s="113"/>
      <c r="J2649" s="28">
        <f>IFERROR(VLOOKUP(TEXT(B2649,"0"),STOCK!A:H,7,0),1)</f>
        <v>1</v>
      </c>
    </row>
    <row r="2650" spans="7:10" ht="35.450000000000003" hidden="1" customHeight="1">
      <c r="G2650" s="113"/>
      <c r="J2650" s="28">
        <f>IFERROR(VLOOKUP(TEXT(B2650,"0"),STOCK!A:H,7,0),1)</f>
        <v>1</v>
      </c>
    </row>
    <row r="2651" spans="7:10" ht="35.450000000000003" hidden="1" customHeight="1">
      <c r="G2651" s="113"/>
      <c r="J2651" s="28">
        <f>IFERROR(VLOOKUP(TEXT(B2651,"0"),STOCK!A:H,7,0),1)</f>
        <v>1</v>
      </c>
    </row>
    <row r="2652" spans="7:10" ht="35.450000000000003" hidden="1" customHeight="1">
      <c r="G2652" s="113"/>
      <c r="J2652" s="28">
        <f>IFERROR(VLOOKUP(TEXT(B2652,"0"),STOCK!A:H,7,0),1)</f>
        <v>1</v>
      </c>
    </row>
    <row r="2653" spans="7:10" ht="35.450000000000003" hidden="1" customHeight="1">
      <c r="G2653" s="113"/>
      <c r="J2653" s="28">
        <f>IFERROR(VLOOKUP(TEXT(B2653,"0"),STOCK!A:H,7,0),1)</f>
        <v>1</v>
      </c>
    </row>
    <row r="2654" spans="7:10" ht="35.450000000000003" hidden="1" customHeight="1">
      <c r="G2654" s="113"/>
      <c r="J2654" s="28">
        <f>IFERROR(VLOOKUP(TEXT(B2654,"0"),STOCK!A:H,7,0),1)</f>
        <v>1</v>
      </c>
    </row>
    <row r="2655" spans="7:10" ht="35.450000000000003" hidden="1" customHeight="1">
      <c r="G2655" s="113"/>
      <c r="J2655" s="28">
        <f>IFERROR(VLOOKUP(TEXT(B2655,"0"),STOCK!A:H,7,0),1)</f>
        <v>1</v>
      </c>
    </row>
    <row r="2656" spans="7:10" ht="35.450000000000003" hidden="1" customHeight="1">
      <c r="G2656" s="113"/>
      <c r="J2656" s="28">
        <f>IFERROR(VLOOKUP(TEXT(B2656,"0"),STOCK!A:H,7,0),1)</f>
        <v>1</v>
      </c>
    </row>
    <row r="2657" spans="7:10" ht="35.450000000000003" hidden="1" customHeight="1">
      <c r="G2657" s="113"/>
      <c r="J2657" s="28">
        <f>IFERROR(VLOOKUP(TEXT(B2657,"0"),STOCK!A:H,7,0),1)</f>
        <v>1</v>
      </c>
    </row>
    <row r="2658" spans="7:10" ht="35.450000000000003" hidden="1" customHeight="1">
      <c r="G2658" s="113"/>
      <c r="J2658" s="28">
        <f>IFERROR(VLOOKUP(TEXT(B2658,"0"),STOCK!A:H,7,0),1)</f>
        <v>1</v>
      </c>
    </row>
    <row r="2659" spans="7:10" ht="35.450000000000003" hidden="1" customHeight="1">
      <c r="G2659" s="113"/>
      <c r="J2659" s="28">
        <f>IFERROR(VLOOKUP(TEXT(B2659,"0"),STOCK!A:H,7,0),1)</f>
        <v>1</v>
      </c>
    </row>
    <row r="2660" spans="7:10" ht="35.450000000000003" hidden="1" customHeight="1">
      <c r="G2660" s="113"/>
      <c r="J2660" s="28">
        <f>IFERROR(VLOOKUP(TEXT(B2660,"0"),STOCK!A:H,7,0),1)</f>
        <v>1</v>
      </c>
    </row>
    <row r="2661" spans="7:10" ht="35.450000000000003" hidden="1" customHeight="1">
      <c r="G2661" s="113"/>
      <c r="J2661" s="28">
        <f>IFERROR(VLOOKUP(TEXT(B2661,"0"),STOCK!A:H,7,0),1)</f>
        <v>1</v>
      </c>
    </row>
    <row r="2662" spans="7:10" ht="35.450000000000003" hidden="1" customHeight="1">
      <c r="G2662" s="113"/>
      <c r="J2662" s="28">
        <f>IFERROR(VLOOKUP(TEXT(B2662,"0"),STOCK!A:H,7,0),1)</f>
        <v>1</v>
      </c>
    </row>
    <row r="2663" spans="7:10" ht="35.450000000000003" hidden="1" customHeight="1">
      <c r="G2663" s="113"/>
      <c r="J2663" s="28">
        <f>IFERROR(VLOOKUP(TEXT(B2663,"0"),STOCK!A:H,7,0),1)</f>
        <v>1</v>
      </c>
    </row>
    <row r="2664" spans="7:10" ht="35.450000000000003" hidden="1" customHeight="1">
      <c r="G2664" s="113"/>
      <c r="J2664" s="28">
        <f>IFERROR(VLOOKUP(TEXT(B2664,"0"),STOCK!A:H,7,0),1)</f>
        <v>1</v>
      </c>
    </row>
    <row r="2665" spans="7:10" ht="35.450000000000003" hidden="1" customHeight="1">
      <c r="G2665" s="113"/>
      <c r="J2665" s="28">
        <f>IFERROR(VLOOKUP(TEXT(B2665,"0"),STOCK!A:H,7,0),1)</f>
        <v>1</v>
      </c>
    </row>
    <row r="2666" spans="7:10" ht="35.450000000000003" hidden="1" customHeight="1">
      <c r="G2666" s="113"/>
      <c r="J2666" s="28">
        <f>IFERROR(VLOOKUP(TEXT(B2666,"0"),STOCK!A:H,7,0),1)</f>
        <v>1</v>
      </c>
    </row>
    <row r="2667" spans="7:10" ht="35.450000000000003" hidden="1" customHeight="1">
      <c r="G2667" s="113"/>
      <c r="J2667" s="28">
        <f>IFERROR(VLOOKUP(TEXT(B2667,"0"),STOCK!A:H,7,0),1)</f>
        <v>1</v>
      </c>
    </row>
    <row r="2668" spans="7:10" ht="35.450000000000003" hidden="1" customHeight="1">
      <c r="G2668" s="113"/>
      <c r="J2668" s="28">
        <f>IFERROR(VLOOKUP(TEXT(B2668,"0"),STOCK!A:H,7,0),1)</f>
        <v>1</v>
      </c>
    </row>
    <row r="2669" spans="7:10" ht="35.450000000000003" hidden="1" customHeight="1">
      <c r="G2669" s="113"/>
      <c r="J2669" s="28">
        <f>IFERROR(VLOOKUP(TEXT(B2669,"0"),STOCK!A:H,7,0),1)</f>
        <v>1</v>
      </c>
    </row>
    <row r="2670" spans="7:10" ht="35.450000000000003" hidden="1" customHeight="1">
      <c r="G2670" s="113"/>
      <c r="J2670" s="28">
        <f>IFERROR(VLOOKUP(TEXT(B2670,"0"),STOCK!A:H,7,0),1)</f>
        <v>1</v>
      </c>
    </row>
    <row r="2671" spans="7:10" ht="35.450000000000003" hidden="1" customHeight="1">
      <c r="G2671" s="113"/>
      <c r="J2671" s="28">
        <f>IFERROR(VLOOKUP(TEXT(B2671,"0"),STOCK!A:H,7,0),1)</f>
        <v>1</v>
      </c>
    </row>
    <row r="2672" spans="7:10" ht="35.450000000000003" hidden="1" customHeight="1">
      <c r="G2672" s="113"/>
      <c r="J2672" s="28">
        <f>IFERROR(VLOOKUP(TEXT(B2672,"0"),STOCK!A:H,7,0),1)</f>
        <v>1</v>
      </c>
    </row>
    <row r="2673" spans="7:10" ht="35.450000000000003" hidden="1" customHeight="1">
      <c r="G2673" s="113"/>
      <c r="J2673" s="28">
        <f>IFERROR(VLOOKUP(TEXT(B2673,"0"),STOCK!A:H,7,0),1)</f>
        <v>1</v>
      </c>
    </row>
    <row r="2674" spans="7:10" ht="35.450000000000003" hidden="1" customHeight="1">
      <c r="G2674" s="113"/>
      <c r="J2674" s="28">
        <f>IFERROR(VLOOKUP(TEXT(B2674,"0"),STOCK!A:H,7,0),1)</f>
        <v>1</v>
      </c>
    </row>
    <row r="2675" spans="7:10" ht="35.450000000000003" hidden="1" customHeight="1">
      <c r="G2675" s="113"/>
      <c r="J2675" s="28">
        <f>IFERROR(VLOOKUP(TEXT(B2675,"0"),STOCK!A:H,7,0),1)</f>
        <v>1</v>
      </c>
    </row>
    <row r="2676" spans="7:10" ht="35.450000000000003" hidden="1" customHeight="1">
      <c r="G2676" s="113"/>
      <c r="J2676" s="28">
        <f>IFERROR(VLOOKUP(TEXT(B2676,"0"),STOCK!A:H,7,0),1)</f>
        <v>1</v>
      </c>
    </row>
    <row r="2677" spans="7:10" ht="35.450000000000003" hidden="1" customHeight="1">
      <c r="G2677" s="113"/>
      <c r="J2677" s="28">
        <f>IFERROR(VLOOKUP(TEXT(B2677,"0"),STOCK!A:H,7,0),1)</f>
        <v>1</v>
      </c>
    </row>
    <row r="2678" spans="7:10" ht="35.450000000000003" hidden="1" customHeight="1">
      <c r="G2678" s="113"/>
      <c r="J2678" s="28">
        <f>IFERROR(VLOOKUP(TEXT(B2678,"0"),STOCK!A:H,7,0),1)</f>
        <v>1</v>
      </c>
    </row>
    <row r="2679" spans="7:10" ht="35.450000000000003" hidden="1" customHeight="1">
      <c r="G2679" s="113"/>
      <c r="J2679" s="28">
        <f>IFERROR(VLOOKUP(TEXT(B2679,"0"),STOCK!A:H,7,0),1)</f>
        <v>1</v>
      </c>
    </row>
    <row r="2680" spans="7:10" ht="35.450000000000003" hidden="1" customHeight="1">
      <c r="G2680" s="113"/>
      <c r="J2680" s="28">
        <f>IFERROR(VLOOKUP(TEXT(B2680,"0"),STOCK!A:H,7,0),1)</f>
        <v>1</v>
      </c>
    </row>
    <row r="2681" spans="7:10" ht="35.450000000000003" hidden="1" customHeight="1">
      <c r="G2681" s="113"/>
      <c r="J2681" s="28">
        <f>IFERROR(VLOOKUP(TEXT(B2681,"0"),STOCK!A:H,7,0),1)</f>
        <v>1</v>
      </c>
    </row>
    <row r="2682" spans="7:10" ht="35.450000000000003" hidden="1" customHeight="1">
      <c r="G2682" s="113"/>
      <c r="J2682" s="28">
        <f>IFERROR(VLOOKUP(TEXT(B2682,"0"),STOCK!A:H,7,0),1)</f>
        <v>1</v>
      </c>
    </row>
    <row r="2683" spans="7:10" ht="35.450000000000003" hidden="1" customHeight="1">
      <c r="G2683" s="113"/>
      <c r="J2683" s="28">
        <f>IFERROR(VLOOKUP(TEXT(B2683,"0"),STOCK!A:H,7,0),1)</f>
        <v>1</v>
      </c>
    </row>
    <row r="2684" spans="7:10" ht="35.450000000000003" hidden="1" customHeight="1">
      <c r="G2684" s="113"/>
      <c r="J2684" s="28">
        <f>IFERROR(VLOOKUP(TEXT(B2684,"0"),STOCK!A:H,7,0),1)</f>
        <v>1</v>
      </c>
    </row>
    <row r="2685" spans="7:10" ht="35.450000000000003" hidden="1" customHeight="1">
      <c r="G2685" s="113"/>
      <c r="J2685" s="28">
        <f>IFERROR(VLOOKUP(TEXT(B2685,"0"),STOCK!A:H,7,0),1)</f>
        <v>1</v>
      </c>
    </row>
    <row r="2686" spans="7:10" ht="35.450000000000003" hidden="1" customHeight="1">
      <c r="G2686" s="113"/>
      <c r="J2686" s="28">
        <f>IFERROR(VLOOKUP(TEXT(B2686,"0"),STOCK!A:H,7,0),1)</f>
        <v>1</v>
      </c>
    </row>
    <row r="2687" spans="7:10" ht="35.450000000000003" hidden="1" customHeight="1">
      <c r="G2687" s="113"/>
      <c r="J2687" s="28">
        <f>IFERROR(VLOOKUP(TEXT(B2687,"0"),STOCK!A:H,7,0),1)</f>
        <v>1</v>
      </c>
    </row>
    <row r="2688" spans="7:10" ht="35.450000000000003" hidden="1" customHeight="1">
      <c r="G2688" s="113"/>
      <c r="J2688" s="28">
        <f>IFERROR(VLOOKUP(TEXT(B2688,"0"),STOCK!A:H,7,0),1)</f>
        <v>1</v>
      </c>
    </row>
    <row r="2689" spans="7:10" ht="35.450000000000003" hidden="1" customHeight="1">
      <c r="G2689" s="113"/>
      <c r="J2689" s="28">
        <f>IFERROR(VLOOKUP(TEXT(B2689,"0"),STOCK!A:H,7,0),1)</f>
        <v>1</v>
      </c>
    </row>
    <row r="2690" spans="7:10" ht="35.450000000000003" hidden="1" customHeight="1">
      <c r="G2690" s="113"/>
      <c r="J2690" s="28">
        <f>IFERROR(VLOOKUP(TEXT(B2690,"0"),STOCK!A:H,7,0),1)</f>
        <v>1</v>
      </c>
    </row>
    <row r="2691" spans="7:10" ht="35.450000000000003" hidden="1" customHeight="1">
      <c r="G2691" s="113"/>
      <c r="J2691" s="28">
        <f>IFERROR(VLOOKUP(TEXT(B2691,"0"),STOCK!A:H,7,0),1)</f>
        <v>1</v>
      </c>
    </row>
    <row r="2692" spans="7:10" ht="35.450000000000003" hidden="1" customHeight="1">
      <c r="G2692" s="113"/>
      <c r="J2692" s="28">
        <f>IFERROR(VLOOKUP(TEXT(B2692,"0"),STOCK!A:H,7,0),1)</f>
        <v>1</v>
      </c>
    </row>
    <row r="2693" spans="7:10" ht="35.450000000000003" hidden="1" customHeight="1">
      <c r="G2693" s="113"/>
      <c r="J2693" s="28">
        <f>IFERROR(VLOOKUP(TEXT(B2693,"0"),STOCK!A:H,7,0),1)</f>
        <v>1</v>
      </c>
    </row>
    <row r="2694" spans="7:10" ht="35.450000000000003" hidden="1" customHeight="1">
      <c r="G2694" s="113"/>
      <c r="J2694" s="28">
        <f>IFERROR(VLOOKUP(TEXT(B2694,"0"),STOCK!A:H,7,0),1)</f>
        <v>1</v>
      </c>
    </row>
    <row r="2695" spans="7:10" ht="35.450000000000003" hidden="1" customHeight="1">
      <c r="G2695" s="113"/>
      <c r="J2695" s="28">
        <f>IFERROR(VLOOKUP(TEXT(B2695,"0"),STOCK!A:H,7,0),1)</f>
        <v>1</v>
      </c>
    </row>
    <row r="2696" spans="7:10" ht="35.450000000000003" hidden="1" customHeight="1">
      <c r="G2696" s="113"/>
      <c r="J2696" s="28">
        <f>IFERROR(VLOOKUP(TEXT(B2696,"0"),STOCK!A:H,7,0),1)</f>
        <v>1</v>
      </c>
    </row>
    <row r="2697" spans="7:10" ht="35.450000000000003" hidden="1" customHeight="1">
      <c r="G2697" s="113"/>
      <c r="J2697" s="28">
        <f>IFERROR(VLOOKUP(TEXT(B2697,"0"),STOCK!A:H,7,0),1)</f>
        <v>1</v>
      </c>
    </row>
    <row r="2698" spans="7:10" ht="35.450000000000003" hidden="1" customHeight="1">
      <c r="G2698" s="113"/>
      <c r="J2698" s="28">
        <f>IFERROR(VLOOKUP(TEXT(B2698,"0"),STOCK!A:H,7,0),1)</f>
        <v>1</v>
      </c>
    </row>
    <row r="2699" spans="7:10" ht="35.450000000000003" hidden="1" customHeight="1">
      <c r="G2699" s="113"/>
      <c r="J2699" s="28">
        <f>IFERROR(VLOOKUP(TEXT(B2699,"0"),STOCK!A:H,7,0),1)</f>
        <v>1</v>
      </c>
    </row>
    <row r="2700" spans="7:10" ht="35.450000000000003" hidden="1" customHeight="1">
      <c r="G2700" s="113"/>
      <c r="J2700" s="28">
        <f>IFERROR(VLOOKUP(TEXT(B2700,"0"),STOCK!A:H,7,0),1)</f>
        <v>1</v>
      </c>
    </row>
    <row r="2701" spans="7:10" ht="35.450000000000003" hidden="1" customHeight="1">
      <c r="G2701" s="113"/>
      <c r="J2701" s="28">
        <f>IFERROR(VLOOKUP(TEXT(B2701,"0"),STOCK!A:H,7,0),1)</f>
        <v>1</v>
      </c>
    </row>
    <row r="2702" spans="7:10" ht="35.450000000000003" hidden="1" customHeight="1">
      <c r="G2702" s="113"/>
      <c r="J2702" s="28">
        <f>IFERROR(VLOOKUP(TEXT(B2702,"0"),STOCK!A:H,7,0),1)</f>
        <v>1</v>
      </c>
    </row>
    <row r="2703" spans="7:10" ht="35.450000000000003" hidden="1" customHeight="1">
      <c r="G2703" s="113"/>
      <c r="J2703" s="28">
        <f>IFERROR(VLOOKUP(TEXT(B2703,"0"),STOCK!A:H,7,0),1)</f>
        <v>1</v>
      </c>
    </row>
    <row r="2704" spans="7:10" ht="35.450000000000003" hidden="1" customHeight="1">
      <c r="G2704" s="113"/>
      <c r="J2704" s="28">
        <f>IFERROR(VLOOKUP(TEXT(B2704,"0"),STOCK!A:H,7,0),1)</f>
        <v>1</v>
      </c>
    </row>
    <row r="2705" spans="7:10" ht="35.450000000000003" hidden="1" customHeight="1">
      <c r="G2705" s="113"/>
      <c r="J2705" s="28">
        <f>IFERROR(VLOOKUP(TEXT(B2705,"0"),STOCK!A:H,7,0),1)</f>
        <v>1</v>
      </c>
    </row>
    <row r="2706" spans="7:10" ht="35.450000000000003" hidden="1" customHeight="1">
      <c r="G2706" s="113"/>
      <c r="J2706" s="28">
        <f>IFERROR(VLOOKUP(TEXT(B2706,"0"),STOCK!A:H,7,0),1)</f>
        <v>1</v>
      </c>
    </row>
    <row r="2707" spans="7:10" ht="35.450000000000003" hidden="1" customHeight="1">
      <c r="G2707" s="113"/>
      <c r="J2707" s="28">
        <f>IFERROR(VLOOKUP(TEXT(B2707,"0"),STOCK!A:H,7,0),1)</f>
        <v>1</v>
      </c>
    </row>
    <row r="2708" spans="7:10" ht="35.450000000000003" hidden="1" customHeight="1">
      <c r="G2708" s="113"/>
      <c r="J2708" s="28">
        <f>IFERROR(VLOOKUP(TEXT(B2708,"0"),STOCK!A:H,7,0),1)</f>
        <v>1</v>
      </c>
    </row>
    <row r="2709" spans="7:10" ht="35.450000000000003" hidden="1" customHeight="1">
      <c r="G2709" s="113"/>
      <c r="J2709" s="28">
        <f>IFERROR(VLOOKUP(TEXT(B2709,"0"),STOCK!A:H,7,0),1)</f>
        <v>1</v>
      </c>
    </row>
    <row r="2710" spans="7:10" ht="35.450000000000003" hidden="1" customHeight="1">
      <c r="G2710" s="113"/>
      <c r="J2710" s="28">
        <f>IFERROR(VLOOKUP(TEXT(B2710,"0"),STOCK!A:H,7,0),1)</f>
        <v>1</v>
      </c>
    </row>
    <row r="2711" spans="7:10" ht="35.450000000000003" hidden="1" customHeight="1">
      <c r="G2711" s="113"/>
      <c r="J2711" s="28">
        <f>IFERROR(VLOOKUP(TEXT(B2711,"0"),STOCK!A:H,7,0),1)</f>
        <v>1</v>
      </c>
    </row>
    <row r="2712" spans="7:10" ht="35.450000000000003" hidden="1" customHeight="1">
      <c r="G2712" s="113"/>
      <c r="J2712" s="28">
        <f>IFERROR(VLOOKUP(TEXT(B2712,"0"),STOCK!A:H,7,0),1)</f>
        <v>1</v>
      </c>
    </row>
    <row r="2713" spans="7:10" ht="35.450000000000003" hidden="1" customHeight="1">
      <c r="G2713" s="113"/>
      <c r="J2713" s="28">
        <f>IFERROR(VLOOKUP(TEXT(B2713,"0"),STOCK!A:H,7,0),1)</f>
        <v>1</v>
      </c>
    </row>
    <row r="2714" spans="7:10" ht="35.450000000000003" hidden="1" customHeight="1">
      <c r="G2714" s="113"/>
      <c r="J2714" s="28">
        <f>IFERROR(VLOOKUP(TEXT(B2714,"0"),STOCK!A:H,7,0),1)</f>
        <v>1</v>
      </c>
    </row>
    <row r="2715" spans="7:10" ht="35.450000000000003" hidden="1" customHeight="1">
      <c r="G2715" s="113"/>
      <c r="J2715" s="28">
        <f>IFERROR(VLOOKUP(TEXT(B2715,"0"),STOCK!A:H,7,0),1)</f>
        <v>1</v>
      </c>
    </row>
    <row r="2716" spans="7:10" ht="35.450000000000003" hidden="1" customHeight="1">
      <c r="G2716" s="113"/>
      <c r="J2716" s="28">
        <f>IFERROR(VLOOKUP(TEXT(B2716,"0"),STOCK!A:H,7,0),1)</f>
        <v>1</v>
      </c>
    </row>
    <row r="2717" spans="7:10" ht="35.450000000000003" hidden="1" customHeight="1">
      <c r="G2717" s="113"/>
      <c r="J2717" s="28">
        <f>IFERROR(VLOOKUP(TEXT(B2717,"0"),STOCK!A:H,7,0),1)</f>
        <v>1</v>
      </c>
    </row>
    <row r="2718" spans="7:10" ht="35.450000000000003" hidden="1" customHeight="1">
      <c r="G2718" s="113"/>
      <c r="J2718" s="28">
        <f>IFERROR(VLOOKUP(TEXT(B2718,"0"),STOCK!A:H,7,0),1)</f>
        <v>1</v>
      </c>
    </row>
    <row r="2719" spans="7:10" ht="35.450000000000003" hidden="1" customHeight="1">
      <c r="G2719" s="113"/>
      <c r="J2719" s="28">
        <f>IFERROR(VLOOKUP(TEXT(B2719,"0"),STOCK!A:H,7,0),1)</f>
        <v>1</v>
      </c>
    </row>
    <row r="2720" spans="7:10" ht="35.450000000000003" hidden="1" customHeight="1">
      <c r="G2720" s="113"/>
      <c r="J2720" s="28">
        <f>IFERROR(VLOOKUP(TEXT(B2720,"0"),STOCK!A:H,7,0),1)</f>
        <v>1</v>
      </c>
    </row>
    <row r="2721" spans="7:10" ht="35.450000000000003" hidden="1" customHeight="1">
      <c r="G2721" s="113"/>
      <c r="J2721" s="28">
        <f>IFERROR(VLOOKUP(TEXT(B2721,"0"),STOCK!A:H,7,0),1)</f>
        <v>1</v>
      </c>
    </row>
    <row r="2722" spans="7:10" ht="35.450000000000003" hidden="1" customHeight="1">
      <c r="G2722" s="113"/>
      <c r="J2722" s="28">
        <f>IFERROR(VLOOKUP(TEXT(B2722,"0"),STOCK!A:H,7,0),1)</f>
        <v>1</v>
      </c>
    </row>
    <row r="2723" spans="7:10" ht="35.450000000000003" hidden="1" customHeight="1">
      <c r="G2723" s="113"/>
      <c r="J2723" s="28">
        <f>IFERROR(VLOOKUP(TEXT(B2723,"0"),STOCK!A:H,7,0),1)</f>
        <v>1</v>
      </c>
    </row>
    <row r="2724" spans="7:10" ht="35.450000000000003" hidden="1" customHeight="1">
      <c r="G2724" s="113"/>
      <c r="J2724" s="28">
        <f>IFERROR(VLOOKUP(TEXT(B2724,"0"),STOCK!A:H,7,0),1)</f>
        <v>1</v>
      </c>
    </row>
    <row r="2725" spans="7:10" ht="35.450000000000003" hidden="1" customHeight="1">
      <c r="G2725" s="113"/>
      <c r="J2725" s="28">
        <f>IFERROR(VLOOKUP(TEXT(B2725,"0"),STOCK!A:H,7,0),1)</f>
        <v>1</v>
      </c>
    </row>
    <row r="2726" spans="7:10" ht="35.450000000000003" hidden="1" customHeight="1">
      <c r="G2726" s="113"/>
      <c r="J2726" s="28">
        <f>IFERROR(VLOOKUP(TEXT(B2726,"0"),STOCK!A:H,7,0),1)</f>
        <v>1</v>
      </c>
    </row>
    <row r="2727" spans="7:10" ht="35.450000000000003" hidden="1" customHeight="1">
      <c r="G2727" s="113"/>
      <c r="J2727" s="28">
        <f>IFERROR(VLOOKUP(TEXT(B2727,"0"),STOCK!A:H,7,0),1)</f>
        <v>1</v>
      </c>
    </row>
    <row r="2728" spans="7:10" ht="35.450000000000003" hidden="1" customHeight="1">
      <c r="G2728" s="113"/>
      <c r="J2728" s="28">
        <f>IFERROR(VLOOKUP(TEXT(B2728,"0"),STOCK!A:H,7,0),1)</f>
        <v>1</v>
      </c>
    </row>
    <row r="2729" spans="7:10" ht="35.450000000000003" hidden="1" customHeight="1">
      <c r="G2729" s="113"/>
      <c r="J2729" s="28">
        <f>IFERROR(VLOOKUP(TEXT(B2729,"0"),STOCK!A:H,7,0),1)</f>
        <v>1</v>
      </c>
    </row>
    <row r="2730" spans="7:10" ht="35.450000000000003" hidden="1" customHeight="1">
      <c r="G2730" s="113"/>
      <c r="J2730" s="28">
        <f>IFERROR(VLOOKUP(TEXT(B2730,"0"),STOCK!A:H,7,0),1)</f>
        <v>1</v>
      </c>
    </row>
    <row r="2731" spans="7:10" ht="35.450000000000003" hidden="1" customHeight="1">
      <c r="G2731" s="113"/>
      <c r="J2731" s="28">
        <f>IFERROR(VLOOKUP(TEXT(B2731,"0"),STOCK!A:H,7,0),1)</f>
        <v>1</v>
      </c>
    </row>
    <row r="2732" spans="7:10" ht="35.450000000000003" hidden="1" customHeight="1">
      <c r="G2732" s="113"/>
      <c r="J2732" s="28">
        <f>IFERROR(VLOOKUP(TEXT(B2732,"0"),STOCK!A:H,7,0),1)</f>
        <v>1</v>
      </c>
    </row>
    <row r="2733" spans="7:10" ht="35.450000000000003" hidden="1" customHeight="1">
      <c r="G2733" s="113"/>
      <c r="J2733" s="28">
        <f>IFERROR(VLOOKUP(TEXT(B2733,"0"),STOCK!A:H,7,0),1)</f>
        <v>1</v>
      </c>
    </row>
    <row r="2734" spans="7:10" ht="35.450000000000003" hidden="1" customHeight="1">
      <c r="G2734" s="113"/>
      <c r="J2734" s="28">
        <f>IFERROR(VLOOKUP(TEXT(B2734,"0"),STOCK!A:H,7,0),1)</f>
        <v>1</v>
      </c>
    </row>
    <row r="2735" spans="7:10" ht="35.450000000000003" hidden="1" customHeight="1">
      <c r="G2735" s="113"/>
      <c r="J2735" s="28">
        <f>IFERROR(VLOOKUP(TEXT(B2735,"0"),STOCK!A:H,7,0),1)</f>
        <v>1</v>
      </c>
    </row>
    <row r="2736" spans="7:10" ht="35.450000000000003" hidden="1" customHeight="1">
      <c r="G2736" s="113"/>
      <c r="J2736" s="28">
        <f>IFERROR(VLOOKUP(TEXT(B2736,"0"),STOCK!A:H,7,0),1)</f>
        <v>1</v>
      </c>
    </row>
    <row r="2737" spans="7:10" ht="35.450000000000003" hidden="1" customHeight="1">
      <c r="G2737" s="113"/>
      <c r="J2737" s="28">
        <f>IFERROR(VLOOKUP(TEXT(B2737,"0"),STOCK!A:H,7,0),1)</f>
        <v>1</v>
      </c>
    </row>
    <row r="2738" spans="7:10" ht="35.450000000000003" hidden="1" customHeight="1">
      <c r="G2738" s="113"/>
      <c r="J2738" s="28">
        <f>IFERROR(VLOOKUP(TEXT(B2738,"0"),STOCK!A:H,7,0),1)</f>
        <v>1</v>
      </c>
    </row>
    <row r="2739" spans="7:10" ht="35.450000000000003" hidden="1" customHeight="1">
      <c r="G2739" s="113"/>
      <c r="J2739" s="28">
        <f>IFERROR(VLOOKUP(TEXT(B2739,"0"),STOCK!A:H,7,0),1)</f>
        <v>1</v>
      </c>
    </row>
    <row r="2740" spans="7:10" ht="35.450000000000003" hidden="1" customHeight="1">
      <c r="G2740" s="113"/>
      <c r="J2740" s="28">
        <f>IFERROR(VLOOKUP(TEXT(B2740,"0"),STOCK!A:H,7,0),1)</f>
        <v>1</v>
      </c>
    </row>
    <row r="2741" spans="7:10" ht="35.450000000000003" hidden="1" customHeight="1">
      <c r="G2741" s="113"/>
      <c r="J2741" s="28">
        <f>IFERROR(VLOOKUP(TEXT(B2741,"0"),STOCK!A:H,7,0),1)</f>
        <v>1</v>
      </c>
    </row>
    <row r="2742" spans="7:10" ht="35.450000000000003" hidden="1" customHeight="1">
      <c r="G2742" s="113"/>
      <c r="J2742" s="28">
        <f>IFERROR(VLOOKUP(TEXT(B2742,"0"),STOCK!A:H,7,0),1)</f>
        <v>1</v>
      </c>
    </row>
    <row r="2743" spans="7:10" ht="35.450000000000003" hidden="1" customHeight="1">
      <c r="G2743" s="113"/>
      <c r="J2743" s="28">
        <f>IFERROR(VLOOKUP(TEXT(B2743,"0"),STOCK!A:H,7,0),1)</f>
        <v>1</v>
      </c>
    </row>
    <row r="2744" spans="7:10" ht="35.450000000000003" hidden="1" customHeight="1">
      <c r="G2744" s="113"/>
      <c r="J2744" s="28">
        <f>IFERROR(VLOOKUP(TEXT(B2744,"0"),STOCK!A:H,7,0),1)</f>
        <v>1</v>
      </c>
    </row>
    <row r="2745" spans="7:10" ht="35.450000000000003" hidden="1" customHeight="1">
      <c r="G2745" s="113"/>
      <c r="J2745" s="28">
        <f>IFERROR(VLOOKUP(TEXT(B2745,"0"),STOCK!A:H,7,0),1)</f>
        <v>1</v>
      </c>
    </row>
    <row r="2746" spans="7:10" ht="35.450000000000003" hidden="1" customHeight="1">
      <c r="G2746" s="113"/>
      <c r="J2746" s="28">
        <f>IFERROR(VLOOKUP(TEXT(B2746,"0"),STOCK!A:H,7,0),1)</f>
        <v>1</v>
      </c>
    </row>
    <row r="2747" spans="7:10" ht="35.450000000000003" hidden="1" customHeight="1">
      <c r="G2747" s="113"/>
      <c r="J2747" s="28">
        <f>IFERROR(VLOOKUP(TEXT(B2747,"0"),STOCK!A:H,7,0),1)</f>
        <v>1</v>
      </c>
    </row>
    <row r="2748" spans="7:10" ht="35.450000000000003" hidden="1" customHeight="1">
      <c r="G2748" s="113"/>
      <c r="J2748" s="28">
        <f>IFERROR(VLOOKUP(TEXT(B2748,"0"),STOCK!A:H,7,0),1)</f>
        <v>1</v>
      </c>
    </row>
    <row r="2749" spans="7:10" ht="35.450000000000003" hidden="1" customHeight="1">
      <c r="G2749" s="113"/>
      <c r="J2749" s="28">
        <f>IFERROR(VLOOKUP(TEXT(B2749,"0"),STOCK!A:H,7,0),1)</f>
        <v>1</v>
      </c>
    </row>
    <row r="2750" spans="7:10" ht="35.450000000000003" hidden="1" customHeight="1">
      <c r="G2750" s="113"/>
      <c r="J2750" s="28">
        <f>IFERROR(VLOOKUP(TEXT(B2750,"0"),STOCK!A:H,7,0),1)</f>
        <v>1</v>
      </c>
    </row>
    <row r="2751" spans="7:10" ht="35.450000000000003" hidden="1" customHeight="1">
      <c r="G2751" s="113"/>
      <c r="J2751" s="28">
        <f>IFERROR(VLOOKUP(TEXT(B2751,"0"),STOCK!A:H,7,0),1)</f>
        <v>1</v>
      </c>
    </row>
    <row r="2752" spans="7:10" ht="35.450000000000003" hidden="1" customHeight="1">
      <c r="G2752" s="113"/>
      <c r="J2752" s="28">
        <f>IFERROR(VLOOKUP(TEXT(B2752,"0"),STOCK!A:H,7,0),1)</f>
        <v>1</v>
      </c>
    </row>
    <row r="2753" spans="7:10" ht="35.450000000000003" hidden="1" customHeight="1">
      <c r="G2753" s="113"/>
      <c r="J2753" s="28">
        <f>IFERROR(VLOOKUP(TEXT(B2753,"0"),STOCK!A:H,7,0),1)</f>
        <v>1</v>
      </c>
    </row>
    <row r="2754" spans="7:10" ht="35.450000000000003" hidden="1" customHeight="1">
      <c r="G2754" s="113"/>
      <c r="J2754" s="28">
        <f>IFERROR(VLOOKUP(TEXT(B2754,"0"),STOCK!A:H,7,0),1)</f>
        <v>1</v>
      </c>
    </row>
    <row r="2755" spans="7:10" ht="35.450000000000003" hidden="1" customHeight="1">
      <c r="G2755" s="113"/>
      <c r="J2755" s="28">
        <f>IFERROR(VLOOKUP(TEXT(B2755,"0"),STOCK!A:H,7,0),1)</f>
        <v>1</v>
      </c>
    </row>
    <row r="2756" spans="7:10" ht="35.450000000000003" hidden="1" customHeight="1">
      <c r="G2756" s="113"/>
      <c r="J2756" s="28">
        <f>IFERROR(VLOOKUP(TEXT(B2756,"0"),STOCK!A:H,7,0),1)</f>
        <v>1</v>
      </c>
    </row>
    <row r="2757" spans="7:10" ht="35.450000000000003" hidden="1" customHeight="1">
      <c r="G2757" s="113"/>
      <c r="J2757" s="28">
        <f>IFERROR(VLOOKUP(TEXT(B2757,"0"),STOCK!A:H,7,0),1)</f>
        <v>1</v>
      </c>
    </row>
    <row r="2758" spans="7:10" ht="35.450000000000003" hidden="1" customHeight="1">
      <c r="G2758" s="113"/>
      <c r="J2758" s="28">
        <f>IFERROR(VLOOKUP(TEXT(B2758,"0"),STOCK!A:H,7,0),1)</f>
        <v>1</v>
      </c>
    </row>
    <row r="2759" spans="7:10" ht="35.450000000000003" hidden="1" customHeight="1">
      <c r="G2759" s="113"/>
      <c r="J2759" s="28">
        <f>IFERROR(VLOOKUP(TEXT(B2759,"0"),STOCK!A:H,7,0),1)</f>
        <v>1</v>
      </c>
    </row>
    <row r="2760" spans="7:10" ht="35.450000000000003" hidden="1" customHeight="1">
      <c r="G2760" s="113"/>
      <c r="J2760" s="28">
        <f>IFERROR(VLOOKUP(TEXT(B2760,"0"),STOCK!A:H,7,0),1)</f>
        <v>1</v>
      </c>
    </row>
    <row r="2761" spans="7:10" ht="35.450000000000003" hidden="1" customHeight="1">
      <c r="G2761" s="113"/>
      <c r="J2761" s="28">
        <f>IFERROR(VLOOKUP(TEXT(B2761,"0"),STOCK!A:H,7,0),1)</f>
        <v>1</v>
      </c>
    </row>
    <row r="2762" spans="7:10" ht="35.450000000000003" hidden="1" customHeight="1">
      <c r="G2762" s="113"/>
      <c r="J2762" s="28">
        <f>IFERROR(VLOOKUP(TEXT(B2762,"0"),STOCK!A:H,7,0),1)</f>
        <v>1</v>
      </c>
    </row>
    <row r="2763" spans="7:10" ht="35.450000000000003" hidden="1" customHeight="1">
      <c r="G2763" s="113"/>
      <c r="J2763" s="28">
        <f>IFERROR(VLOOKUP(TEXT(B2763,"0"),STOCK!A:H,7,0),1)</f>
        <v>1</v>
      </c>
    </row>
    <row r="2764" spans="7:10" ht="35.450000000000003" hidden="1" customHeight="1">
      <c r="G2764" s="113"/>
      <c r="J2764" s="28">
        <f>IFERROR(VLOOKUP(TEXT(B2764,"0"),STOCK!A:H,7,0),1)</f>
        <v>1</v>
      </c>
    </row>
    <row r="2765" spans="7:10" ht="35.450000000000003" hidden="1" customHeight="1">
      <c r="G2765" s="113"/>
      <c r="J2765" s="28">
        <f>IFERROR(VLOOKUP(TEXT(B2765,"0"),STOCK!A:H,7,0),1)</f>
        <v>1</v>
      </c>
    </row>
    <row r="2766" spans="7:10" ht="35.450000000000003" hidden="1" customHeight="1">
      <c r="G2766" s="113"/>
      <c r="J2766" s="28">
        <f>IFERROR(VLOOKUP(TEXT(B2766,"0"),STOCK!A:H,7,0),1)</f>
        <v>1</v>
      </c>
    </row>
    <row r="2767" spans="7:10" ht="35.450000000000003" hidden="1" customHeight="1">
      <c r="G2767" s="113"/>
      <c r="J2767" s="28">
        <f>IFERROR(VLOOKUP(TEXT(B2767,"0"),STOCK!A:H,7,0),1)</f>
        <v>1</v>
      </c>
    </row>
    <row r="2768" spans="7:10" ht="35.450000000000003" hidden="1" customHeight="1">
      <c r="G2768" s="113"/>
      <c r="J2768" s="28">
        <f>IFERROR(VLOOKUP(TEXT(B2768,"0"),STOCK!A:H,7,0),1)</f>
        <v>1</v>
      </c>
    </row>
    <row r="2769" spans="7:10" ht="35.450000000000003" hidden="1" customHeight="1">
      <c r="G2769" s="113"/>
      <c r="J2769" s="28">
        <f>IFERROR(VLOOKUP(TEXT(B2769,"0"),STOCK!A:H,7,0),1)</f>
        <v>1</v>
      </c>
    </row>
    <row r="2770" spans="7:10" ht="35.450000000000003" hidden="1" customHeight="1">
      <c r="G2770" s="113"/>
      <c r="J2770" s="28">
        <f>IFERROR(VLOOKUP(TEXT(B2770,"0"),STOCK!A:H,7,0),1)</f>
        <v>1</v>
      </c>
    </row>
    <row r="2771" spans="7:10" ht="35.450000000000003" hidden="1" customHeight="1">
      <c r="G2771" s="113"/>
      <c r="J2771" s="28">
        <f>IFERROR(VLOOKUP(TEXT(B2771,"0"),STOCK!A:H,7,0),1)</f>
        <v>1</v>
      </c>
    </row>
    <row r="2772" spans="7:10" ht="35.450000000000003" hidden="1" customHeight="1">
      <c r="G2772" s="113"/>
      <c r="J2772" s="28">
        <f>IFERROR(VLOOKUP(TEXT(B2772,"0"),STOCK!A:H,7,0),1)</f>
        <v>1</v>
      </c>
    </row>
    <row r="2773" spans="7:10" ht="35.450000000000003" hidden="1" customHeight="1">
      <c r="G2773" s="113"/>
      <c r="J2773" s="28">
        <f>IFERROR(VLOOKUP(TEXT(B2773,"0"),STOCK!A:H,7,0),1)</f>
        <v>1</v>
      </c>
    </row>
    <row r="2774" spans="7:10" ht="35.450000000000003" hidden="1" customHeight="1">
      <c r="G2774" s="113"/>
      <c r="J2774" s="28">
        <f>IFERROR(VLOOKUP(TEXT(B2774,"0"),STOCK!A:H,7,0),1)</f>
        <v>1</v>
      </c>
    </row>
    <row r="2775" spans="7:10" ht="35.450000000000003" hidden="1" customHeight="1">
      <c r="G2775" s="113"/>
      <c r="J2775" s="28">
        <f>IFERROR(VLOOKUP(TEXT(B2775,"0"),STOCK!A:H,7,0),1)</f>
        <v>1</v>
      </c>
    </row>
    <row r="2776" spans="7:10" ht="35.450000000000003" hidden="1" customHeight="1">
      <c r="G2776" s="113"/>
      <c r="J2776" s="28">
        <f>IFERROR(VLOOKUP(TEXT(B2776,"0"),STOCK!A:H,7,0),1)</f>
        <v>1</v>
      </c>
    </row>
    <row r="2777" spans="7:10" ht="35.450000000000003" hidden="1" customHeight="1">
      <c r="G2777" s="113"/>
      <c r="J2777" s="28">
        <f>IFERROR(VLOOKUP(TEXT(B2777,"0"),STOCK!A:H,7,0),1)</f>
        <v>1</v>
      </c>
    </row>
    <row r="2778" spans="7:10" ht="35.450000000000003" hidden="1" customHeight="1">
      <c r="G2778" s="113"/>
      <c r="J2778" s="28">
        <f>IFERROR(VLOOKUP(TEXT(B2778,"0"),STOCK!A:H,7,0),1)</f>
        <v>1</v>
      </c>
    </row>
    <row r="2779" spans="7:10" ht="35.450000000000003" hidden="1" customHeight="1">
      <c r="G2779" s="113"/>
      <c r="J2779" s="28">
        <f>IFERROR(VLOOKUP(TEXT(B2779,"0"),STOCK!A:H,7,0),1)</f>
        <v>1</v>
      </c>
    </row>
    <row r="2780" spans="7:10" ht="35.450000000000003" hidden="1" customHeight="1">
      <c r="G2780" s="113"/>
      <c r="J2780" s="28">
        <f>IFERROR(VLOOKUP(TEXT(B2780,"0"),STOCK!A:H,7,0),1)</f>
        <v>1</v>
      </c>
    </row>
    <row r="2781" spans="7:10" ht="35.450000000000003" hidden="1" customHeight="1">
      <c r="G2781" s="113"/>
      <c r="J2781" s="28">
        <f>IFERROR(VLOOKUP(TEXT(B2781,"0"),STOCK!A:H,7,0),1)</f>
        <v>1</v>
      </c>
    </row>
    <row r="2782" spans="7:10" ht="35.450000000000003" hidden="1" customHeight="1">
      <c r="G2782" s="113"/>
      <c r="J2782" s="28">
        <f>IFERROR(VLOOKUP(TEXT(B2782,"0"),STOCK!A:H,7,0),1)</f>
        <v>1</v>
      </c>
    </row>
    <row r="2783" spans="7:10" ht="35.450000000000003" hidden="1" customHeight="1">
      <c r="G2783" s="113"/>
      <c r="J2783" s="28">
        <f>IFERROR(VLOOKUP(TEXT(B2783,"0"),STOCK!A:H,7,0),1)</f>
        <v>1</v>
      </c>
    </row>
    <row r="2784" spans="7:10" ht="35.450000000000003" hidden="1" customHeight="1">
      <c r="G2784" s="113"/>
      <c r="J2784" s="28">
        <f>IFERROR(VLOOKUP(TEXT(B2784,"0"),STOCK!A:H,7,0),1)</f>
        <v>1</v>
      </c>
    </row>
    <row r="2785" spans="7:10" ht="35.450000000000003" hidden="1" customHeight="1">
      <c r="G2785" s="113"/>
      <c r="J2785" s="28">
        <f>IFERROR(VLOOKUP(TEXT(B2785,"0"),STOCK!A:H,7,0),1)</f>
        <v>1</v>
      </c>
    </row>
    <row r="2786" spans="7:10" ht="35.450000000000003" hidden="1" customHeight="1">
      <c r="G2786" s="113"/>
      <c r="J2786" s="28">
        <f>IFERROR(VLOOKUP(TEXT(B2786,"0"),STOCK!A:H,7,0),1)</f>
        <v>1</v>
      </c>
    </row>
    <row r="2787" spans="7:10" ht="35.450000000000003" hidden="1" customHeight="1">
      <c r="G2787" s="113"/>
      <c r="J2787" s="28">
        <f>IFERROR(VLOOKUP(TEXT(B2787,"0"),STOCK!A:H,7,0),1)</f>
        <v>1</v>
      </c>
    </row>
    <row r="2788" spans="7:10" ht="35.450000000000003" hidden="1" customHeight="1">
      <c r="G2788" s="113"/>
      <c r="J2788" s="28">
        <f>IFERROR(VLOOKUP(TEXT(B2788,"0"),STOCK!A:H,7,0),1)</f>
        <v>1</v>
      </c>
    </row>
    <row r="2789" spans="7:10" ht="35.450000000000003" hidden="1" customHeight="1">
      <c r="G2789" s="113"/>
      <c r="J2789" s="28">
        <f>IFERROR(VLOOKUP(TEXT(B2789,"0"),STOCK!A:H,7,0),1)</f>
        <v>1</v>
      </c>
    </row>
    <row r="2790" spans="7:10" ht="35.450000000000003" hidden="1" customHeight="1">
      <c r="G2790" s="113"/>
      <c r="J2790" s="28">
        <f>IFERROR(VLOOKUP(TEXT(B2790,"0"),STOCK!A:H,7,0),1)</f>
        <v>1</v>
      </c>
    </row>
    <row r="2791" spans="7:10" ht="35.450000000000003" hidden="1" customHeight="1">
      <c r="G2791" s="113"/>
      <c r="J2791" s="28">
        <f>IFERROR(VLOOKUP(TEXT(B2791,"0"),STOCK!A:H,7,0),1)</f>
        <v>1</v>
      </c>
    </row>
    <row r="2792" spans="7:10" ht="35.450000000000003" hidden="1" customHeight="1">
      <c r="G2792" s="113"/>
      <c r="J2792" s="28">
        <f>IFERROR(VLOOKUP(TEXT(B2792,"0"),STOCK!A:H,7,0),1)</f>
        <v>1</v>
      </c>
    </row>
    <row r="2793" spans="7:10" ht="35.450000000000003" hidden="1" customHeight="1">
      <c r="G2793" s="113"/>
      <c r="J2793" s="28">
        <f>IFERROR(VLOOKUP(TEXT(B2793,"0"),STOCK!A:H,7,0),1)</f>
        <v>1</v>
      </c>
    </row>
    <row r="2794" spans="7:10" ht="35.450000000000003" hidden="1" customHeight="1">
      <c r="G2794" s="113"/>
      <c r="J2794" s="28">
        <f>IFERROR(VLOOKUP(TEXT(B2794,"0"),STOCK!A:H,7,0),1)</f>
        <v>1</v>
      </c>
    </row>
    <row r="2795" spans="7:10" ht="35.450000000000003" hidden="1" customHeight="1">
      <c r="G2795" s="113"/>
      <c r="J2795" s="28">
        <f>IFERROR(VLOOKUP(TEXT(B2795,"0"),STOCK!A:H,7,0),1)</f>
        <v>1</v>
      </c>
    </row>
    <row r="2796" spans="7:10" ht="35.450000000000003" hidden="1" customHeight="1">
      <c r="G2796" s="113"/>
      <c r="J2796" s="28">
        <f>IFERROR(VLOOKUP(TEXT(B2796,"0"),STOCK!A:H,7,0),1)</f>
        <v>1</v>
      </c>
    </row>
    <row r="2797" spans="7:10" ht="35.450000000000003" hidden="1" customHeight="1">
      <c r="G2797" s="113"/>
      <c r="J2797" s="28">
        <f>IFERROR(VLOOKUP(TEXT(B2797,"0"),STOCK!A:H,7,0),1)</f>
        <v>1</v>
      </c>
    </row>
    <row r="2798" spans="7:10" ht="35.450000000000003" hidden="1" customHeight="1">
      <c r="G2798" s="113"/>
      <c r="J2798" s="28">
        <f>IFERROR(VLOOKUP(TEXT(B2798,"0"),STOCK!A:H,7,0),1)</f>
        <v>1</v>
      </c>
    </row>
    <row r="2799" spans="7:10" ht="35.450000000000003" hidden="1" customHeight="1">
      <c r="G2799" s="113"/>
      <c r="J2799" s="28">
        <f>IFERROR(VLOOKUP(TEXT(B2799,"0"),STOCK!A:H,7,0),1)</f>
        <v>1</v>
      </c>
    </row>
    <row r="2800" spans="7:10" ht="35.450000000000003" hidden="1" customHeight="1">
      <c r="G2800" s="113"/>
      <c r="J2800" s="28">
        <f>IFERROR(VLOOKUP(TEXT(B2800,"0"),STOCK!A:H,7,0),1)</f>
        <v>1</v>
      </c>
    </row>
    <row r="2801" spans="7:10" ht="35.450000000000003" hidden="1" customHeight="1">
      <c r="G2801" s="113"/>
      <c r="J2801" s="28">
        <f>IFERROR(VLOOKUP(TEXT(B2801,"0"),STOCK!A:H,7,0),1)</f>
        <v>1</v>
      </c>
    </row>
    <row r="2802" spans="7:10" ht="35.450000000000003" hidden="1" customHeight="1">
      <c r="G2802" s="113"/>
      <c r="J2802" s="28">
        <f>IFERROR(VLOOKUP(TEXT(B2802,"0"),STOCK!A:H,7,0),1)</f>
        <v>1</v>
      </c>
    </row>
    <row r="2803" spans="7:10" ht="35.450000000000003" hidden="1" customHeight="1">
      <c r="G2803" s="113"/>
      <c r="J2803" s="28">
        <f>IFERROR(VLOOKUP(TEXT(B2803,"0"),STOCK!A:H,7,0),1)</f>
        <v>1</v>
      </c>
    </row>
    <row r="2804" spans="7:10" ht="35.450000000000003" hidden="1" customHeight="1">
      <c r="G2804" s="113"/>
      <c r="J2804" s="28">
        <f>IFERROR(VLOOKUP(TEXT(B2804,"0"),STOCK!A:H,7,0),1)</f>
        <v>1</v>
      </c>
    </row>
    <row r="2805" spans="7:10" ht="35.450000000000003" hidden="1" customHeight="1">
      <c r="G2805" s="113"/>
      <c r="J2805" s="28">
        <f>IFERROR(VLOOKUP(TEXT(B2805,"0"),STOCK!A:H,7,0),1)</f>
        <v>1</v>
      </c>
    </row>
    <row r="2806" spans="7:10" ht="35.450000000000003" hidden="1" customHeight="1">
      <c r="G2806" s="113"/>
      <c r="J2806" s="28">
        <f>IFERROR(VLOOKUP(TEXT(B2806,"0"),STOCK!A:H,7,0),1)</f>
        <v>1</v>
      </c>
    </row>
    <row r="2807" spans="7:10" ht="35.450000000000003" hidden="1" customHeight="1">
      <c r="G2807" s="113"/>
      <c r="J2807" s="28">
        <f>IFERROR(VLOOKUP(TEXT(B2807,"0"),STOCK!A:H,7,0),1)</f>
        <v>1</v>
      </c>
    </row>
    <row r="2808" spans="7:10" ht="35.450000000000003" hidden="1" customHeight="1">
      <c r="G2808" s="113"/>
      <c r="J2808" s="28">
        <f>IFERROR(VLOOKUP(TEXT(B2808,"0"),STOCK!A:H,7,0),1)</f>
        <v>1</v>
      </c>
    </row>
    <row r="2809" spans="7:10" ht="35.450000000000003" hidden="1" customHeight="1">
      <c r="G2809" s="113"/>
      <c r="J2809" s="28">
        <f>IFERROR(VLOOKUP(TEXT(B2809,"0"),STOCK!A:H,7,0),1)</f>
        <v>1</v>
      </c>
    </row>
    <row r="2810" spans="7:10" ht="35.450000000000003" hidden="1" customHeight="1">
      <c r="G2810" s="113"/>
      <c r="J2810" s="28">
        <f>IFERROR(VLOOKUP(TEXT(B2810,"0"),STOCK!A:H,7,0),1)</f>
        <v>1</v>
      </c>
    </row>
    <row r="2811" spans="7:10" ht="35.450000000000003" hidden="1" customHeight="1">
      <c r="G2811" s="113"/>
      <c r="J2811" s="28">
        <f>IFERROR(VLOOKUP(TEXT(B2811,"0"),STOCK!A:H,7,0),1)</f>
        <v>1</v>
      </c>
    </row>
    <row r="2812" spans="7:10" ht="35.450000000000003" hidden="1" customHeight="1">
      <c r="G2812" s="113"/>
      <c r="J2812" s="28">
        <f>IFERROR(VLOOKUP(TEXT(B2812,"0"),STOCK!A:H,7,0),1)</f>
        <v>1</v>
      </c>
    </row>
    <row r="2813" spans="7:10" ht="35.450000000000003" hidden="1" customHeight="1">
      <c r="G2813" s="113"/>
      <c r="J2813" s="28">
        <f>IFERROR(VLOOKUP(TEXT(B2813,"0"),STOCK!A:H,7,0),1)</f>
        <v>1</v>
      </c>
    </row>
    <row r="2814" spans="7:10" ht="35.450000000000003" hidden="1" customHeight="1">
      <c r="G2814" s="113"/>
      <c r="J2814" s="28">
        <f>IFERROR(VLOOKUP(TEXT(B2814,"0"),STOCK!A:H,7,0),1)</f>
        <v>1</v>
      </c>
    </row>
    <row r="2815" spans="7:10" ht="35.450000000000003" hidden="1" customHeight="1">
      <c r="G2815" s="113"/>
      <c r="J2815" s="28">
        <f>IFERROR(VLOOKUP(TEXT(B2815,"0"),STOCK!A:H,7,0),1)</f>
        <v>1</v>
      </c>
    </row>
    <row r="2816" spans="7:10" ht="35.450000000000003" hidden="1" customHeight="1">
      <c r="G2816" s="113"/>
      <c r="J2816" s="28">
        <f>IFERROR(VLOOKUP(TEXT(B2816,"0"),STOCK!A:H,7,0),1)</f>
        <v>1</v>
      </c>
    </row>
    <row r="2817" spans="7:10" ht="35.450000000000003" hidden="1" customHeight="1">
      <c r="G2817" s="113"/>
      <c r="J2817" s="28">
        <f>IFERROR(VLOOKUP(TEXT(B2817,"0"),STOCK!A:H,7,0),1)</f>
        <v>1</v>
      </c>
    </row>
    <row r="2818" spans="7:10" ht="35.450000000000003" hidden="1" customHeight="1">
      <c r="G2818" s="113"/>
      <c r="J2818" s="28">
        <f>IFERROR(VLOOKUP(TEXT(B2818,"0"),STOCK!A:H,7,0),1)</f>
        <v>1</v>
      </c>
    </row>
    <row r="2819" spans="7:10" ht="35.450000000000003" hidden="1" customHeight="1">
      <c r="G2819" s="113"/>
      <c r="J2819" s="28">
        <f>IFERROR(VLOOKUP(TEXT(B2819,"0"),STOCK!A:H,7,0),1)</f>
        <v>1</v>
      </c>
    </row>
    <row r="2820" spans="7:10" ht="35.450000000000003" hidden="1" customHeight="1">
      <c r="G2820" s="113"/>
      <c r="J2820" s="28">
        <f>IFERROR(VLOOKUP(TEXT(B2820,"0"),STOCK!A:H,7,0),1)</f>
        <v>1</v>
      </c>
    </row>
    <row r="2821" spans="7:10" ht="35.450000000000003" hidden="1" customHeight="1">
      <c r="G2821" s="113"/>
      <c r="J2821" s="28">
        <f>IFERROR(VLOOKUP(TEXT(B2821,"0"),STOCK!A:H,7,0),1)</f>
        <v>1</v>
      </c>
    </row>
    <row r="2822" spans="7:10" ht="35.450000000000003" hidden="1" customHeight="1">
      <c r="G2822" s="113"/>
      <c r="J2822" s="28">
        <f>IFERROR(VLOOKUP(TEXT(B2822,"0"),STOCK!A:H,7,0),1)</f>
        <v>1</v>
      </c>
    </row>
    <row r="2823" spans="7:10" ht="35.450000000000003" hidden="1" customHeight="1">
      <c r="G2823" s="113"/>
      <c r="J2823" s="28">
        <f>IFERROR(VLOOKUP(TEXT(B2823,"0"),STOCK!A:H,7,0),1)</f>
        <v>1</v>
      </c>
    </row>
    <row r="2824" spans="7:10" ht="35.450000000000003" hidden="1" customHeight="1">
      <c r="G2824" s="113"/>
      <c r="J2824" s="28">
        <f>IFERROR(VLOOKUP(TEXT(B2824,"0"),STOCK!A:H,7,0),1)</f>
        <v>1</v>
      </c>
    </row>
    <row r="2825" spans="7:10" ht="35.450000000000003" hidden="1" customHeight="1">
      <c r="G2825" s="113"/>
      <c r="J2825" s="28">
        <f>IFERROR(VLOOKUP(TEXT(B2825,"0"),STOCK!A:H,7,0),1)</f>
        <v>1</v>
      </c>
    </row>
    <row r="2826" spans="7:10" ht="35.450000000000003" hidden="1" customHeight="1">
      <c r="G2826" s="113"/>
      <c r="J2826" s="28">
        <f>IFERROR(VLOOKUP(TEXT(B2826,"0"),STOCK!A:H,7,0),1)</f>
        <v>1</v>
      </c>
    </row>
    <row r="2827" spans="7:10" ht="35.450000000000003" hidden="1" customHeight="1">
      <c r="G2827" s="113"/>
      <c r="J2827" s="28">
        <f>IFERROR(VLOOKUP(TEXT(B2827,"0"),STOCK!A:H,7,0),1)</f>
        <v>1</v>
      </c>
    </row>
    <row r="2828" spans="7:10" ht="35.450000000000003" hidden="1" customHeight="1">
      <c r="G2828" s="113"/>
      <c r="J2828" s="28">
        <f>IFERROR(VLOOKUP(TEXT(B2828,"0"),STOCK!A:H,7,0),1)</f>
        <v>1</v>
      </c>
    </row>
    <row r="2829" spans="7:10" ht="35.450000000000003" hidden="1" customHeight="1">
      <c r="G2829" s="113"/>
      <c r="J2829" s="28">
        <f>IFERROR(VLOOKUP(TEXT(B2829,"0"),STOCK!A:H,7,0),1)</f>
        <v>1</v>
      </c>
    </row>
    <row r="2830" spans="7:10" ht="35.450000000000003" hidden="1" customHeight="1">
      <c r="G2830" s="113"/>
      <c r="J2830" s="28">
        <f>IFERROR(VLOOKUP(TEXT(B2830,"0"),STOCK!A:H,7,0),1)</f>
        <v>1</v>
      </c>
    </row>
    <row r="2831" spans="7:10" ht="35.450000000000003" hidden="1" customHeight="1">
      <c r="G2831" s="113"/>
      <c r="J2831" s="28">
        <f>IFERROR(VLOOKUP(TEXT(B2831,"0"),STOCK!A:H,7,0),1)</f>
        <v>1</v>
      </c>
    </row>
    <row r="2832" spans="7:10" ht="35.450000000000003" hidden="1" customHeight="1">
      <c r="G2832" s="113"/>
      <c r="J2832" s="28">
        <f>IFERROR(VLOOKUP(TEXT(B2832,"0"),STOCK!A:H,7,0),1)</f>
        <v>1</v>
      </c>
    </row>
    <row r="2833" spans="7:10" ht="35.450000000000003" hidden="1" customHeight="1">
      <c r="G2833" s="113"/>
      <c r="J2833" s="28">
        <f>IFERROR(VLOOKUP(TEXT(B2833,"0"),STOCK!A:H,7,0),1)</f>
        <v>1</v>
      </c>
    </row>
    <row r="2834" spans="7:10" ht="35.450000000000003" hidden="1" customHeight="1">
      <c r="G2834" s="113"/>
      <c r="J2834" s="28">
        <f>IFERROR(VLOOKUP(TEXT(B2834,"0"),STOCK!A:H,7,0),1)</f>
        <v>1</v>
      </c>
    </row>
    <row r="2835" spans="7:10" ht="35.450000000000003" hidden="1" customHeight="1">
      <c r="G2835" s="113"/>
      <c r="J2835" s="28">
        <f>IFERROR(VLOOKUP(TEXT(B2835,"0"),STOCK!A:H,7,0),1)</f>
        <v>1</v>
      </c>
    </row>
    <row r="2836" spans="7:10" ht="35.450000000000003" hidden="1" customHeight="1">
      <c r="G2836" s="113"/>
      <c r="J2836" s="28">
        <f>IFERROR(VLOOKUP(TEXT(B2836,"0"),STOCK!A:H,7,0),1)</f>
        <v>1</v>
      </c>
    </row>
    <row r="2837" spans="7:10" ht="35.450000000000003" hidden="1" customHeight="1">
      <c r="G2837" s="113"/>
      <c r="J2837" s="28">
        <f>IFERROR(VLOOKUP(TEXT(B2837,"0"),STOCK!A:H,7,0),1)</f>
        <v>1</v>
      </c>
    </row>
    <row r="2838" spans="7:10" ht="35.450000000000003" hidden="1" customHeight="1">
      <c r="G2838" s="113"/>
      <c r="J2838" s="28">
        <f>IFERROR(VLOOKUP(TEXT(B2838,"0"),STOCK!A:H,7,0),1)</f>
        <v>1</v>
      </c>
    </row>
    <row r="2839" spans="7:10" ht="35.450000000000003" hidden="1" customHeight="1">
      <c r="G2839" s="113"/>
      <c r="J2839" s="28">
        <f>IFERROR(VLOOKUP(TEXT(B2839,"0"),STOCK!A:H,7,0),1)</f>
        <v>1</v>
      </c>
    </row>
    <row r="2840" spans="7:10" ht="35.450000000000003" hidden="1" customHeight="1">
      <c r="G2840" s="113"/>
      <c r="J2840" s="28">
        <f>IFERROR(VLOOKUP(TEXT(B2840,"0"),STOCK!A:H,7,0),1)</f>
        <v>1</v>
      </c>
    </row>
    <row r="2841" spans="7:10" ht="35.450000000000003" hidden="1" customHeight="1">
      <c r="G2841" s="113"/>
      <c r="J2841" s="28">
        <f>IFERROR(VLOOKUP(TEXT(B2841,"0"),STOCK!A:H,7,0),1)</f>
        <v>1</v>
      </c>
    </row>
    <row r="2842" spans="7:10" ht="35.450000000000003" hidden="1" customHeight="1">
      <c r="G2842" s="113"/>
      <c r="J2842" s="28">
        <f>IFERROR(VLOOKUP(TEXT(B2842,"0"),STOCK!A:H,7,0),1)</f>
        <v>1</v>
      </c>
    </row>
    <row r="2843" spans="7:10" ht="35.450000000000003" hidden="1" customHeight="1">
      <c r="G2843" s="113"/>
      <c r="J2843" s="28">
        <f>IFERROR(VLOOKUP(TEXT(B2843,"0"),STOCK!A:H,7,0),1)</f>
        <v>1</v>
      </c>
    </row>
    <row r="2844" spans="7:10" ht="35.450000000000003" hidden="1" customHeight="1">
      <c r="G2844" s="113"/>
      <c r="J2844" s="28">
        <f>IFERROR(VLOOKUP(TEXT(B2844,"0"),STOCK!A:H,7,0),1)</f>
        <v>1</v>
      </c>
    </row>
    <row r="2845" spans="7:10" ht="35.450000000000003" hidden="1" customHeight="1">
      <c r="G2845" s="113"/>
      <c r="J2845" s="28">
        <f>IFERROR(VLOOKUP(TEXT(B2845,"0"),STOCK!A:H,7,0),1)</f>
        <v>1</v>
      </c>
    </row>
    <row r="2846" spans="7:10" ht="35.450000000000003" hidden="1" customHeight="1">
      <c r="G2846" s="113"/>
      <c r="J2846" s="28">
        <f>IFERROR(VLOOKUP(TEXT(B2846,"0"),STOCK!A:H,7,0),1)</f>
        <v>1</v>
      </c>
    </row>
    <row r="2847" spans="7:10" ht="35.450000000000003" hidden="1" customHeight="1">
      <c r="G2847" s="113"/>
      <c r="J2847" s="28">
        <f>IFERROR(VLOOKUP(TEXT(B2847,"0"),STOCK!A:H,7,0),1)</f>
        <v>1</v>
      </c>
    </row>
    <row r="2848" spans="7:10" ht="35.450000000000003" hidden="1" customHeight="1">
      <c r="G2848" s="113"/>
      <c r="J2848" s="28">
        <f>IFERROR(VLOOKUP(TEXT(B2848,"0"),STOCK!A:H,7,0),1)</f>
        <v>1</v>
      </c>
    </row>
    <row r="2849" spans="7:10" ht="35.450000000000003" hidden="1" customHeight="1">
      <c r="G2849" s="113"/>
      <c r="J2849" s="28">
        <f>IFERROR(VLOOKUP(TEXT(B2849,"0"),STOCK!A:H,7,0),1)</f>
        <v>1</v>
      </c>
    </row>
    <row r="2850" spans="7:10" ht="35.450000000000003" hidden="1" customHeight="1">
      <c r="G2850" s="113"/>
      <c r="J2850" s="28">
        <f>IFERROR(VLOOKUP(TEXT(B2850,"0"),STOCK!A:H,7,0),1)</f>
        <v>1</v>
      </c>
    </row>
    <row r="2851" spans="7:10" ht="35.450000000000003" hidden="1" customHeight="1">
      <c r="G2851" s="113"/>
      <c r="J2851" s="28">
        <f>IFERROR(VLOOKUP(TEXT(B2851,"0"),STOCK!A:H,7,0),1)</f>
        <v>1</v>
      </c>
    </row>
    <row r="2852" spans="7:10" ht="35.450000000000003" hidden="1" customHeight="1">
      <c r="G2852" s="113"/>
      <c r="J2852" s="28">
        <f>IFERROR(VLOOKUP(TEXT(B2852,"0"),STOCK!A:H,7,0),1)</f>
        <v>1</v>
      </c>
    </row>
    <row r="2853" spans="7:10" ht="35.450000000000003" hidden="1" customHeight="1">
      <c r="G2853" s="113"/>
      <c r="J2853" s="28">
        <f>IFERROR(VLOOKUP(TEXT(B2853,"0"),STOCK!A:H,7,0),1)</f>
        <v>1</v>
      </c>
    </row>
    <row r="2854" spans="7:10" ht="35.450000000000003" hidden="1" customHeight="1">
      <c r="G2854" s="113"/>
      <c r="J2854" s="28">
        <f>IFERROR(VLOOKUP(TEXT(B2854,"0"),STOCK!A:H,7,0),1)</f>
        <v>1</v>
      </c>
    </row>
    <row r="2855" spans="7:10" ht="35.450000000000003" hidden="1" customHeight="1">
      <c r="G2855" s="113"/>
      <c r="J2855" s="28">
        <f>IFERROR(VLOOKUP(TEXT(B2855,"0"),STOCK!A:H,7,0),1)</f>
        <v>1</v>
      </c>
    </row>
    <row r="2856" spans="7:10" ht="35.450000000000003" hidden="1" customHeight="1">
      <c r="G2856" s="113"/>
      <c r="J2856" s="28">
        <f>IFERROR(VLOOKUP(TEXT(B2856,"0"),STOCK!A:H,7,0),1)</f>
        <v>1</v>
      </c>
    </row>
    <row r="2857" spans="7:10" ht="35.450000000000003" hidden="1" customHeight="1">
      <c r="G2857" s="113"/>
      <c r="J2857" s="28">
        <f>IFERROR(VLOOKUP(TEXT(B2857,"0"),STOCK!A:H,7,0),1)</f>
        <v>1</v>
      </c>
    </row>
    <row r="2858" spans="7:10" ht="35.450000000000003" hidden="1" customHeight="1">
      <c r="G2858" s="113"/>
      <c r="J2858" s="28">
        <f>IFERROR(VLOOKUP(TEXT(B2858,"0"),STOCK!A:H,7,0),1)</f>
        <v>1</v>
      </c>
    </row>
    <row r="2859" spans="7:10" ht="35.450000000000003" hidden="1" customHeight="1">
      <c r="G2859" s="113"/>
      <c r="J2859" s="28">
        <f>IFERROR(VLOOKUP(TEXT(B2859,"0"),STOCK!A:H,7,0),1)</f>
        <v>1</v>
      </c>
    </row>
    <row r="2860" spans="7:10" ht="35.450000000000003" hidden="1" customHeight="1">
      <c r="G2860" s="113"/>
      <c r="J2860" s="28">
        <f>IFERROR(VLOOKUP(TEXT(B2860,"0"),STOCK!A:H,7,0),1)</f>
        <v>1</v>
      </c>
    </row>
    <row r="2861" spans="7:10" ht="35.450000000000003" hidden="1" customHeight="1">
      <c r="G2861" s="113"/>
      <c r="J2861" s="28">
        <f>IFERROR(VLOOKUP(TEXT(B2861,"0"),STOCK!A:H,7,0),1)</f>
        <v>1</v>
      </c>
    </row>
    <row r="2862" spans="7:10" ht="35.450000000000003" hidden="1" customHeight="1">
      <c r="G2862" s="113"/>
      <c r="J2862" s="28">
        <f>IFERROR(VLOOKUP(TEXT(B2862,"0"),STOCK!A:H,7,0),1)</f>
        <v>1</v>
      </c>
    </row>
    <row r="2863" spans="7:10" ht="35.450000000000003" hidden="1" customHeight="1">
      <c r="G2863" s="113"/>
      <c r="J2863" s="28">
        <f>IFERROR(VLOOKUP(TEXT(B2863,"0"),STOCK!A:H,7,0),1)</f>
        <v>1</v>
      </c>
    </row>
    <row r="2864" spans="7:10" ht="35.450000000000003" hidden="1" customHeight="1">
      <c r="G2864" s="113"/>
      <c r="J2864" s="28">
        <f>IFERROR(VLOOKUP(TEXT(B2864,"0"),STOCK!A:H,7,0),1)</f>
        <v>1</v>
      </c>
    </row>
    <row r="2865" spans="7:10" ht="35.450000000000003" hidden="1" customHeight="1">
      <c r="G2865" s="113"/>
      <c r="J2865" s="28">
        <f>IFERROR(VLOOKUP(TEXT(B2865,"0"),STOCK!A:H,7,0),1)</f>
        <v>1</v>
      </c>
    </row>
    <row r="2866" spans="7:10" ht="35.450000000000003" hidden="1" customHeight="1">
      <c r="G2866" s="113"/>
      <c r="J2866" s="28">
        <f>IFERROR(VLOOKUP(TEXT(B2866,"0"),STOCK!A:H,7,0),1)</f>
        <v>1</v>
      </c>
    </row>
    <row r="2867" spans="7:10" ht="35.450000000000003" hidden="1" customHeight="1">
      <c r="G2867" s="113"/>
      <c r="J2867" s="28">
        <f>IFERROR(VLOOKUP(TEXT(B2867,"0"),STOCK!A:H,7,0),1)</f>
        <v>1</v>
      </c>
    </row>
    <row r="2868" spans="7:10" ht="35.450000000000003" hidden="1" customHeight="1">
      <c r="G2868" s="113"/>
      <c r="J2868" s="28">
        <f>IFERROR(VLOOKUP(TEXT(B2868,"0"),STOCK!A:H,7,0),1)</f>
        <v>1</v>
      </c>
    </row>
    <row r="2869" spans="7:10" ht="35.450000000000003" hidden="1" customHeight="1">
      <c r="G2869" s="113"/>
      <c r="J2869" s="28">
        <f>IFERROR(VLOOKUP(TEXT(B2869,"0"),STOCK!A:H,7,0),1)</f>
        <v>1</v>
      </c>
    </row>
    <row r="2870" spans="7:10" ht="35.450000000000003" hidden="1" customHeight="1">
      <c r="G2870" s="113"/>
      <c r="J2870" s="28">
        <f>IFERROR(VLOOKUP(TEXT(B2870,"0"),STOCK!A:H,7,0),1)</f>
        <v>1</v>
      </c>
    </row>
    <row r="2871" spans="7:10" ht="35.450000000000003" hidden="1" customHeight="1">
      <c r="G2871" s="113"/>
      <c r="J2871" s="28">
        <f>IFERROR(VLOOKUP(TEXT(B2871,"0"),STOCK!A:H,7,0),1)</f>
        <v>1</v>
      </c>
    </row>
    <row r="2872" spans="7:10" ht="35.450000000000003" hidden="1" customHeight="1">
      <c r="G2872" s="113"/>
      <c r="J2872" s="28">
        <f>IFERROR(VLOOKUP(TEXT(B2872,"0"),STOCK!A:H,7,0),1)</f>
        <v>1</v>
      </c>
    </row>
    <row r="2873" spans="7:10" ht="35.450000000000003" hidden="1" customHeight="1">
      <c r="G2873" s="113"/>
      <c r="J2873" s="28">
        <f>IFERROR(VLOOKUP(TEXT(B2873,"0"),STOCK!A:H,7,0),1)</f>
        <v>1</v>
      </c>
    </row>
    <row r="2874" spans="7:10" ht="35.450000000000003" hidden="1" customHeight="1">
      <c r="G2874" s="113"/>
      <c r="J2874" s="28">
        <f>IFERROR(VLOOKUP(TEXT(B2874,"0"),STOCK!A:H,7,0),1)</f>
        <v>1</v>
      </c>
    </row>
    <row r="2875" spans="7:10" ht="35.450000000000003" hidden="1" customHeight="1">
      <c r="G2875" s="113"/>
      <c r="J2875" s="28">
        <f>IFERROR(VLOOKUP(TEXT(B2875,"0"),STOCK!A:H,7,0),1)</f>
        <v>1</v>
      </c>
    </row>
    <row r="2876" spans="7:10" ht="35.450000000000003" hidden="1" customHeight="1">
      <c r="G2876" s="113"/>
      <c r="J2876" s="28">
        <f>IFERROR(VLOOKUP(TEXT(B2876,"0"),STOCK!A:H,7,0),1)</f>
        <v>1</v>
      </c>
    </row>
    <row r="2877" spans="7:10" ht="35.450000000000003" hidden="1" customHeight="1">
      <c r="G2877" s="113"/>
      <c r="J2877" s="28">
        <f>IFERROR(VLOOKUP(TEXT(B2877,"0"),STOCK!A:H,7,0),1)</f>
        <v>1</v>
      </c>
    </row>
    <row r="2878" spans="7:10" ht="35.450000000000003" hidden="1" customHeight="1">
      <c r="G2878" s="113"/>
      <c r="J2878" s="28">
        <f>IFERROR(VLOOKUP(TEXT(B2878,"0"),STOCK!A:H,7,0),1)</f>
        <v>1</v>
      </c>
    </row>
    <row r="2879" spans="7:10" ht="35.450000000000003" hidden="1" customHeight="1">
      <c r="G2879" s="113"/>
      <c r="J2879" s="28">
        <f>IFERROR(VLOOKUP(TEXT(B2879,"0"),STOCK!A:H,7,0),1)</f>
        <v>1</v>
      </c>
    </row>
    <row r="2880" spans="7:10" ht="35.450000000000003" hidden="1" customHeight="1">
      <c r="G2880" s="113"/>
      <c r="J2880" s="28">
        <f>IFERROR(VLOOKUP(TEXT(B2880,"0"),STOCK!A:H,7,0),1)</f>
        <v>1</v>
      </c>
    </row>
    <row r="2881" spans="7:10" ht="35.450000000000003" hidden="1" customHeight="1">
      <c r="G2881" s="113"/>
      <c r="J2881" s="28">
        <f>IFERROR(VLOOKUP(TEXT(B2881,"0"),STOCK!A:H,7,0),1)</f>
        <v>1</v>
      </c>
    </row>
    <row r="2882" spans="7:10" ht="35.450000000000003" hidden="1" customHeight="1">
      <c r="G2882" s="113"/>
      <c r="J2882" s="28">
        <f>IFERROR(VLOOKUP(TEXT(B2882,"0"),STOCK!A:H,7,0),1)</f>
        <v>1</v>
      </c>
    </row>
    <row r="2883" spans="7:10" ht="35.450000000000003" hidden="1" customHeight="1">
      <c r="G2883" s="113"/>
      <c r="J2883" s="28">
        <f>IFERROR(VLOOKUP(TEXT(B2883,"0"),STOCK!A:H,7,0),1)</f>
        <v>1</v>
      </c>
    </row>
    <row r="2884" spans="7:10" ht="35.450000000000003" hidden="1" customHeight="1">
      <c r="G2884" s="113"/>
      <c r="J2884" s="28">
        <f>IFERROR(VLOOKUP(TEXT(B2884,"0"),STOCK!A:H,7,0),1)</f>
        <v>1</v>
      </c>
    </row>
    <row r="2885" spans="7:10" ht="35.450000000000003" hidden="1" customHeight="1">
      <c r="G2885" s="113"/>
      <c r="J2885" s="28">
        <f>IFERROR(VLOOKUP(TEXT(B2885,"0"),STOCK!A:H,7,0),1)</f>
        <v>1</v>
      </c>
    </row>
    <row r="2886" spans="7:10" ht="35.450000000000003" hidden="1" customHeight="1">
      <c r="G2886" s="113"/>
      <c r="J2886" s="28">
        <f>IFERROR(VLOOKUP(TEXT(B2886,"0"),STOCK!A:H,7,0),1)</f>
        <v>1</v>
      </c>
    </row>
    <row r="2887" spans="7:10" ht="35.450000000000003" hidden="1" customHeight="1">
      <c r="G2887" s="113"/>
      <c r="J2887" s="28">
        <f>IFERROR(VLOOKUP(TEXT(B2887,"0"),STOCK!A:H,7,0),1)</f>
        <v>1</v>
      </c>
    </row>
    <row r="2888" spans="7:10" ht="35.450000000000003" hidden="1" customHeight="1">
      <c r="G2888" s="113"/>
      <c r="J2888" s="28">
        <f>IFERROR(VLOOKUP(TEXT(B2888,"0"),STOCK!A:H,7,0),1)</f>
        <v>1</v>
      </c>
    </row>
    <row r="2889" spans="7:10" ht="35.450000000000003" hidden="1" customHeight="1">
      <c r="G2889" s="113"/>
      <c r="J2889" s="28">
        <f>IFERROR(VLOOKUP(TEXT(B2889,"0"),STOCK!A:H,7,0),1)</f>
        <v>1</v>
      </c>
    </row>
    <row r="2890" spans="7:10" ht="35.450000000000003" hidden="1" customHeight="1">
      <c r="G2890" s="113"/>
      <c r="J2890" s="28">
        <f>IFERROR(VLOOKUP(TEXT(B2890,"0"),STOCK!A:H,7,0),1)</f>
        <v>1</v>
      </c>
    </row>
    <row r="2891" spans="7:10" ht="35.450000000000003" hidden="1" customHeight="1">
      <c r="G2891" s="113"/>
      <c r="J2891" s="28">
        <f>IFERROR(VLOOKUP(TEXT(B2891,"0"),STOCK!A:H,7,0),1)</f>
        <v>1</v>
      </c>
    </row>
    <row r="2892" spans="7:10" ht="35.450000000000003" hidden="1" customHeight="1">
      <c r="G2892" s="113"/>
      <c r="J2892" s="28">
        <f>IFERROR(VLOOKUP(TEXT(B2892,"0"),STOCK!A:H,7,0),1)</f>
        <v>1</v>
      </c>
    </row>
    <row r="2893" spans="7:10" ht="35.450000000000003" hidden="1" customHeight="1">
      <c r="G2893" s="113"/>
      <c r="J2893" s="28">
        <f>IFERROR(VLOOKUP(TEXT(B2893,"0"),STOCK!A:H,7,0),1)</f>
        <v>1</v>
      </c>
    </row>
    <row r="2894" spans="7:10" ht="35.450000000000003" hidden="1" customHeight="1">
      <c r="G2894" s="113"/>
      <c r="J2894" s="28">
        <f>IFERROR(VLOOKUP(TEXT(B2894,"0"),STOCK!A:H,7,0),1)</f>
        <v>1</v>
      </c>
    </row>
    <row r="2895" spans="7:10" ht="35.450000000000003" hidden="1" customHeight="1">
      <c r="G2895" s="113"/>
      <c r="J2895" s="28">
        <f>IFERROR(VLOOKUP(TEXT(B2895,"0"),STOCK!A:H,7,0),1)</f>
        <v>1</v>
      </c>
    </row>
    <row r="2896" spans="7:10" ht="35.450000000000003" hidden="1" customHeight="1">
      <c r="G2896" s="113"/>
      <c r="J2896" s="28">
        <f>IFERROR(VLOOKUP(TEXT(B2896,"0"),STOCK!A:H,7,0),1)</f>
        <v>1</v>
      </c>
    </row>
    <row r="2897" spans="7:10" ht="35.450000000000003" hidden="1" customHeight="1">
      <c r="G2897" s="113"/>
      <c r="J2897" s="28">
        <f>IFERROR(VLOOKUP(TEXT(B2897,"0"),STOCK!A:H,7,0),1)</f>
        <v>1</v>
      </c>
    </row>
    <row r="2898" spans="7:10" ht="35.450000000000003" hidden="1" customHeight="1">
      <c r="G2898" s="113"/>
      <c r="J2898" s="28">
        <f>IFERROR(VLOOKUP(TEXT(B2898,"0"),STOCK!A:H,7,0),1)</f>
        <v>1</v>
      </c>
    </row>
    <row r="2899" spans="7:10" ht="35.450000000000003" hidden="1" customHeight="1">
      <c r="G2899" s="113"/>
      <c r="J2899" s="28">
        <f>IFERROR(VLOOKUP(TEXT(B2899,"0"),STOCK!A:H,7,0),1)</f>
        <v>1</v>
      </c>
    </row>
    <row r="2900" spans="7:10" ht="35.450000000000003" hidden="1" customHeight="1">
      <c r="G2900" s="113"/>
      <c r="J2900" s="28">
        <f>IFERROR(VLOOKUP(TEXT(B2900,"0"),STOCK!A:H,7,0),1)</f>
        <v>1</v>
      </c>
    </row>
    <row r="2901" spans="7:10" ht="35.450000000000003" hidden="1" customHeight="1">
      <c r="G2901" s="113"/>
      <c r="J2901" s="28">
        <f>IFERROR(VLOOKUP(TEXT(B2901,"0"),STOCK!A:H,7,0),1)</f>
        <v>1</v>
      </c>
    </row>
    <row r="2902" spans="7:10" ht="35.450000000000003" hidden="1" customHeight="1">
      <c r="G2902" s="113"/>
      <c r="J2902" s="28">
        <f>IFERROR(VLOOKUP(TEXT(B2902,"0"),STOCK!A:H,7,0),1)</f>
        <v>1</v>
      </c>
    </row>
    <row r="2903" spans="7:10" ht="35.450000000000003" hidden="1" customHeight="1">
      <c r="G2903" s="113"/>
      <c r="J2903" s="28">
        <f>IFERROR(VLOOKUP(TEXT(B2903,"0"),STOCK!A:H,7,0),1)</f>
        <v>1</v>
      </c>
    </row>
    <row r="2904" spans="7:10" ht="35.450000000000003" hidden="1" customHeight="1">
      <c r="G2904" s="113"/>
      <c r="J2904" s="28">
        <f>IFERROR(VLOOKUP(TEXT(B2904,"0"),STOCK!A:H,7,0),1)</f>
        <v>1</v>
      </c>
    </row>
    <row r="2905" spans="7:10" ht="35.450000000000003" hidden="1" customHeight="1">
      <c r="G2905" s="113"/>
      <c r="J2905" s="28">
        <f>IFERROR(VLOOKUP(TEXT(B2905,"0"),STOCK!A:H,7,0),1)</f>
        <v>1</v>
      </c>
    </row>
    <row r="2906" spans="7:10" ht="35.450000000000003" hidden="1" customHeight="1">
      <c r="G2906" s="113"/>
      <c r="J2906" s="28">
        <f>IFERROR(VLOOKUP(TEXT(B2906,"0"),STOCK!A:H,7,0),1)</f>
        <v>1</v>
      </c>
    </row>
    <row r="2907" spans="7:10" ht="35.450000000000003" hidden="1" customHeight="1">
      <c r="G2907" s="113"/>
      <c r="J2907" s="28">
        <f>IFERROR(VLOOKUP(TEXT(B2907,"0"),STOCK!A:H,7,0),1)</f>
        <v>1</v>
      </c>
    </row>
    <row r="2908" spans="7:10" ht="35.450000000000003" hidden="1" customHeight="1">
      <c r="G2908" s="113"/>
      <c r="J2908" s="28">
        <f>IFERROR(VLOOKUP(TEXT(B2908,"0"),STOCK!A:H,7,0),1)</f>
        <v>1</v>
      </c>
    </row>
    <row r="2909" spans="7:10" ht="35.450000000000003" hidden="1" customHeight="1">
      <c r="G2909" s="113"/>
      <c r="J2909" s="28">
        <f>IFERROR(VLOOKUP(TEXT(B2909,"0"),STOCK!A:H,7,0),1)</f>
        <v>1</v>
      </c>
    </row>
    <row r="2910" spans="7:10" ht="35.450000000000003" hidden="1" customHeight="1">
      <c r="G2910" s="113"/>
      <c r="J2910" s="28">
        <f>IFERROR(VLOOKUP(TEXT(B2910,"0"),STOCK!A:H,7,0),1)</f>
        <v>1</v>
      </c>
    </row>
    <row r="2911" spans="7:10" ht="35.450000000000003" hidden="1" customHeight="1">
      <c r="G2911" s="113"/>
      <c r="J2911" s="28">
        <f>IFERROR(VLOOKUP(TEXT(B2911,"0"),STOCK!A:H,7,0),1)</f>
        <v>1</v>
      </c>
    </row>
    <row r="2912" spans="7:10" ht="35.450000000000003" hidden="1" customHeight="1">
      <c r="G2912" s="113"/>
      <c r="J2912" s="28">
        <f>IFERROR(VLOOKUP(TEXT(B2912,"0"),STOCK!A:H,7,0),1)</f>
        <v>1</v>
      </c>
    </row>
    <row r="2913" spans="7:10" ht="35.450000000000003" hidden="1" customHeight="1">
      <c r="G2913" s="113"/>
      <c r="J2913" s="28">
        <f>IFERROR(VLOOKUP(TEXT(B2913,"0"),STOCK!A:H,7,0),1)</f>
        <v>1</v>
      </c>
    </row>
    <row r="2914" spans="7:10" ht="35.450000000000003" hidden="1" customHeight="1">
      <c r="G2914" s="113"/>
      <c r="J2914" s="28">
        <f>IFERROR(VLOOKUP(TEXT(B2914,"0"),STOCK!A:H,7,0),1)</f>
        <v>1</v>
      </c>
    </row>
    <row r="2915" spans="7:10" ht="35.450000000000003" hidden="1" customHeight="1">
      <c r="G2915" s="113"/>
      <c r="J2915" s="28">
        <f>IFERROR(VLOOKUP(TEXT(B2915,"0"),STOCK!A:H,7,0),1)</f>
        <v>1</v>
      </c>
    </row>
    <row r="2916" spans="7:10" ht="35.450000000000003" hidden="1" customHeight="1">
      <c r="G2916" s="113"/>
      <c r="J2916" s="28">
        <f>IFERROR(VLOOKUP(TEXT(B2916,"0"),STOCK!A:H,7,0),1)</f>
        <v>1</v>
      </c>
    </row>
    <row r="2917" spans="7:10" ht="35.450000000000003" hidden="1" customHeight="1">
      <c r="G2917" s="113"/>
      <c r="J2917" s="28">
        <f>IFERROR(VLOOKUP(TEXT(B2917,"0"),STOCK!A:H,7,0),1)</f>
        <v>1</v>
      </c>
    </row>
    <row r="2918" spans="7:10" ht="35.450000000000003" hidden="1" customHeight="1">
      <c r="G2918" s="113"/>
      <c r="J2918" s="28">
        <f>IFERROR(VLOOKUP(TEXT(B2918,"0"),STOCK!A:H,7,0),1)</f>
        <v>1</v>
      </c>
    </row>
    <row r="2919" spans="7:10" ht="35.450000000000003" hidden="1" customHeight="1">
      <c r="G2919" s="113"/>
      <c r="J2919" s="28">
        <f>IFERROR(VLOOKUP(TEXT(B2919,"0"),STOCK!A:H,7,0),1)</f>
        <v>1</v>
      </c>
    </row>
    <row r="2920" spans="7:10" ht="35.450000000000003" hidden="1" customHeight="1">
      <c r="G2920" s="113"/>
      <c r="J2920" s="28">
        <f>IFERROR(VLOOKUP(TEXT(B2920,"0"),STOCK!A:H,7,0),1)</f>
        <v>1</v>
      </c>
    </row>
    <row r="2921" spans="7:10" ht="35.450000000000003" hidden="1" customHeight="1">
      <c r="G2921" s="113"/>
      <c r="J2921" s="28">
        <f>IFERROR(VLOOKUP(TEXT(B2921,"0"),STOCK!A:H,7,0),1)</f>
        <v>1</v>
      </c>
    </row>
    <row r="2922" spans="7:10" ht="35.450000000000003" hidden="1" customHeight="1">
      <c r="G2922" s="113"/>
      <c r="J2922" s="28">
        <f>IFERROR(VLOOKUP(TEXT(B2922,"0"),STOCK!A:H,7,0),1)</f>
        <v>1</v>
      </c>
    </row>
    <row r="2923" spans="7:10" ht="35.450000000000003" hidden="1" customHeight="1">
      <c r="G2923" s="113"/>
      <c r="J2923" s="28">
        <f>IFERROR(VLOOKUP(TEXT(B2923,"0"),STOCK!A:H,7,0),1)</f>
        <v>1</v>
      </c>
    </row>
    <row r="2924" spans="7:10" ht="35.450000000000003" hidden="1" customHeight="1">
      <c r="G2924" s="113"/>
      <c r="J2924" s="28">
        <f>IFERROR(VLOOKUP(TEXT(B2924,"0"),STOCK!A:H,7,0),1)</f>
        <v>1</v>
      </c>
    </row>
    <row r="2925" spans="7:10" ht="35.450000000000003" hidden="1" customHeight="1">
      <c r="G2925" s="113"/>
      <c r="J2925" s="28">
        <f>IFERROR(VLOOKUP(TEXT(B2925,"0"),STOCK!A:H,7,0),1)</f>
        <v>1</v>
      </c>
    </row>
    <row r="2926" spans="7:10" ht="35.450000000000003" hidden="1" customHeight="1">
      <c r="G2926" s="113"/>
      <c r="J2926" s="28">
        <f>IFERROR(VLOOKUP(TEXT(B2926,"0"),STOCK!A:H,7,0),1)</f>
        <v>1</v>
      </c>
    </row>
    <row r="2927" spans="7:10" ht="35.450000000000003" hidden="1" customHeight="1">
      <c r="G2927" s="113"/>
      <c r="J2927" s="28">
        <f>IFERROR(VLOOKUP(TEXT(B2927,"0"),STOCK!A:H,7,0),1)</f>
        <v>1</v>
      </c>
    </row>
    <row r="2928" spans="7:10" ht="35.450000000000003" hidden="1" customHeight="1">
      <c r="G2928" s="113"/>
      <c r="J2928" s="28">
        <f>IFERROR(VLOOKUP(TEXT(B2928,"0"),STOCK!A:H,7,0),1)</f>
        <v>1</v>
      </c>
    </row>
    <row r="2929" spans="7:10" ht="35.450000000000003" hidden="1" customHeight="1">
      <c r="G2929" s="113"/>
      <c r="J2929" s="28">
        <f>IFERROR(VLOOKUP(TEXT(B2929,"0"),STOCK!A:H,7,0),1)</f>
        <v>1</v>
      </c>
    </row>
    <row r="2930" spans="7:10" ht="35.450000000000003" hidden="1" customHeight="1">
      <c r="G2930" s="113"/>
      <c r="J2930" s="28">
        <f>IFERROR(VLOOKUP(TEXT(B2930,"0"),STOCK!A:H,7,0),1)</f>
        <v>1</v>
      </c>
    </row>
    <row r="2931" spans="7:10" ht="35.450000000000003" hidden="1" customHeight="1">
      <c r="G2931" s="113"/>
      <c r="J2931" s="28">
        <f>IFERROR(VLOOKUP(TEXT(B2931,"0"),STOCK!A:H,7,0),1)</f>
        <v>1</v>
      </c>
    </row>
    <row r="2932" spans="7:10" ht="35.450000000000003" hidden="1" customHeight="1">
      <c r="G2932" s="113"/>
      <c r="J2932" s="28">
        <f>IFERROR(VLOOKUP(TEXT(B2932,"0"),STOCK!A:H,7,0),1)</f>
        <v>1</v>
      </c>
    </row>
    <row r="2933" spans="7:10" ht="35.450000000000003" hidden="1" customHeight="1">
      <c r="G2933" s="113"/>
      <c r="J2933" s="28">
        <f>IFERROR(VLOOKUP(TEXT(B2933,"0"),STOCK!A:H,7,0),1)</f>
        <v>1</v>
      </c>
    </row>
    <row r="2934" spans="7:10" ht="35.450000000000003" hidden="1" customHeight="1">
      <c r="G2934" s="113"/>
      <c r="J2934" s="28">
        <f>IFERROR(VLOOKUP(TEXT(B2934,"0"),STOCK!A:H,7,0),1)</f>
        <v>1</v>
      </c>
    </row>
    <row r="2935" spans="7:10" ht="35.450000000000003" hidden="1" customHeight="1">
      <c r="G2935" s="113"/>
      <c r="J2935" s="28">
        <f>IFERROR(VLOOKUP(TEXT(B2935,"0"),STOCK!A:H,7,0),1)</f>
        <v>1</v>
      </c>
    </row>
    <row r="2936" spans="7:10" ht="35.450000000000003" hidden="1" customHeight="1">
      <c r="G2936" s="113"/>
      <c r="J2936" s="28">
        <f>IFERROR(VLOOKUP(TEXT(B2936,"0"),STOCK!A:H,7,0),1)</f>
        <v>1</v>
      </c>
    </row>
    <row r="2937" spans="7:10" ht="35.450000000000003" hidden="1" customHeight="1">
      <c r="G2937" s="113"/>
      <c r="J2937" s="28">
        <f>IFERROR(VLOOKUP(TEXT(B2937,"0"),STOCK!A:H,7,0),1)</f>
        <v>1</v>
      </c>
    </row>
    <row r="2938" spans="7:10" ht="35.450000000000003" hidden="1" customHeight="1">
      <c r="G2938" s="113"/>
      <c r="J2938" s="28">
        <f>IFERROR(VLOOKUP(TEXT(B2938,"0"),STOCK!A:H,7,0),1)</f>
        <v>1</v>
      </c>
    </row>
    <row r="2939" spans="7:10" ht="35.450000000000003" hidden="1" customHeight="1">
      <c r="G2939" s="113"/>
      <c r="J2939" s="28">
        <f>IFERROR(VLOOKUP(TEXT(B2939,"0"),STOCK!A:H,7,0),1)</f>
        <v>1</v>
      </c>
    </row>
    <row r="2940" spans="7:10" ht="35.450000000000003" hidden="1" customHeight="1">
      <c r="G2940" s="113"/>
      <c r="J2940" s="28">
        <f>IFERROR(VLOOKUP(TEXT(B2940,"0"),STOCK!A:H,7,0),1)</f>
        <v>1</v>
      </c>
    </row>
    <row r="2941" spans="7:10" ht="35.450000000000003" hidden="1" customHeight="1">
      <c r="G2941" s="113"/>
      <c r="J2941" s="28">
        <f>IFERROR(VLOOKUP(TEXT(B2941,"0"),STOCK!A:H,7,0),1)</f>
        <v>1</v>
      </c>
    </row>
    <row r="2942" spans="7:10" ht="35.450000000000003" hidden="1" customHeight="1">
      <c r="G2942" s="113"/>
      <c r="J2942" s="28">
        <f>IFERROR(VLOOKUP(TEXT(B2942,"0"),STOCK!A:H,7,0),1)</f>
        <v>1</v>
      </c>
    </row>
    <row r="2943" spans="7:10" ht="35.450000000000003" hidden="1" customHeight="1">
      <c r="G2943" s="113"/>
      <c r="J2943" s="28">
        <f>IFERROR(VLOOKUP(TEXT(B2943,"0"),STOCK!A:H,7,0),1)</f>
        <v>1</v>
      </c>
    </row>
    <row r="2944" spans="7:10" ht="35.450000000000003" hidden="1" customHeight="1">
      <c r="G2944" s="113"/>
      <c r="J2944" s="28">
        <f>IFERROR(VLOOKUP(TEXT(B2944,"0"),STOCK!A:H,7,0),1)</f>
        <v>1</v>
      </c>
    </row>
    <row r="2945" spans="7:10" ht="35.450000000000003" hidden="1" customHeight="1">
      <c r="G2945" s="113"/>
      <c r="J2945" s="28">
        <f>IFERROR(VLOOKUP(TEXT(B2945,"0"),STOCK!A:H,7,0),1)</f>
        <v>1</v>
      </c>
    </row>
    <row r="2946" spans="7:10" ht="35.450000000000003" hidden="1" customHeight="1">
      <c r="G2946" s="113"/>
      <c r="J2946" s="28">
        <f>IFERROR(VLOOKUP(TEXT(B2946,"0"),STOCK!A:H,7,0),1)</f>
        <v>1</v>
      </c>
    </row>
    <row r="2947" spans="7:10" ht="35.450000000000003" hidden="1" customHeight="1">
      <c r="G2947" s="113"/>
      <c r="J2947" s="28">
        <f>IFERROR(VLOOKUP(TEXT(B2947,"0"),STOCK!A:H,7,0),1)</f>
        <v>1</v>
      </c>
    </row>
    <row r="2948" spans="7:10" ht="35.450000000000003" hidden="1" customHeight="1">
      <c r="G2948" s="113"/>
      <c r="J2948" s="28">
        <f>IFERROR(VLOOKUP(TEXT(B2948,"0"),STOCK!A:H,7,0),1)</f>
        <v>1</v>
      </c>
    </row>
    <row r="2949" spans="7:10" ht="35.450000000000003" hidden="1" customHeight="1">
      <c r="G2949" s="113"/>
      <c r="J2949" s="28">
        <f>IFERROR(VLOOKUP(TEXT(B2949,"0"),STOCK!A:H,7,0),1)</f>
        <v>1</v>
      </c>
    </row>
    <row r="2950" spans="7:10" ht="35.450000000000003" hidden="1" customHeight="1">
      <c r="G2950" s="113"/>
      <c r="J2950" s="28">
        <f>IFERROR(VLOOKUP(TEXT(B2950,"0"),STOCK!A:H,7,0),1)</f>
        <v>1</v>
      </c>
    </row>
    <row r="2951" spans="7:10" ht="35.450000000000003" hidden="1" customHeight="1">
      <c r="G2951" s="113"/>
      <c r="J2951" s="28">
        <f>IFERROR(VLOOKUP(TEXT(B2951,"0"),STOCK!A:H,7,0),1)</f>
        <v>1</v>
      </c>
    </row>
    <row r="2952" spans="7:10" ht="35.450000000000003" hidden="1" customHeight="1">
      <c r="G2952" s="113"/>
      <c r="J2952" s="28">
        <f>IFERROR(VLOOKUP(TEXT(B2952,"0"),STOCK!A:H,7,0),1)</f>
        <v>1</v>
      </c>
    </row>
    <row r="2953" spans="7:10" ht="35.450000000000003" hidden="1" customHeight="1">
      <c r="G2953" s="113"/>
      <c r="J2953" s="28">
        <f>IFERROR(VLOOKUP(TEXT(B2953,"0"),STOCK!A:H,7,0),1)</f>
        <v>1</v>
      </c>
    </row>
    <row r="2954" spans="7:10" ht="35.450000000000003" hidden="1" customHeight="1">
      <c r="G2954" s="113"/>
      <c r="J2954" s="28">
        <f>IFERROR(VLOOKUP(TEXT(B2954,"0"),STOCK!A:H,7,0),1)</f>
        <v>1</v>
      </c>
    </row>
    <row r="2955" spans="7:10" ht="35.450000000000003" hidden="1" customHeight="1">
      <c r="G2955" s="113"/>
      <c r="J2955" s="28">
        <f>IFERROR(VLOOKUP(TEXT(B2955,"0"),STOCK!A:H,7,0),1)</f>
        <v>1</v>
      </c>
    </row>
    <row r="2956" spans="7:10" ht="35.450000000000003" hidden="1" customHeight="1">
      <c r="G2956" s="113"/>
      <c r="J2956" s="28">
        <f>IFERROR(VLOOKUP(TEXT(B2956,"0"),STOCK!A:H,7,0),1)</f>
        <v>1</v>
      </c>
    </row>
    <row r="2957" spans="7:10" ht="35.450000000000003" hidden="1" customHeight="1">
      <c r="G2957" s="113"/>
      <c r="J2957" s="28">
        <f>IFERROR(VLOOKUP(TEXT(B2957,"0"),STOCK!A:H,7,0),1)</f>
        <v>1</v>
      </c>
    </row>
    <row r="2958" spans="7:10" ht="35.450000000000003" hidden="1" customHeight="1">
      <c r="G2958" s="113"/>
      <c r="J2958" s="28">
        <f>IFERROR(VLOOKUP(TEXT(B2958,"0"),STOCK!A:H,7,0),1)</f>
        <v>1</v>
      </c>
    </row>
    <row r="2959" spans="7:10" ht="35.450000000000003" hidden="1" customHeight="1">
      <c r="G2959" s="113"/>
      <c r="J2959" s="28">
        <f>IFERROR(VLOOKUP(TEXT(B2959,"0"),STOCK!A:H,7,0),1)</f>
        <v>1</v>
      </c>
    </row>
    <row r="2960" spans="7:10" ht="35.450000000000003" hidden="1" customHeight="1">
      <c r="G2960" s="113"/>
      <c r="J2960" s="28">
        <f>IFERROR(VLOOKUP(TEXT(B2960,"0"),STOCK!A:H,7,0),1)</f>
        <v>1</v>
      </c>
    </row>
    <row r="2961" spans="7:10" ht="35.450000000000003" hidden="1" customHeight="1">
      <c r="G2961" s="113"/>
      <c r="J2961" s="28">
        <f>IFERROR(VLOOKUP(TEXT(B2961,"0"),STOCK!A:H,7,0),1)</f>
        <v>1</v>
      </c>
    </row>
    <row r="2962" spans="7:10" ht="35.450000000000003" hidden="1" customHeight="1">
      <c r="G2962" s="113"/>
      <c r="J2962" s="28">
        <f>IFERROR(VLOOKUP(TEXT(B2962,"0"),STOCK!A:H,7,0),1)</f>
        <v>1</v>
      </c>
    </row>
    <row r="2963" spans="7:10" ht="35.450000000000003" hidden="1" customHeight="1">
      <c r="G2963" s="113"/>
      <c r="J2963" s="28">
        <f>IFERROR(VLOOKUP(TEXT(B2963,"0"),STOCK!A:H,7,0),1)</f>
        <v>1</v>
      </c>
    </row>
    <row r="2964" spans="7:10" ht="35.450000000000003" hidden="1" customHeight="1">
      <c r="G2964" s="113"/>
      <c r="J2964" s="28">
        <f>IFERROR(VLOOKUP(TEXT(B2964,"0"),STOCK!A:H,7,0),1)</f>
        <v>1</v>
      </c>
    </row>
    <row r="2965" spans="7:10" ht="35.450000000000003" hidden="1" customHeight="1">
      <c r="G2965" s="113"/>
      <c r="J2965" s="28">
        <f>IFERROR(VLOOKUP(TEXT(B2965,"0"),STOCK!A:H,7,0),1)</f>
        <v>1</v>
      </c>
    </row>
    <row r="2966" spans="7:10" ht="35.450000000000003" hidden="1" customHeight="1">
      <c r="G2966" s="113"/>
      <c r="J2966" s="28">
        <f>IFERROR(VLOOKUP(TEXT(B2966,"0"),STOCK!A:H,7,0),1)</f>
        <v>1</v>
      </c>
    </row>
    <row r="2967" spans="7:10" ht="35.450000000000003" hidden="1" customHeight="1">
      <c r="G2967" s="113"/>
      <c r="J2967" s="28">
        <f>IFERROR(VLOOKUP(TEXT(B2967,"0"),STOCK!A:H,7,0),1)</f>
        <v>1</v>
      </c>
    </row>
    <row r="2968" spans="7:10" ht="35.450000000000003" hidden="1" customHeight="1">
      <c r="G2968" s="113"/>
      <c r="J2968" s="28">
        <f>IFERROR(VLOOKUP(TEXT(B2968,"0"),STOCK!A:H,7,0),1)</f>
        <v>1</v>
      </c>
    </row>
    <row r="2969" spans="7:10" ht="35.450000000000003" hidden="1" customHeight="1">
      <c r="G2969" s="113"/>
      <c r="J2969" s="28">
        <f>IFERROR(VLOOKUP(TEXT(B2969,"0"),STOCK!A:H,7,0),1)</f>
        <v>1</v>
      </c>
    </row>
    <row r="2970" spans="7:10" ht="35.450000000000003" hidden="1" customHeight="1">
      <c r="G2970" s="113"/>
      <c r="J2970" s="28">
        <f>IFERROR(VLOOKUP(TEXT(B2970,"0"),STOCK!A:H,7,0),1)</f>
        <v>1</v>
      </c>
    </row>
    <row r="2971" spans="7:10" ht="35.450000000000003" hidden="1" customHeight="1">
      <c r="G2971" s="113"/>
      <c r="J2971" s="28">
        <f>IFERROR(VLOOKUP(TEXT(B2971,"0"),STOCK!A:H,7,0),1)</f>
        <v>1</v>
      </c>
    </row>
    <row r="2972" spans="7:10" ht="35.450000000000003" hidden="1" customHeight="1">
      <c r="G2972" s="113"/>
      <c r="J2972" s="28">
        <f>IFERROR(VLOOKUP(TEXT(B2972,"0"),STOCK!A:H,7,0),1)</f>
        <v>1</v>
      </c>
    </row>
    <row r="2973" spans="7:10" ht="35.450000000000003" hidden="1" customHeight="1">
      <c r="G2973" s="113"/>
      <c r="J2973" s="28">
        <f>IFERROR(VLOOKUP(TEXT(B2973,"0"),STOCK!A:H,7,0),1)</f>
        <v>1</v>
      </c>
    </row>
    <row r="2974" spans="7:10" ht="35.450000000000003" hidden="1" customHeight="1">
      <c r="G2974" s="113"/>
      <c r="J2974" s="28">
        <f>IFERROR(VLOOKUP(TEXT(B2974,"0"),STOCK!A:H,7,0),1)</f>
        <v>1</v>
      </c>
    </row>
    <row r="2975" spans="7:10" ht="35.450000000000003" hidden="1" customHeight="1">
      <c r="G2975" s="113"/>
      <c r="J2975" s="28">
        <f>IFERROR(VLOOKUP(TEXT(B2975,"0"),STOCK!A:H,7,0),1)</f>
        <v>1</v>
      </c>
    </row>
    <row r="2976" spans="7:10" ht="35.450000000000003" hidden="1" customHeight="1">
      <c r="G2976" s="113"/>
      <c r="J2976" s="28">
        <f>IFERROR(VLOOKUP(TEXT(B2976,"0"),STOCK!A:H,7,0),1)</f>
        <v>1</v>
      </c>
    </row>
    <row r="2977" spans="7:10" ht="35.450000000000003" hidden="1" customHeight="1">
      <c r="G2977" s="113"/>
      <c r="J2977" s="28">
        <f>IFERROR(VLOOKUP(TEXT(B2977,"0"),STOCK!A:H,7,0),1)</f>
        <v>1</v>
      </c>
    </row>
    <row r="2978" spans="7:10" ht="35.450000000000003" hidden="1" customHeight="1">
      <c r="G2978" s="113"/>
      <c r="J2978" s="28">
        <f>IFERROR(VLOOKUP(TEXT(B2978,"0"),STOCK!A:H,7,0),1)</f>
        <v>1</v>
      </c>
    </row>
    <row r="2979" spans="7:10" ht="35.450000000000003" hidden="1" customHeight="1">
      <c r="G2979" s="113"/>
      <c r="J2979" s="28">
        <f>IFERROR(VLOOKUP(TEXT(B2979,"0"),STOCK!A:H,7,0),1)</f>
        <v>1</v>
      </c>
    </row>
    <row r="2980" spans="7:10" ht="35.450000000000003" hidden="1" customHeight="1">
      <c r="G2980" s="113"/>
      <c r="J2980" s="28">
        <f>IFERROR(VLOOKUP(TEXT(B2980,"0"),STOCK!A:H,7,0),1)</f>
        <v>1</v>
      </c>
    </row>
    <row r="2981" spans="7:10" ht="35.450000000000003" hidden="1" customHeight="1">
      <c r="G2981" s="113"/>
      <c r="J2981" s="28">
        <f>IFERROR(VLOOKUP(TEXT(B2981,"0"),STOCK!A:H,7,0),1)</f>
        <v>1</v>
      </c>
    </row>
    <row r="2982" spans="7:10" ht="35.450000000000003" hidden="1" customHeight="1">
      <c r="G2982" s="113"/>
      <c r="J2982" s="28">
        <f>IFERROR(VLOOKUP(TEXT(B2982,"0"),STOCK!A:H,7,0),1)</f>
        <v>1</v>
      </c>
    </row>
    <row r="2983" spans="7:10" ht="35.450000000000003" hidden="1" customHeight="1">
      <c r="G2983" s="113"/>
      <c r="J2983" s="28">
        <f>IFERROR(VLOOKUP(TEXT(B2983,"0"),STOCK!A:H,7,0),1)</f>
        <v>1</v>
      </c>
    </row>
    <row r="2984" spans="7:10" ht="35.450000000000003" hidden="1" customHeight="1">
      <c r="G2984" s="113"/>
      <c r="J2984" s="28">
        <f>IFERROR(VLOOKUP(TEXT(B2984,"0"),STOCK!A:H,7,0),1)</f>
        <v>1</v>
      </c>
    </row>
    <row r="2985" spans="7:10" ht="35.450000000000003" hidden="1" customHeight="1">
      <c r="G2985" s="113"/>
      <c r="J2985" s="28">
        <f>IFERROR(VLOOKUP(TEXT(B2985,"0"),STOCK!A:H,7,0),1)</f>
        <v>1</v>
      </c>
    </row>
    <row r="2986" spans="7:10" ht="35.450000000000003" hidden="1" customHeight="1">
      <c r="G2986" s="113"/>
      <c r="J2986" s="28">
        <f>IFERROR(VLOOKUP(TEXT(B2986,"0"),STOCK!A:H,7,0),1)</f>
        <v>1</v>
      </c>
    </row>
    <row r="2987" spans="7:10" ht="35.450000000000003" hidden="1" customHeight="1">
      <c r="G2987" s="113"/>
      <c r="J2987" s="28">
        <f>IFERROR(VLOOKUP(TEXT(B2987,"0"),STOCK!A:H,7,0),1)</f>
        <v>1</v>
      </c>
    </row>
    <row r="2988" spans="7:10" ht="35.450000000000003" hidden="1" customHeight="1">
      <c r="G2988" s="113"/>
      <c r="J2988" s="28">
        <f>IFERROR(VLOOKUP(TEXT(B2988,"0"),STOCK!A:H,7,0),1)</f>
        <v>1</v>
      </c>
    </row>
    <row r="2989" spans="7:10" ht="35.450000000000003" hidden="1" customHeight="1">
      <c r="G2989" s="113"/>
      <c r="J2989" s="28">
        <f>IFERROR(VLOOKUP(TEXT(B2989,"0"),STOCK!A:H,7,0),1)</f>
        <v>1</v>
      </c>
    </row>
    <row r="2990" spans="7:10" ht="35.450000000000003" hidden="1" customHeight="1">
      <c r="G2990" s="113"/>
      <c r="J2990" s="28">
        <f>IFERROR(VLOOKUP(TEXT(B2990,"0"),STOCK!A:H,7,0),1)</f>
        <v>1</v>
      </c>
    </row>
    <row r="2991" spans="7:10" ht="35.450000000000003" hidden="1" customHeight="1">
      <c r="G2991" s="113"/>
      <c r="J2991" s="28">
        <f>IFERROR(VLOOKUP(TEXT(B2991,"0"),STOCK!A:H,7,0),1)</f>
        <v>1</v>
      </c>
    </row>
    <row r="2992" spans="7:10" ht="35.450000000000003" hidden="1" customHeight="1">
      <c r="G2992" s="113"/>
      <c r="J2992" s="28">
        <f>IFERROR(VLOOKUP(TEXT(B2992,"0"),STOCK!A:H,7,0),1)</f>
        <v>1</v>
      </c>
    </row>
    <row r="2993" spans="7:10" ht="35.450000000000003" hidden="1" customHeight="1">
      <c r="G2993" s="113"/>
      <c r="J2993" s="28">
        <f>IFERROR(VLOOKUP(TEXT(B2993,"0"),STOCK!A:H,7,0),1)</f>
        <v>1</v>
      </c>
    </row>
    <row r="2994" spans="7:10" ht="35.450000000000003" hidden="1" customHeight="1">
      <c r="G2994" s="113"/>
      <c r="J2994" s="28">
        <f>IFERROR(VLOOKUP(TEXT(B2994,"0"),STOCK!A:H,7,0),1)</f>
        <v>1</v>
      </c>
    </row>
    <row r="2995" spans="7:10" ht="35.450000000000003" hidden="1" customHeight="1">
      <c r="G2995" s="113"/>
      <c r="J2995" s="28">
        <f>IFERROR(VLOOKUP(TEXT(B2995,"0"),STOCK!A:H,7,0),1)</f>
        <v>1</v>
      </c>
    </row>
    <row r="2996" spans="7:10" ht="35.450000000000003" hidden="1" customHeight="1">
      <c r="G2996" s="113"/>
      <c r="J2996" s="28">
        <f>IFERROR(VLOOKUP(TEXT(B2996,"0"),STOCK!A:H,7,0),1)</f>
        <v>1</v>
      </c>
    </row>
    <row r="2997" spans="7:10" ht="35.450000000000003" hidden="1" customHeight="1">
      <c r="G2997" s="113"/>
      <c r="J2997" s="28">
        <f>IFERROR(VLOOKUP(TEXT(B2997,"0"),STOCK!A:H,7,0),1)</f>
        <v>1</v>
      </c>
    </row>
    <row r="2998" spans="7:10" ht="35.450000000000003" hidden="1" customHeight="1">
      <c r="G2998" s="113"/>
      <c r="J2998" s="28">
        <f>IFERROR(VLOOKUP(TEXT(B2998,"0"),STOCK!A:H,7,0),1)</f>
        <v>1</v>
      </c>
    </row>
    <row r="2999" spans="7:10" ht="35.450000000000003" hidden="1" customHeight="1">
      <c r="G2999" s="113"/>
      <c r="J2999" s="28">
        <f>IFERROR(VLOOKUP(TEXT(B2999,"0"),STOCK!A:H,7,0),1)</f>
        <v>1</v>
      </c>
    </row>
    <row r="3000" spans="7:10" ht="35.450000000000003" hidden="1" customHeight="1">
      <c r="G3000" s="113"/>
      <c r="J3000" s="28">
        <f>IFERROR(VLOOKUP(TEXT(B3000,"0"),STOCK!A:H,7,0),1)</f>
        <v>1</v>
      </c>
    </row>
    <row r="3001" spans="7:10" ht="35.450000000000003" hidden="1" customHeight="1">
      <c r="G3001" s="113"/>
      <c r="J3001" s="28">
        <f>IFERROR(VLOOKUP(TEXT(B3001,"0"),STOCK!A:H,7,0),1)</f>
        <v>1</v>
      </c>
    </row>
    <row r="3002" spans="7:10" ht="35.450000000000003" hidden="1" customHeight="1">
      <c r="G3002" s="113"/>
      <c r="J3002" s="28">
        <f>IFERROR(VLOOKUP(TEXT(B3002,"0"),STOCK!A:H,7,0),1)</f>
        <v>1</v>
      </c>
    </row>
    <row r="3003" spans="7:10" ht="35.450000000000003" hidden="1" customHeight="1">
      <c r="G3003" s="113"/>
      <c r="J3003" s="28">
        <f>IFERROR(VLOOKUP(TEXT(B3003,"0"),STOCK!A:H,7,0),1)</f>
        <v>1</v>
      </c>
    </row>
    <row r="3004" spans="7:10" ht="35.450000000000003" hidden="1" customHeight="1">
      <c r="G3004" s="113"/>
      <c r="J3004" s="28">
        <f>IFERROR(VLOOKUP(TEXT(B3004,"0"),STOCK!A:H,7,0),1)</f>
        <v>1</v>
      </c>
    </row>
    <row r="3005" spans="7:10" ht="35.450000000000003" hidden="1" customHeight="1">
      <c r="G3005" s="113"/>
      <c r="J3005" s="28">
        <f>IFERROR(VLOOKUP(TEXT(B3005,"0"),STOCK!A:H,7,0),1)</f>
        <v>1</v>
      </c>
    </row>
    <row r="3006" spans="7:10" ht="35.450000000000003" hidden="1" customHeight="1">
      <c r="G3006" s="113"/>
      <c r="J3006" s="28">
        <f>IFERROR(VLOOKUP(TEXT(B3006,"0"),STOCK!A:H,7,0),1)</f>
        <v>1</v>
      </c>
    </row>
    <row r="3007" spans="7:10" ht="35.450000000000003" hidden="1" customHeight="1">
      <c r="G3007" s="113"/>
      <c r="J3007" s="28">
        <f>IFERROR(VLOOKUP(TEXT(B3007,"0"),STOCK!A:H,7,0),1)</f>
        <v>1</v>
      </c>
    </row>
    <row r="3008" spans="7:10" ht="35.450000000000003" hidden="1" customHeight="1">
      <c r="G3008" s="113"/>
      <c r="J3008" s="28">
        <f>IFERROR(VLOOKUP(TEXT(B3008,"0"),STOCK!A:H,7,0),1)</f>
        <v>1</v>
      </c>
    </row>
    <row r="3009" spans="7:10" ht="35.450000000000003" hidden="1" customHeight="1">
      <c r="G3009" s="113"/>
      <c r="J3009" s="28">
        <f>IFERROR(VLOOKUP(TEXT(B3009,"0"),STOCK!A:H,7,0),1)</f>
        <v>1</v>
      </c>
    </row>
    <row r="3010" spans="7:10" ht="35.450000000000003" hidden="1" customHeight="1">
      <c r="G3010" s="113"/>
      <c r="J3010" s="28">
        <f>IFERROR(VLOOKUP(TEXT(B3010,"0"),STOCK!A:H,7,0),1)</f>
        <v>1</v>
      </c>
    </row>
    <row r="3011" spans="7:10" ht="35.450000000000003" hidden="1" customHeight="1">
      <c r="G3011" s="113"/>
      <c r="J3011" s="28">
        <f>IFERROR(VLOOKUP(TEXT(B3011,"0"),STOCK!A:H,7,0),1)</f>
        <v>1</v>
      </c>
    </row>
    <row r="3012" spans="7:10" ht="35.450000000000003" hidden="1" customHeight="1">
      <c r="G3012" s="113"/>
      <c r="J3012" s="28">
        <f>IFERROR(VLOOKUP(TEXT(B3012,"0"),STOCK!A:H,7,0),1)</f>
        <v>1</v>
      </c>
    </row>
    <row r="3013" spans="7:10" ht="35.450000000000003" hidden="1" customHeight="1">
      <c r="G3013" s="113"/>
      <c r="J3013" s="28">
        <f>IFERROR(VLOOKUP(TEXT(B3013,"0"),STOCK!A:H,7,0),1)</f>
        <v>1</v>
      </c>
    </row>
    <row r="3014" spans="7:10" ht="35.450000000000003" hidden="1" customHeight="1">
      <c r="G3014" s="113"/>
      <c r="J3014" s="28">
        <f>IFERROR(VLOOKUP(TEXT(B3014,"0"),STOCK!A:H,7,0),1)</f>
        <v>1</v>
      </c>
    </row>
    <row r="3015" spans="7:10" ht="35.450000000000003" hidden="1" customHeight="1">
      <c r="G3015" s="113"/>
      <c r="J3015" s="28">
        <f>IFERROR(VLOOKUP(TEXT(B3015,"0"),STOCK!A:H,7,0),1)</f>
        <v>1</v>
      </c>
    </row>
    <row r="3016" spans="7:10" ht="35.450000000000003" hidden="1" customHeight="1">
      <c r="G3016" s="113"/>
      <c r="J3016" s="28">
        <f>IFERROR(VLOOKUP(TEXT(B3016,"0"),STOCK!A:H,7,0),1)</f>
        <v>1</v>
      </c>
    </row>
    <row r="3017" spans="7:10" ht="35.450000000000003" hidden="1" customHeight="1">
      <c r="G3017" s="113"/>
      <c r="J3017" s="28">
        <f>IFERROR(VLOOKUP(TEXT(B3017,"0"),STOCK!A:H,7,0),1)</f>
        <v>1</v>
      </c>
    </row>
    <row r="3018" spans="7:10" ht="35.450000000000003" hidden="1" customHeight="1">
      <c r="G3018" s="113"/>
      <c r="J3018" s="28">
        <f>IFERROR(VLOOKUP(TEXT(B3018,"0"),STOCK!A:H,7,0),1)</f>
        <v>1</v>
      </c>
    </row>
    <row r="3019" spans="7:10" ht="35.450000000000003" hidden="1" customHeight="1">
      <c r="G3019" s="113"/>
      <c r="J3019" s="28">
        <f>IFERROR(VLOOKUP(TEXT(B3019,"0"),STOCK!A:H,7,0),1)</f>
        <v>1</v>
      </c>
    </row>
    <row r="3020" spans="7:10" ht="35.450000000000003" hidden="1" customHeight="1">
      <c r="G3020" s="113"/>
      <c r="J3020" s="28">
        <f>IFERROR(VLOOKUP(TEXT(B3020,"0"),STOCK!A:H,7,0),1)</f>
        <v>1</v>
      </c>
    </row>
    <row r="3021" spans="7:10" ht="35.450000000000003" hidden="1" customHeight="1">
      <c r="G3021" s="113"/>
      <c r="J3021" s="28">
        <f>IFERROR(VLOOKUP(TEXT(B3021,"0"),STOCK!A:H,7,0),1)</f>
        <v>1</v>
      </c>
    </row>
    <row r="3022" spans="7:10" ht="35.450000000000003" hidden="1" customHeight="1">
      <c r="G3022" s="113"/>
      <c r="J3022" s="28">
        <f>IFERROR(VLOOKUP(TEXT(B3022,"0"),STOCK!A:H,7,0),1)</f>
        <v>1</v>
      </c>
    </row>
    <row r="3023" spans="7:10" ht="35.450000000000003" hidden="1" customHeight="1">
      <c r="G3023" s="113"/>
      <c r="J3023" s="28">
        <f>IFERROR(VLOOKUP(TEXT(B3023,"0"),STOCK!A:H,7,0),1)</f>
        <v>1</v>
      </c>
    </row>
    <row r="3024" spans="7:10" ht="35.450000000000003" hidden="1" customHeight="1">
      <c r="G3024" s="113"/>
      <c r="J3024" s="28">
        <f>IFERROR(VLOOKUP(TEXT(B3024,"0"),STOCK!A:H,7,0),1)</f>
        <v>1</v>
      </c>
    </row>
    <row r="3025" spans="7:10" ht="35.450000000000003" hidden="1" customHeight="1">
      <c r="G3025" s="113"/>
      <c r="J3025" s="28">
        <f>IFERROR(VLOOKUP(TEXT(B3025,"0"),STOCK!A:H,7,0),1)</f>
        <v>1</v>
      </c>
    </row>
    <row r="3026" spans="7:10" ht="35.450000000000003" hidden="1" customHeight="1">
      <c r="G3026" s="113"/>
      <c r="J3026" s="28">
        <f>IFERROR(VLOOKUP(TEXT(B3026,"0"),STOCK!A:H,7,0),1)</f>
        <v>1</v>
      </c>
    </row>
    <row r="3027" spans="7:10" ht="35.450000000000003" hidden="1" customHeight="1">
      <c r="G3027" s="113"/>
      <c r="J3027" s="28">
        <f>IFERROR(VLOOKUP(TEXT(B3027,"0"),STOCK!A:H,7,0),1)</f>
        <v>1</v>
      </c>
    </row>
    <row r="3028" spans="7:10" ht="35.450000000000003" hidden="1" customHeight="1">
      <c r="G3028" s="113"/>
      <c r="J3028" s="28">
        <f>IFERROR(VLOOKUP(TEXT(B3028,"0"),STOCK!A:H,7,0),1)</f>
        <v>1</v>
      </c>
    </row>
    <row r="3029" spans="7:10" ht="35.450000000000003" hidden="1" customHeight="1">
      <c r="G3029" s="113"/>
      <c r="J3029" s="28">
        <f>IFERROR(VLOOKUP(TEXT(B3029,"0"),STOCK!A:H,7,0),1)</f>
        <v>1</v>
      </c>
    </row>
    <row r="3030" spans="7:10" ht="35.450000000000003" hidden="1" customHeight="1">
      <c r="G3030" s="113"/>
      <c r="J3030" s="28">
        <f>IFERROR(VLOOKUP(TEXT(B3030,"0"),STOCK!A:H,7,0),1)</f>
        <v>1</v>
      </c>
    </row>
    <row r="3031" spans="7:10" ht="35.450000000000003" hidden="1" customHeight="1">
      <c r="G3031" s="113"/>
      <c r="J3031" s="28">
        <f>IFERROR(VLOOKUP(TEXT(B3031,"0"),STOCK!A:H,7,0),1)</f>
        <v>1</v>
      </c>
    </row>
    <row r="3032" spans="7:10" ht="35.450000000000003" hidden="1" customHeight="1">
      <c r="G3032" s="113"/>
      <c r="J3032" s="28">
        <f>IFERROR(VLOOKUP(TEXT(B3032,"0"),STOCK!A:H,7,0),1)</f>
        <v>1</v>
      </c>
    </row>
    <row r="3033" spans="7:10" ht="35.450000000000003" hidden="1" customHeight="1">
      <c r="G3033" s="113"/>
      <c r="J3033" s="28">
        <f>IFERROR(VLOOKUP(TEXT(B3033,"0"),STOCK!A:H,7,0),1)</f>
        <v>1</v>
      </c>
    </row>
    <row r="3034" spans="7:10" ht="35.450000000000003" hidden="1" customHeight="1">
      <c r="G3034" s="113"/>
      <c r="J3034" s="28">
        <f>IFERROR(VLOOKUP(TEXT(B3034,"0"),STOCK!A:H,7,0),1)</f>
        <v>1</v>
      </c>
    </row>
    <row r="3035" spans="7:10" ht="35.450000000000003" hidden="1" customHeight="1">
      <c r="G3035" s="113"/>
      <c r="J3035" s="28">
        <f>IFERROR(VLOOKUP(TEXT(B3035,"0"),STOCK!A:H,7,0),1)</f>
        <v>1</v>
      </c>
    </row>
    <row r="3036" spans="7:10" ht="35.450000000000003" hidden="1" customHeight="1">
      <c r="G3036" s="113"/>
      <c r="J3036" s="28">
        <f>IFERROR(VLOOKUP(TEXT(B3036,"0"),STOCK!A:H,7,0),1)</f>
        <v>1</v>
      </c>
    </row>
    <row r="3037" spans="7:10" ht="35.450000000000003" hidden="1" customHeight="1">
      <c r="G3037" s="113"/>
      <c r="J3037" s="28">
        <f>IFERROR(VLOOKUP(TEXT(B3037,"0"),STOCK!A:H,7,0),1)</f>
        <v>1</v>
      </c>
    </row>
    <row r="3038" spans="7:10" ht="35.450000000000003" hidden="1" customHeight="1">
      <c r="G3038" s="113"/>
      <c r="J3038" s="28">
        <f>IFERROR(VLOOKUP(TEXT(B3038,"0"),STOCK!A:H,7,0),1)</f>
        <v>1</v>
      </c>
    </row>
    <row r="3039" spans="7:10" ht="35.450000000000003" hidden="1" customHeight="1">
      <c r="G3039" s="113"/>
      <c r="J3039" s="28">
        <f>IFERROR(VLOOKUP(TEXT(B3039,"0"),STOCK!A:H,7,0),1)</f>
        <v>1</v>
      </c>
    </row>
    <row r="3040" spans="7:10" ht="35.450000000000003" hidden="1" customHeight="1">
      <c r="G3040" s="113"/>
      <c r="J3040" s="28">
        <f>IFERROR(VLOOKUP(TEXT(B3040,"0"),STOCK!A:H,7,0),1)</f>
        <v>1</v>
      </c>
    </row>
    <row r="3041" spans="7:10" ht="35.450000000000003" hidden="1" customHeight="1">
      <c r="G3041" s="113"/>
      <c r="J3041" s="28">
        <f>IFERROR(VLOOKUP(TEXT(B3041,"0"),STOCK!A:H,7,0),1)</f>
        <v>1</v>
      </c>
    </row>
    <row r="3042" spans="7:10" ht="35.450000000000003" hidden="1" customHeight="1">
      <c r="G3042" s="113"/>
      <c r="J3042" s="28">
        <f>IFERROR(VLOOKUP(TEXT(B3042,"0"),STOCK!A:H,7,0),1)</f>
        <v>1</v>
      </c>
    </row>
    <row r="3043" spans="7:10" ht="35.450000000000003" hidden="1" customHeight="1">
      <c r="G3043" s="113"/>
      <c r="J3043" s="28">
        <f>IFERROR(VLOOKUP(TEXT(B3043,"0"),STOCK!A:H,7,0),1)</f>
        <v>1</v>
      </c>
    </row>
    <row r="3044" spans="7:10" ht="35.450000000000003" hidden="1" customHeight="1">
      <c r="G3044" s="113"/>
      <c r="J3044" s="28">
        <f>IFERROR(VLOOKUP(TEXT(B3044,"0"),STOCK!A:H,7,0),1)</f>
        <v>1</v>
      </c>
    </row>
    <row r="3045" spans="7:10" ht="35.450000000000003" hidden="1" customHeight="1">
      <c r="G3045" s="113"/>
      <c r="J3045" s="28">
        <f>IFERROR(VLOOKUP(TEXT(B3045,"0"),STOCK!A:H,7,0),1)</f>
        <v>1</v>
      </c>
    </row>
    <row r="3046" spans="7:10" ht="35.450000000000003" hidden="1" customHeight="1">
      <c r="G3046" s="113"/>
      <c r="J3046" s="28">
        <f>IFERROR(VLOOKUP(TEXT(B3046,"0"),STOCK!A:H,7,0),1)</f>
        <v>1</v>
      </c>
    </row>
    <row r="3047" spans="7:10" ht="35.450000000000003" hidden="1" customHeight="1">
      <c r="G3047" s="113"/>
      <c r="J3047" s="28">
        <f>IFERROR(VLOOKUP(TEXT(B3047,"0"),STOCK!A:H,7,0),1)</f>
        <v>1</v>
      </c>
    </row>
    <row r="3048" spans="7:10" ht="35.450000000000003" hidden="1" customHeight="1">
      <c r="G3048" s="113"/>
      <c r="J3048" s="28">
        <f>IFERROR(VLOOKUP(TEXT(B3048,"0"),STOCK!A:H,7,0),1)</f>
        <v>1</v>
      </c>
    </row>
    <row r="3049" spans="7:10" ht="35.450000000000003" hidden="1" customHeight="1">
      <c r="G3049" s="113"/>
      <c r="J3049" s="28">
        <f>IFERROR(VLOOKUP(TEXT(B3049,"0"),STOCK!A:H,7,0),1)</f>
        <v>1</v>
      </c>
    </row>
    <row r="3050" spans="7:10" ht="35.450000000000003" hidden="1" customHeight="1">
      <c r="G3050" s="113"/>
      <c r="J3050" s="28">
        <f>IFERROR(VLOOKUP(TEXT(B3050,"0"),STOCK!A:H,7,0),1)</f>
        <v>1</v>
      </c>
    </row>
    <row r="3051" spans="7:10" ht="35.450000000000003" hidden="1" customHeight="1">
      <c r="G3051" s="113"/>
      <c r="J3051" s="28">
        <f>IFERROR(VLOOKUP(TEXT(B3051,"0"),STOCK!A:H,7,0),1)</f>
        <v>1</v>
      </c>
    </row>
    <row r="3052" spans="7:10" ht="35.450000000000003" hidden="1" customHeight="1">
      <c r="G3052" s="113"/>
      <c r="J3052" s="28">
        <f>IFERROR(VLOOKUP(TEXT(B3052,"0"),STOCK!A:H,7,0),1)</f>
        <v>1</v>
      </c>
    </row>
    <row r="3053" spans="7:10" ht="35.450000000000003" hidden="1" customHeight="1">
      <c r="G3053" s="113"/>
      <c r="J3053" s="28">
        <f>IFERROR(VLOOKUP(TEXT(B3053,"0"),STOCK!A:H,7,0),1)</f>
        <v>1</v>
      </c>
    </row>
    <row r="3054" spans="7:10" ht="35.450000000000003" hidden="1" customHeight="1">
      <c r="G3054" s="113"/>
      <c r="J3054" s="28">
        <f>IFERROR(VLOOKUP(TEXT(B3054,"0"),STOCK!A:H,7,0),1)</f>
        <v>1</v>
      </c>
    </row>
    <row r="3055" spans="7:10" ht="35.450000000000003" hidden="1" customHeight="1">
      <c r="G3055" s="113"/>
      <c r="J3055" s="28">
        <f>IFERROR(VLOOKUP(TEXT(B3055,"0"),STOCK!A:H,7,0),1)</f>
        <v>1</v>
      </c>
    </row>
    <row r="3056" spans="7:10" ht="35.450000000000003" hidden="1" customHeight="1">
      <c r="G3056" s="113"/>
      <c r="J3056" s="28">
        <f>IFERROR(VLOOKUP(TEXT(B3056,"0"),STOCK!A:H,7,0),1)</f>
        <v>1</v>
      </c>
    </row>
    <row r="3057" spans="7:10" ht="35.450000000000003" hidden="1" customHeight="1">
      <c r="G3057" s="113"/>
      <c r="J3057" s="28">
        <f>IFERROR(VLOOKUP(TEXT(B3057,"0"),STOCK!A:H,7,0),1)</f>
        <v>1</v>
      </c>
    </row>
    <row r="3058" spans="7:10" ht="35.450000000000003" hidden="1" customHeight="1">
      <c r="G3058" s="113"/>
      <c r="J3058" s="28">
        <f>IFERROR(VLOOKUP(TEXT(B3058,"0"),STOCK!A:H,7,0),1)</f>
        <v>1</v>
      </c>
    </row>
    <row r="3059" spans="7:10" ht="35.450000000000003" hidden="1" customHeight="1">
      <c r="G3059" s="113"/>
      <c r="J3059" s="28">
        <f>IFERROR(VLOOKUP(TEXT(B3059,"0"),STOCK!A:H,7,0),1)</f>
        <v>1</v>
      </c>
    </row>
    <row r="3060" spans="7:10" ht="35.450000000000003" hidden="1" customHeight="1">
      <c r="G3060" s="113"/>
      <c r="J3060" s="28">
        <f>IFERROR(VLOOKUP(TEXT(B3060,"0"),STOCK!A:H,7,0),1)</f>
        <v>1</v>
      </c>
    </row>
    <row r="3061" spans="7:10" ht="35.450000000000003" hidden="1" customHeight="1">
      <c r="G3061" s="113"/>
      <c r="J3061" s="28">
        <f>IFERROR(VLOOKUP(TEXT(B3061,"0"),STOCK!A:H,7,0),1)</f>
        <v>1</v>
      </c>
    </row>
    <row r="3062" spans="7:10" ht="35.450000000000003" hidden="1" customHeight="1">
      <c r="G3062" s="113"/>
      <c r="J3062" s="28">
        <f>IFERROR(VLOOKUP(TEXT(B3062,"0"),STOCK!A:H,7,0),1)</f>
        <v>1</v>
      </c>
    </row>
    <row r="3063" spans="7:10" ht="35.450000000000003" hidden="1" customHeight="1">
      <c r="G3063" s="113"/>
      <c r="J3063" s="28">
        <f>IFERROR(VLOOKUP(TEXT(B3063,"0"),STOCK!A:H,7,0),1)</f>
        <v>1</v>
      </c>
    </row>
    <row r="3064" spans="7:10" ht="35.450000000000003" hidden="1" customHeight="1">
      <c r="G3064" s="113"/>
      <c r="J3064" s="28">
        <f>IFERROR(VLOOKUP(TEXT(B3064,"0"),STOCK!A:H,7,0),1)</f>
        <v>1</v>
      </c>
    </row>
    <row r="3065" spans="7:10" ht="35.450000000000003" hidden="1" customHeight="1">
      <c r="G3065" s="113"/>
      <c r="J3065" s="28">
        <f>IFERROR(VLOOKUP(TEXT(B3065,"0"),STOCK!A:H,7,0),1)</f>
        <v>1</v>
      </c>
    </row>
    <row r="3066" spans="7:10" ht="35.450000000000003" hidden="1" customHeight="1">
      <c r="G3066" s="113"/>
      <c r="J3066" s="28">
        <f>IFERROR(VLOOKUP(TEXT(B3066,"0"),STOCK!A:H,7,0),1)</f>
        <v>1</v>
      </c>
    </row>
    <row r="3067" spans="7:10" ht="35.450000000000003" hidden="1" customHeight="1">
      <c r="G3067" s="113"/>
      <c r="J3067" s="28">
        <f>IFERROR(VLOOKUP(TEXT(B3067,"0"),STOCK!A:H,7,0),1)</f>
        <v>1</v>
      </c>
    </row>
    <row r="3068" spans="7:10" ht="35.450000000000003" hidden="1" customHeight="1">
      <c r="G3068" s="113"/>
      <c r="J3068" s="28">
        <f>IFERROR(VLOOKUP(TEXT(B3068,"0"),STOCK!A:H,7,0),1)</f>
        <v>1</v>
      </c>
    </row>
    <row r="3069" spans="7:10" ht="35.450000000000003" hidden="1" customHeight="1">
      <c r="G3069" s="113"/>
      <c r="J3069" s="28">
        <f>IFERROR(VLOOKUP(TEXT(B3069,"0"),STOCK!A:H,7,0),1)</f>
        <v>1</v>
      </c>
    </row>
    <row r="3070" spans="7:10" ht="35.450000000000003" hidden="1" customHeight="1">
      <c r="G3070" s="113"/>
      <c r="J3070" s="28">
        <f>IFERROR(VLOOKUP(TEXT(B3070,"0"),STOCK!A:H,7,0),1)</f>
        <v>1</v>
      </c>
    </row>
    <row r="3071" spans="7:10" ht="35.450000000000003" hidden="1" customHeight="1">
      <c r="G3071" s="113"/>
      <c r="J3071" s="28">
        <f>IFERROR(VLOOKUP(TEXT(B3071,"0"),STOCK!A:H,7,0),1)</f>
        <v>1</v>
      </c>
    </row>
    <row r="3072" spans="7:10" ht="35.450000000000003" hidden="1" customHeight="1">
      <c r="G3072" s="113"/>
      <c r="J3072" s="28">
        <f>IFERROR(VLOOKUP(TEXT(B3072,"0"),STOCK!A:H,7,0),1)</f>
        <v>1</v>
      </c>
    </row>
    <row r="3073" spans="7:10" ht="35.450000000000003" hidden="1" customHeight="1">
      <c r="G3073" s="113"/>
      <c r="J3073" s="28">
        <f>IFERROR(VLOOKUP(TEXT(B3073,"0"),STOCK!A:H,7,0),1)</f>
        <v>1</v>
      </c>
    </row>
    <row r="3074" spans="7:10" ht="35.450000000000003" hidden="1" customHeight="1">
      <c r="G3074" s="113"/>
      <c r="J3074" s="28">
        <f>IFERROR(VLOOKUP(TEXT(B3074,"0"),STOCK!A:H,7,0),1)</f>
        <v>1</v>
      </c>
    </row>
    <row r="3075" spans="7:10" ht="35.450000000000003" hidden="1" customHeight="1">
      <c r="G3075" s="113"/>
      <c r="J3075" s="28">
        <f>IFERROR(VLOOKUP(TEXT(B3075,"0"),STOCK!A:H,7,0),1)</f>
        <v>1</v>
      </c>
    </row>
    <row r="3076" spans="7:10" ht="35.450000000000003" hidden="1" customHeight="1">
      <c r="G3076" s="113"/>
      <c r="J3076" s="28">
        <f>IFERROR(VLOOKUP(TEXT(B3076,"0"),STOCK!A:H,7,0),1)</f>
        <v>1</v>
      </c>
    </row>
    <row r="3077" spans="7:10" ht="35.450000000000003" hidden="1" customHeight="1">
      <c r="G3077" s="113"/>
      <c r="J3077" s="28">
        <f>IFERROR(VLOOKUP(TEXT(B3077,"0"),STOCK!A:H,7,0),1)</f>
        <v>1</v>
      </c>
    </row>
    <row r="3078" spans="7:10" ht="35.450000000000003" hidden="1" customHeight="1">
      <c r="G3078" s="113"/>
      <c r="J3078" s="28">
        <f>IFERROR(VLOOKUP(TEXT(B3078,"0"),STOCK!A:H,7,0),1)</f>
        <v>1</v>
      </c>
    </row>
    <row r="3079" spans="7:10" ht="35.450000000000003" hidden="1" customHeight="1">
      <c r="G3079" s="113"/>
      <c r="J3079" s="28">
        <f>IFERROR(VLOOKUP(TEXT(B3079,"0"),STOCK!A:H,7,0),1)</f>
        <v>1</v>
      </c>
    </row>
    <row r="3080" spans="7:10" ht="35.450000000000003" hidden="1" customHeight="1">
      <c r="G3080" s="113"/>
      <c r="J3080" s="28">
        <f>IFERROR(VLOOKUP(TEXT(B3080,"0"),STOCK!A:H,7,0),1)</f>
        <v>1</v>
      </c>
    </row>
    <row r="3081" spans="7:10" ht="35.450000000000003" hidden="1" customHeight="1">
      <c r="G3081" s="113"/>
      <c r="J3081" s="28">
        <f>IFERROR(VLOOKUP(TEXT(B3081,"0"),STOCK!A:H,7,0),1)</f>
        <v>1</v>
      </c>
    </row>
    <row r="3082" spans="7:10" ht="35.450000000000003" hidden="1" customHeight="1">
      <c r="G3082" s="113"/>
      <c r="J3082" s="28">
        <f>IFERROR(VLOOKUP(TEXT(B3082,"0"),STOCK!A:H,7,0),1)</f>
        <v>1</v>
      </c>
    </row>
    <row r="3083" spans="7:10" ht="35.450000000000003" hidden="1" customHeight="1">
      <c r="G3083" s="113"/>
      <c r="J3083" s="28">
        <f>IFERROR(VLOOKUP(TEXT(B3083,"0"),STOCK!A:H,7,0),1)</f>
        <v>1</v>
      </c>
    </row>
    <row r="3084" spans="7:10" ht="35.450000000000003" hidden="1" customHeight="1">
      <c r="G3084" s="113"/>
      <c r="J3084" s="28">
        <f>IFERROR(VLOOKUP(TEXT(B3084,"0"),STOCK!A:H,7,0),1)</f>
        <v>1</v>
      </c>
    </row>
    <row r="3085" spans="7:10" ht="35.450000000000003" hidden="1" customHeight="1">
      <c r="G3085" s="113"/>
      <c r="J3085" s="28">
        <f>IFERROR(VLOOKUP(TEXT(B3085,"0"),STOCK!A:H,7,0),1)</f>
        <v>1</v>
      </c>
    </row>
    <row r="3086" spans="7:10" ht="35.450000000000003" hidden="1" customHeight="1">
      <c r="G3086" s="113"/>
      <c r="J3086" s="28">
        <f>IFERROR(VLOOKUP(TEXT(B3086,"0"),STOCK!A:H,7,0),1)</f>
        <v>1</v>
      </c>
    </row>
    <row r="3087" spans="7:10" ht="35.450000000000003" hidden="1" customHeight="1">
      <c r="G3087" s="113"/>
      <c r="J3087" s="28">
        <f>IFERROR(VLOOKUP(TEXT(B3087,"0"),STOCK!A:H,7,0),1)</f>
        <v>1</v>
      </c>
    </row>
    <row r="3088" spans="7:10" ht="35.450000000000003" hidden="1" customHeight="1">
      <c r="G3088" s="113"/>
      <c r="J3088" s="28">
        <f>IFERROR(VLOOKUP(TEXT(B3088,"0"),STOCK!A:H,7,0),1)</f>
        <v>1</v>
      </c>
    </row>
    <row r="3089" spans="7:10" ht="35.450000000000003" hidden="1" customHeight="1">
      <c r="G3089" s="113"/>
      <c r="J3089" s="28">
        <f>IFERROR(VLOOKUP(TEXT(B3089,"0"),STOCK!A:H,7,0),1)</f>
        <v>1</v>
      </c>
    </row>
    <row r="3090" spans="7:10" ht="35.450000000000003" hidden="1" customHeight="1">
      <c r="G3090" s="113"/>
      <c r="J3090" s="28">
        <f>IFERROR(VLOOKUP(TEXT(B3090,"0"),STOCK!A:H,7,0),1)</f>
        <v>1</v>
      </c>
    </row>
    <row r="3091" spans="7:10" ht="35.450000000000003" hidden="1" customHeight="1">
      <c r="G3091" s="113"/>
      <c r="J3091" s="28">
        <f>IFERROR(VLOOKUP(TEXT(B3091,"0"),STOCK!A:H,7,0),1)</f>
        <v>1</v>
      </c>
    </row>
    <row r="3092" spans="7:10" ht="35.450000000000003" hidden="1" customHeight="1">
      <c r="G3092" s="113"/>
      <c r="J3092" s="28">
        <f>IFERROR(VLOOKUP(TEXT(B3092,"0"),STOCK!A:H,7,0),1)</f>
        <v>1</v>
      </c>
    </row>
    <row r="3093" spans="7:10" ht="35.450000000000003" hidden="1" customHeight="1">
      <c r="G3093" s="113"/>
      <c r="J3093" s="28">
        <f>IFERROR(VLOOKUP(TEXT(B3093,"0"),STOCK!A:H,7,0),1)</f>
        <v>1</v>
      </c>
    </row>
    <row r="3094" spans="7:10" ht="35.450000000000003" hidden="1" customHeight="1">
      <c r="G3094" s="113"/>
      <c r="J3094" s="28">
        <f>IFERROR(VLOOKUP(TEXT(B3094,"0"),STOCK!A:H,7,0),1)</f>
        <v>1</v>
      </c>
    </row>
    <row r="3095" spans="7:10" ht="35.450000000000003" hidden="1" customHeight="1">
      <c r="G3095" s="113"/>
      <c r="J3095" s="28">
        <f>IFERROR(VLOOKUP(TEXT(B3095,"0"),STOCK!A:H,7,0),1)</f>
        <v>1</v>
      </c>
    </row>
    <row r="3096" spans="7:10" ht="35.450000000000003" hidden="1" customHeight="1">
      <c r="G3096" s="113"/>
      <c r="J3096" s="28">
        <f>IFERROR(VLOOKUP(TEXT(B3096,"0"),STOCK!A:H,7,0),1)</f>
        <v>1</v>
      </c>
    </row>
    <row r="3097" spans="7:10" ht="35.450000000000003" hidden="1" customHeight="1">
      <c r="G3097" s="113"/>
      <c r="J3097" s="28">
        <f>IFERROR(VLOOKUP(TEXT(B3097,"0"),STOCK!A:H,7,0),1)</f>
        <v>1</v>
      </c>
    </row>
    <row r="3098" spans="7:10" ht="35.450000000000003" hidden="1" customHeight="1">
      <c r="G3098" s="113"/>
      <c r="J3098" s="28">
        <f>IFERROR(VLOOKUP(TEXT(B3098,"0"),STOCK!A:H,7,0),1)</f>
        <v>1</v>
      </c>
    </row>
    <row r="3099" spans="7:10" ht="35.450000000000003" hidden="1" customHeight="1">
      <c r="G3099" s="113"/>
      <c r="J3099" s="28">
        <f>IFERROR(VLOOKUP(TEXT(B3099,"0"),STOCK!A:H,7,0),1)</f>
        <v>1</v>
      </c>
    </row>
    <row r="3100" spans="7:10" ht="35.450000000000003" hidden="1" customHeight="1">
      <c r="G3100" s="113"/>
      <c r="J3100" s="28">
        <f>IFERROR(VLOOKUP(TEXT(B3100,"0"),STOCK!A:H,7,0),1)</f>
        <v>1</v>
      </c>
    </row>
    <row r="3101" spans="7:10" ht="35.450000000000003" hidden="1" customHeight="1">
      <c r="G3101" s="113"/>
      <c r="J3101" s="28">
        <f>IFERROR(VLOOKUP(TEXT(B3101,"0"),STOCK!A:H,7,0),1)</f>
        <v>1</v>
      </c>
    </row>
    <row r="3102" spans="7:10" ht="35.450000000000003" hidden="1" customHeight="1">
      <c r="G3102" s="113"/>
      <c r="J3102" s="28">
        <f>IFERROR(VLOOKUP(TEXT(B3102,"0"),STOCK!A:H,7,0),1)</f>
        <v>1</v>
      </c>
    </row>
    <row r="3103" spans="7:10" ht="35.450000000000003" hidden="1" customHeight="1">
      <c r="G3103" s="113"/>
      <c r="J3103" s="28">
        <f>IFERROR(VLOOKUP(TEXT(B3103,"0"),STOCK!A:H,7,0),1)</f>
        <v>1</v>
      </c>
    </row>
    <row r="3104" spans="7:10" ht="35.450000000000003" hidden="1" customHeight="1">
      <c r="G3104" s="113"/>
      <c r="J3104" s="28">
        <f>IFERROR(VLOOKUP(TEXT(B3104,"0"),STOCK!A:H,7,0),1)</f>
        <v>1</v>
      </c>
    </row>
    <row r="3105" spans="7:10" ht="35.450000000000003" hidden="1" customHeight="1">
      <c r="G3105" s="113"/>
      <c r="J3105" s="28">
        <f>IFERROR(VLOOKUP(TEXT(B3105,"0"),STOCK!A:H,7,0),1)</f>
        <v>1</v>
      </c>
    </row>
    <row r="3106" spans="7:10" ht="35.450000000000003" hidden="1" customHeight="1">
      <c r="G3106" s="113"/>
      <c r="J3106" s="28">
        <f>IFERROR(VLOOKUP(TEXT(B3106,"0"),STOCK!A:H,7,0),1)</f>
        <v>1</v>
      </c>
    </row>
    <row r="3107" spans="7:10" ht="35.450000000000003" hidden="1" customHeight="1">
      <c r="G3107" s="113"/>
      <c r="J3107" s="28">
        <f>IFERROR(VLOOKUP(TEXT(B3107,"0"),STOCK!A:H,7,0),1)</f>
        <v>1</v>
      </c>
    </row>
    <row r="3108" spans="7:10" ht="35.450000000000003" hidden="1" customHeight="1">
      <c r="G3108" s="113"/>
      <c r="J3108" s="28">
        <f>IFERROR(VLOOKUP(TEXT(B3108,"0"),STOCK!A:H,7,0),1)</f>
        <v>1</v>
      </c>
    </row>
    <row r="3109" spans="7:10" ht="35.450000000000003" hidden="1" customHeight="1">
      <c r="G3109" s="113"/>
      <c r="J3109" s="28">
        <f>IFERROR(VLOOKUP(TEXT(B3109,"0"),STOCK!A:H,7,0),1)</f>
        <v>1</v>
      </c>
    </row>
    <row r="3110" spans="7:10" ht="35.450000000000003" hidden="1" customHeight="1">
      <c r="G3110" s="113"/>
      <c r="J3110" s="28">
        <f>IFERROR(VLOOKUP(TEXT(B3110,"0"),STOCK!A:H,7,0),1)</f>
        <v>1</v>
      </c>
    </row>
    <row r="3111" spans="7:10" ht="35.450000000000003" hidden="1" customHeight="1">
      <c r="G3111" s="113"/>
      <c r="J3111" s="28">
        <f>IFERROR(VLOOKUP(TEXT(B3111,"0"),STOCK!A:H,7,0),1)</f>
        <v>1</v>
      </c>
    </row>
    <row r="3112" spans="7:10" ht="35.450000000000003" hidden="1" customHeight="1">
      <c r="G3112" s="113"/>
      <c r="J3112" s="28">
        <f>IFERROR(VLOOKUP(TEXT(B3112,"0"),STOCK!A:H,7,0),1)</f>
        <v>1</v>
      </c>
    </row>
    <row r="3113" spans="7:10" ht="35.450000000000003" hidden="1" customHeight="1">
      <c r="G3113" s="113"/>
      <c r="J3113" s="28">
        <f>IFERROR(VLOOKUP(TEXT(B3113,"0"),STOCK!A:H,7,0),1)</f>
        <v>1</v>
      </c>
    </row>
    <row r="3114" spans="7:10" ht="35.450000000000003" hidden="1" customHeight="1">
      <c r="G3114" s="113"/>
      <c r="J3114" s="28">
        <f>IFERROR(VLOOKUP(TEXT(B3114,"0"),STOCK!A:H,7,0),1)</f>
        <v>1</v>
      </c>
    </row>
    <row r="3115" spans="7:10" ht="35.450000000000003" hidden="1" customHeight="1">
      <c r="G3115" s="113"/>
      <c r="J3115" s="28">
        <f>IFERROR(VLOOKUP(TEXT(B3115,"0"),STOCK!A:H,7,0),1)</f>
        <v>1</v>
      </c>
    </row>
    <row r="3116" spans="7:10" ht="35.450000000000003" hidden="1" customHeight="1">
      <c r="G3116" s="113"/>
      <c r="J3116" s="28">
        <f>IFERROR(VLOOKUP(TEXT(B3116,"0"),STOCK!A:H,7,0),1)</f>
        <v>1</v>
      </c>
    </row>
    <row r="3117" spans="7:10" ht="35.450000000000003" hidden="1" customHeight="1">
      <c r="G3117" s="113"/>
      <c r="J3117" s="28">
        <f>IFERROR(VLOOKUP(TEXT(B3117,"0"),STOCK!A:H,7,0),1)</f>
        <v>1</v>
      </c>
    </row>
    <row r="3118" spans="7:10" ht="35.450000000000003" hidden="1" customHeight="1">
      <c r="G3118" s="113"/>
      <c r="J3118" s="28">
        <f>IFERROR(VLOOKUP(TEXT(B3118,"0"),STOCK!A:H,7,0),1)</f>
        <v>1</v>
      </c>
    </row>
    <row r="3119" spans="7:10" ht="35.450000000000003" hidden="1" customHeight="1">
      <c r="G3119" s="113"/>
      <c r="J3119" s="28">
        <f>IFERROR(VLOOKUP(TEXT(B3119,"0"),STOCK!A:H,7,0),1)</f>
        <v>1</v>
      </c>
    </row>
    <row r="3120" spans="7:10" ht="35.450000000000003" hidden="1" customHeight="1">
      <c r="G3120" s="113"/>
      <c r="J3120" s="28">
        <f>IFERROR(VLOOKUP(TEXT(B3120,"0"),STOCK!A:H,7,0),1)</f>
        <v>1</v>
      </c>
    </row>
    <row r="3121" spans="7:10" ht="35.450000000000003" hidden="1" customHeight="1">
      <c r="G3121" s="113"/>
      <c r="J3121" s="28">
        <f>IFERROR(VLOOKUP(TEXT(B3121,"0"),STOCK!A:H,7,0),1)</f>
        <v>1</v>
      </c>
    </row>
    <row r="3122" spans="7:10" ht="35.450000000000003" hidden="1" customHeight="1">
      <c r="G3122" s="113"/>
      <c r="J3122" s="28">
        <f>IFERROR(VLOOKUP(TEXT(B3122,"0"),STOCK!A:H,7,0),1)</f>
        <v>1</v>
      </c>
    </row>
    <row r="3123" spans="7:10" ht="35.450000000000003" hidden="1" customHeight="1">
      <c r="G3123" s="113"/>
      <c r="J3123" s="28">
        <f>IFERROR(VLOOKUP(TEXT(B3123,"0"),STOCK!A:H,7,0),1)</f>
        <v>1</v>
      </c>
    </row>
    <row r="3124" spans="7:10" ht="35.450000000000003" hidden="1" customHeight="1">
      <c r="G3124" s="113"/>
      <c r="J3124" s="28">
        <f>IFERROR(VLOOKUP(TEXT(B3124,"0"),STOCK!A:H,7,0),1)</f>
        <v>1</v>
      </c>
    </row>
    <row r="3125" spans="7:10" ht="35.450000000000003" hidden="1" customHeight="1">
      <c r="G3125" s="113"/>
      <c r="J3125" s="28">
        <f>IFERROR(VLOOKUP(TEXT(B3125,"0"),STOCK!A:H,7,0),1)</f>
        <v>1</v>
      </c>
    </row>
    <row r="3126" spans="7:10" ht="35.450000000000003" hidden="1" customHeight="1">
      <c r="G3126" s="113"/>
      <c r="J3126" s="28">
        <f>IFERROR(VLOOKUP(TEXT(B3126,"0"),STOCK!A:H,7,0),1)</f>
        <v>1</v>
      </c>
    </row>
    <row r="3127" spans="7:10" ht="35.450000000000003" hidden="1" customHeight="1">
      <c r="G3127" s="113"/>
      <c r="J3127" s="28">
        <f>IFERROR(VLOOKUP(TEXT(B3127,"0"),STOCK!A:H,7,0),1)</f>
        <v>1</v>
      </c>
    </row>
    <row r="3128" spans="7:10" ht="35.450000000000003" hidden="1" customHeight="1">
      <c r="G3128" s="113"/>
      <c r="J3128" s="28">
        <f>IFERROR(VLOOKUP(TEXT(B3128,"0"),STOCK!A:H,7,0),1)</f>
        <v>1</v>
      </c>
    </row>
    <row r="3129" spans="7:10" ht="35.450000000000003" hidden="1" customHeight="1">
      <c r="G3129" s="113"/>
      <c r="J3129" s="28">
        <f>IFERROR(VLOOKUP(TEXT(B3129,"0"),STOCK!A:H,7,0),1)</f>
        <v>1</v>
      </c>
    </row>
    <row r="3130" spans="7:10" ht="35.450000000000003" hidden="1" customHeight="1">
      <c r="G3130" s="113"/>
      <c r="J3130" s="28">
        <f>IFERROR(VLOOKUP(TEXT(B3130,"0"),STOCK!A:H,7,0),1)</f>
        <v>1</v>
      </c>
    </row>
    <row r="3131" spans="7:10" ht="35.450000000000003" hidden="1" customHeight="1">
      <c r="G3131" s="113"/>
      <c r="J3131" s="28">
        <f>IFERROR(VLOOKUP(TEXT(B3131,"0"),STOCK!A:H,7,0),1)</f>
        <v>1</v>
      </c>
    </row>
    <row r="3132" spans="7:10" ht="35.450000000000003" hidden="1" customHeight="1">
      <c r="G3132" s="113"/>
      <c r="J3132" s="28">
        <f>IFERROR(VLOOKUP(TEXT(B3132,"0"),STOCK!A:H,7,0),1)</f>
        <v>1</v>
      </c>
    </row>
    <row r="3133" spans="7:10" ht="35.450000000000003" hidden="1" customHeight="1">
      <c r="G3133" s="113"/>
      <c r="J3133" s="28">
        <f>IFERROR(VLOOKUP(TEXT(B3133,"0"),STOCK!A:H,7,0),1)</f>
        <v>1</v>
      </c>
    </row>
    <row r="3134" spans="7:10" ht="35.450000000000003" hidden="1" customHeight="1">
      <c r="G3134" s="113"/>
      <c r="J3134" s="28">
        <f>IFERROR(VLOOKUP(TEXT(B3134,"0"),STOCK!A:H,7,0),1)</f>
        <v>1</v>
      </c>
    </row>
    <row r="3135" spans="7:10" ht="35.450000000000003" hidden="1" customHeight="1">
      <c r="G3135" s="113"/>
      <c r="J3135" s="28">
        <f>IFERROR(VLOOKUP(TEXT(B3135,"0"),STOCK!A:H,7,0),1)</f>
        <v>1</v>
      </c>
    </row>
    <row r="3136" spans="7:10" ht="35.450000000000003" hidden="1" customHeight="1">
      <c r="G3136" s="113"/>
      <c r="J3136" s="28">
        <f>IFERROR(VLOOKUP(TEXT(B3136,"0"),STOCK!A:H,7,0),1)</f>
        <v>1</v>
      </c>
    </row>
    <row r="3137" spans="7:10" ht="35.450000000000003" hidden="1" customHeight="1">
      <c r="G3137" s="113"/>
      <c r="J3137" s="28">
        <f>IFERROR(VLOOKUP(TEXT(B3137,"0"),STOCK!A:H,7,0),1)</f>
        <v>1</v>
      </c>
    </row>
    <row r="3138" spans="7:10" ht="35.450000000000003" hidden="1" customHeight="1">
      <c r="G3138" s="113"/>
      <c r="J3138" s="28">
        <f>IFERROR(VLOOKUP(TEXT(B3138,"0"),STOCK!A:H,7,0),1)</f>
        <v>1</v>
      </c>
    </row>
    <row r="3139" spans="7:10" ht="35.450000000000003" hidden="1" customHeight="1">
      <c r="G3139" s="113"/>
      <c r="J3139" s="28">
        <f>IFERROR(VLOOKUP(TEXT(B3139,"0"),STOCK!A:H,7,0),1)</f>
        <v>1</v>
      </c>
    </row>
    <row r="3140" spans="7:10" ht="35.450000000000003" hidden="1" customHeight="1">
      <c r="G3140" s="113"/>
      <c r="J3140" s="28">
        <f>IFERROR(VLOOKUP(TEXT(B3140,"0"),STOCK!A:H,7,0),1)</f>
        <v>1</v>
      </c>
    </row>
    <row r="3141" spans="7:10" ht="35.450000000000003" hidden="1" customHeight="1">
      <c r="G3141" s="113"/>
      <c r="J3141" s="28">
        <f>IFERROR(VLOOKUP(TEXT(B3141,"0"),STOCK!A:H,7,0),1)</f>
        <v>1</v>
      </c>
    </row>
    <row r="3142" spans="7:10" ht="35.450000000000003" hidden="1" customHeight="1">
      <c r="G3142" s="113"/>
      <c r="J3142" s="28">
        <f>IFERROR(VLOOKUP(TEXT(B3142,"0"),STOCK!A:H,7,0),1)</f>
        <v>1</v>
      </c>
    </row>
    <row r="3143" spans="7:10" ht="35.450000000000003" hidden="1" customHeight="1">
      <c r="G3143" s="113"/>
      <c r="J3143" s="28">
        <f>IFERROR(VLOOKUP(TEXT(B3143,"0"),STOCK!A:H,7,0),1)</f>
        <v>1</v>
      </c>
    </row>
    <row r="3144" spans="7:10" ht="35.450000000000003" hidden="1" customHeight="1">
      <c r="G3144" s="113"/>
      <c r="J3144" s="28">
        <f>IFERROR(VLOOKUP(TEXT(B3144,"0"),STOCK!A:H,7,0),1)</f>
        <v>1</v>
      </c>
    </row>
    <row r="3145" spans="7:10" ht="35.450000000000003" hidden="1" customHeight="1">
      <c r="G3145" s="113"/>
      <c r="J3145" s="28">
        <f>IFERROR(VLOOKUP(TEXT(B3145,"0"),STOCK!A:H,7,0),1)</f>
        <v>1</v>
      </c>
    </row>
    <row r="3146" spans="7:10" ht="35.450000000000003" hidden="1" customHeight="1">
      <c r="G3146" s="113"/>
      <c r="J3146" s="28">
        <f>IFERROR(VLOOKUP(TEXT(B3146,"0"),STOCK!A:H,7,0),1)</f>
        <v>1</v>
      </c>
    </row>
    <row r="3147" spans="7:10" ht="35.450000000000003" hidden="1" customHeight="1">
      <c r="G3147" s="113"/>
      <c r="J3147" s="28">
        <f>IFERROR(VLOOKUP(TEXT(B3147,"0"),STOCK!A:H,7,0),1)</f>
        <v>1</v>
      </c>
    </row>
    <row r="3148" spans="7:10" ht="35.450000000000003" hidden="1" customHeight="1">
      <c r="G3148" s="113"/>
      <c r="J3148" s="28">
        <f>IFERROR(VLOOKUP(TEXT(B3148,"0"),STOCK!A:H,7,0),1)</f>
        <v>1</v>
      </c>
    </row>
    <row r="3149" spans="7:10" ht="35.450000000000003" hidden="1" customHeight="1">
      <c r="G3149" s="113"/>
      <c r="J3149" s="28">
        <f>IFERROR(VLOOKUP(TEXT(B3149,"0"),STOCK!A:H,7,0),1)</f>
        <v>1</v>
      </c>
    </row>
    <row r="3150" spans="7:10" ht="35.450000000000003" hidden="1" customHeight="1">
      <c r="G3150" s="113"/>
      <c r="J3150" s="28">
        <f>IFERROR(VLOOKUP(TEXT(B3150,"0"),STOCK!A:H,7,0),1)</f>
        <v>1</v>
      </c>
    </row>
    <row r="3151" spans="7:10" ht="35.450000000000003" hidden="1" customHeight="1">
      <c r="G3151" s="113"/>
      <c r="J3151" s="28">
        <f>IFERROR(VLOOKUP(TEXT(B3151,"0"),STOCK!A:H,7,0),1)</f>
        <v>1</v>
      </c>
    </row>
    <row r="3152" spans="7:10" ht="35.450000000000003" hidden="1" customHeight="1">
      <c r="G3152" s="113"/>
      <c r="J3152" s="28">
        <f>IFERROR(VLOOKUP(TEXT(B3152,"0"),STOCK!A:H,7,0),1)</f>
        <v>1</v>
      </c>
    </row>
    <row r="3153" spans="7:10" ht="35.450000000000003" hidden="1" customHeight="1">
      <c r="G3153" s="113"/>
      <c r="J3153" s="28">
        <f>IFERROR(VLOOKUP(TEXT(B3153,"0"),STOCK!A:H,7,0),1)</f>
        <v>1</v>
      </c>
    </row>
    <row r="3154" spans="7:10" ht="35.450000000000003" hidden="1" customHeight="1">
      <c r="G3154" s="113"/>
      <c r="J3154" s="28">
        <f>IFERROR(VLOOKUP(TEXT(B3154,"0"),STOCK!A:H,7,0),1)</f>
        <v>1</v>
      </c>
    </row>
    <row r="3155" spans="7:10" ht="35.450000000000003" hidden="1" customHeight="1">
      <c r="G3155" s="113"/>
      <c r="J3155" s="28">
        <f>IFERROR(VLOOKUP(TEXT(B3155,"0"),STOCK!A:H,7,0),1)</f>
        <v>1</v>
      </c>
    </row>
    <row r="3156" spans="7:10" ht="35.450000000000003" hidden="1" customHeight="1">
      <c r="G3156" s="113"/>
      <c r="J3156" s="28">
        <f>IFERROR(VLOOKUP(TEXT(B3156,"0"),STOCK!A:H,7,0),1)</f>
        <v>1</v>
      </c>
    </row>
    <row r="3157" spans="7:10" ht="35.450000000000003" hidden="1" customHeight="1">
      <c r="G3157" s="113"/>
      <c r="J3157" s="28">
        <f>IFERROR(VLOOKUP(TEXT(B3157,"0"),STOCK!A:H,7,0),1)</f>
        <v>1</v>
      </c>
    </row>
    <row r="3158" spans="7:10" ht="35.450000000000003" hidden="1" customHeight="1">
      <c r="G3158" s="113"/>
      <c r="J3158" s="28">
        <f>IFERROR(VLOOKUP(TEXT(B3158,"0"),STOCK!A:H,7,0),1)</f>
        <v>1</v>
      </c>
    </row>
    <row r="3159" spans="7:10" ht="35.450000000000003" hidden="1" customHeight="1">
      <c r="G3159" s="113"/>
      <c r="J3159" s="28">
        <f>IFERROR(VLOOKUP(TEXT(B3159,"0"),STOCK!A:H,7,0),1)</f>
        <v>1</v>
      </c>
    </row>
    <row r="3160" spans="7:10" ht="35.450000000000003" hidden="1" customHeight="1">
      <c r="G3160" s="113"/>
      <c r="J3160" s="28">
        <f>IFERROR(VLOOKUP(TEXT(B3160,"0"),STOCK!A:H,7,0),1)</f>
        <v>1</v>
      </c>
    </row>
    <row r="3161" spans="7:10" ht="35.450000000000003" hidden="1" customHeight="1">
      <c r="G3161" s="113"/>
      <c r="J3161" s="28">
        <f>IFERROR(VLOOKUP(TEXT(B3161,"0"),STOCK!A:H,7,0),1)</f>
        <v>1</v>
      </c>
    </row>
    <row r="3162" spans="7:10" ht="35.450000000000003" hidden="1" customHeight="1">
      <c r="G3162" s="113"/>
      <c r="J3162" s="28">
        <f>IFERROR(VLOOKUP(TEXT(B3162,"0"),STOCK!A:H,7,0),1)</f>
        <v>1</v>
      </c>
    </row>
    <row r="3163" spans="7:10" ht="35.450000000000003" hidden="1" customHeight="1">
      <c r="G3163" s="113"/>
      <c r="J3163" s="28">
        <f>IFERROR(VLOOKUP(TEXT(B3163,"0"),STOCK!A:H,7,0),1)</f>
        <v>1</v>
      </c>
    </row>
    <row r="3164" spans="7:10" ht="35.450000000000003" hidden="1" customHeight="1">
      <c r="G3164" s="113"/>
      <c r="J3164" s="28">
        <f>IFERROR(VLOOKUP(TEXT(B3164,"0"),STOCK!A:H,7,0),1)</f>
        <v>1</v>
      </c>
    </row>
    <row r="3165" spans="7:10" ht="35.450000000000003" hidden="1" customHeight="1">
      <c r="G3165" s="113"/>
      <c r="J3165" s="28">
        <f>IFERROR(VLOOKUP(TEXT(B3165,"0"),STOCK!A:H,7,0),1)</f>
        <v>1</v>
      </c>
    </row>
    <row r="3166" spans="7:10" ht="35.450000000000003" hidden="1" customHeight="1">
      <c r="G3166" s="113"/>
      <c r="J3166" s="28">
        <f>IFERROR(VLOOKUP(TEXT(B3166,"0"),STOCK!A:H,7,0),1)</f>
        <v>1</v>
      </c>
    </row>
    <row r="3167" spans="7:10" ht="35.450000000000003" hidden="1" customHeight="1">
      <c r="G3167" s="113"/>
      <c r="J3167" s="28">
        <f>IFERROR(VLOOKUP(TEXT(B3167,"0"),STOCK!A:H,7,0),1)</f>
        <v>1</v>
      </c>
    </row>
    <row r="3168" spans="7:10" ht="35.450000000000003" hidden="1" customHeight="1">
      <c r="G3168" s="113"/>
      <c r="J3168" s="28">
        <f>IFERROR(VLOOKUP(TEXT(B3168,"0"),STOCK!A:H,7,0),1)</f>
        <v>1</v>
      </c>
    </row>
    <row r="3169" spans="7:10" ht="35.450000000000003" hidden="1" customHeight="1">
      <c r="G3169" s="113"/>
      <c r="J3169" s="28">
        <f>IFERROR(VLOOKUP(TEXT(B3169,"0"),STOCK!A:H,7,0),1)</f>
        <v>1</v>
      </c>
    </row>
    <row r="3170" spans="7:10" ht="35.450000000000003" hidden="1" customHeight="1">
      <c r="G3170" s="113"/>
      <c r="J3170" s="28">
        <f>IFERROR(VLOOKUP(TEXT(B3170,"0"),STOCK!A:H,7,0),1)</f>
        <v>1</v>
      </c>
    </row>
    <row r="3171" spans="7:10" ht="35.450000000000003" hidden="1" customHeight="1">
      <c r="G3171" s="113"/>
      <c r="J3171" s="28">
        <f>IFERROR(VLOOKUP(TEXT(B3171,"0"),STOCK!A:H,7,0),1)</f>
        <v>1</v>
      </c>
    </row>
    <row r="3172" spans="7:10" ht="35.450000000000003" hidden="1" customHeight="1">
      <c r="G3172" s="113"/>
      <c r="J3172" s="28">
        <f>IFERROR(VLOOKUP(TEXT(B3172,"0"),STOCK!A:H,7,0),1)</f>
        <v>1</v>
      </c>
    </row>
    <row r="3173" spans="7:10" ht="35.450000000000003" hidden="1" customHeight="1">
      <c r="G3173" s="113"/>
      <c r="J3173" s="28">
        <f>IFERROR(VLOOKUP(TEXT(B3173,"0"),STOCK!A:H,7,0),1)</f>
        <v>1</v>
      </c>
    </row>
    <row r="3174" spans="7:10" ht="35.450000000000003" hidden="1" customHeight="1">
      <c r="G3174" s="113"/>
      <c r="J3174" s="28">
        <f>IFERROR(VLOOKUP(TEXT(B3174,"0"),STOCK!A:H,7,0),1)</f>
        <v>1</v>
      </c>
    </row>
    <row r="3175" spans="7:10" ht="35.450000000000003" hidden="1" customHeight="1">
      <c r="G3175" s="113"/>
      <c r="J3175" s="28">
        <f>IFERROR(VLOOKUP(TEXT(B3175,"0"),STOCK!A:H,7,0),1)</f>
        <v>1</v>
      </c>
    </row>
    <row r="3176" spans="7:10" ht="35.450000000000003" hidden="1" customHeight="1">
      <c r="G3176" s="113"/>
      <c r="J3176" s="28">
        <f>IFERROR(VLOOKUP(TEXT(B3176,"0"),STOCK!A:H,7,0),1)</f>
        <v>1</v>
      </c>
    </row>
    <row r="3177" spans="7:10" ht="35.450000000000003" hidden="1" customHeight="1">
      <c r="G3177" s="113"/>
      <c r="J3177" s="28">
        <f>IFERROR(VLOOKUP(TEXT(B3177,"0"),STOCK!A:H,7,0),1)</f>
        <v>1</v>
      </c>
    </row>
    <row r="3178" spans="7:10" ht="35.450000000000003" hidden="1" customHeight="1">
      <c r="G3178" s="113"/>
      <c r="J3178" s="28">
        <f>IFERROR(VLOOKUP(TEXT(B3178,"0"),STOCK!A:H,7,0),1)</f>
        <v>1</v>
      </c>
    </row>
    <row r="3179" spans="7:10" ht="35.450000000000003" hidden="1" customHeight="1">
      <c r="G3179" s="113"/>
      <c r="J3179" s="28">
        <f>IFERROR(VLOOKUP(TEXT(B3179,"0"),STOCK!A:H,7,0),1)</f>
        <v>1</v>
      </c>
    </row>
    <row r="3180" spans="7:10" ht="35.450000000000003" hidden="1" customHeight="1">
      <c r="G3180" s="113"/>
      <c r="J3180" s="28">
        <f>IFERROR(VLOOKUP(TEXT(B3180,"0"),STOCK!A:H,7,0),1)</f>
        <v>1</v>
      </c>
    </row>
    <row r="3181" spans="7:10" ht="35.450000000000003" hidden="1" customHeight="1">
      <c r="G3181" s="113"/>
      <c r="J3181" s="28">
        <f>IFERROR(VLOOKUP(TEXT(B3181,"0"),STOCK!A:H,7,0),1)</f>
        <v>1</v>
      </c>
    </row>
    <row r="3182" spans="7:10" ht="35.450000000000003" hidden="1" customHeight="1">
      <c r="G3182" s="113"/>
      <c r="J3182" s="28">
        <f>IFERROR(VLOOKUP(TEXT(B3182,"0"),STOCK!A:H,7,0),1)</f>
        <v>1</v>
      </c>
    </row>
    <row r="3183" spans="7:10" ht="35.450000000000003" hidden="1" customHeight="1">
      <c r="G3183" s="113"/>
      <c r="J3183" s="28">
        <f>IFERROR(VLOOKUP(TEXT(B3183,"0"),STOCK!A:H,7,0),1)</f>
        <v>1</v>
      </c>
    </row>
    <row r="3184" spans="7:10" ht="35.450000000000003" hidden="1" customHeight="1">
      <c r="G3184" s="113"/>
      <c r="J3184" s="28">
        <f>IFERROR(VLOOKUP(TEXT(B3184,"0"),STOCK!A:H,7,0),1)</f>
        <v>1</v>
      </c>
    </row>
    <row r="3185" spans="7:10" ht="35.450000000000003" hidden="1" customHeight="1">
      <c r="G3185" s="113"/>
      <c r="J3185" s="28">
        <f>IFERROR(VLOOKUP(TEXT(B3185,"0"),STOCK!A:H,7,0),1)</f>
        <v>1</v>
      </c>
    </row>
    <row r="3186" spans="7:10" ht="35.450000000000003" hidden="1" customHeight="1">
      <c r="G3186" s="113"/>
      <c r="J3186" s="28">
        <f>IFERROR(VLOOKUP(TEXT(B3186,"0"),STOCK!A:H,7,0),1)</f>
        <v>1</v>
      </c>
    </row>
    <row r="3187" spans="7:10" ht="35.450000000000003" hidden="1" customHeight="1">
      <c r="G3187" s="113"/>
      <c r="J3187" s="28">
        <f>IFERROR(VLOOKUP(TEXT(B3187,"0"),STOCK!A:H,7,0),1)</f>
        <v>1</v>
      </c>
    </row>
    <row r="3188" spans="7:10" ht="35.450000000000003" hidden="1" customHeight="1">
      <c r="G3188" s="113"/>
      <c r="J3188" s="28">
        <f>IFERROR(VLOOKUP(TEXT(B3188,"0"),STOCK!A:H,7,0),1)</f>
        <v>1</v>
      </c>
    </row>
    <row r="3189" spans="7:10" ht="35.450000000000003" hidden="1" customHeight="1">
      <c r="G3189" s="113"/>
      <c r="J3189" s="28">
        <f>IFERROR(VLOOKUP(TEXT(B3189,"0"),STOCK!A:H,7,0),1)</f>
        <v>1</v>
      </c>
    </row>
    <row r="3190" spans="7:10" ht="35.450000000000003" hidden="1" customHeight="1">
      <c r="G3190" s="113"/>
      <c r="J3190" s="28">
        <f>IFERROR(VLOOKUP(TEXT(B3190,"0"),STOCK!A:H,7,0),1)</f>
        <v>1</v>
      </c>
    </row>
    <row r="3191" spans="7:10" ht="35.450000000000003" hidden="1" customHeight="1">
      <c r="G3191" s="113"/>
      <c r="J3191" s="28">
        <f>IFERROR(VLOOKUP(TEXT(B3191,"0"),STOCK!A:H,7,0),1)</f>
        <v>1</v>
      </c>
    </row>
    <row r="3192" spans="7:10" ht="35.450000000000003" hidden="1" customHeight="1">
      <c r="G3192" s="113"/>
      <c r="J3192" s="28">
        <f>IFERROR(VLOOKUP(TEXT(B3192,"0"),STOCK!A:H,7,0),1)</f>
        <v>1</v>
      </c>
    </row>
    <row r="3193" spans="7:10" ht="35.450000000000003" hidden="1" customHeight="1">
      <c r="G3193" s="113"/>
      <c r="J3193" s="28">
        <f>IFERROR(VLOOKUP(TEXT(B3193,"0"),STOCK!A:H,7,0),1)</f>
        <v>1</v>
      </c>
    </row>
    <row r="3194" spans="7:10" ht="35.450000000000003" hidden="1" customHeight="1">
      <c r="G3194" s="113"/>
      <c r="J3194" s="28">
        <f>IFERROR(VLOOKUP(TEXT(B3194,"0"),STOCK!A:H,7,0),1)</f>
        <v>1</v>
      </c>
    </row>
    <row r="3195" spans="7:10" ht="35.450000000000003" hidden="1" customHeight="1">
      <c r="G3195" s="113"/>
      <c r="J3195" s="28">
        <f>IFERROR(VLOOKUP(TEXT(B3195,"0"),STOCK!A:H,7,0),1)</f>
        <v>1</v>
      </c>
    </row>
    <row r="3196" spans="7:10" ht="35.450000000000003" hidden="1" customHeight="1">
      <c r="G3196" s="113"/>
      <c r="J3196" s="28">
        <f>IFERROR(VLOOKUP(TEXT(B3196,"0"),STOCK!A:H,7,0),1)</f>
        <v>1</v>
      </c>
    </row>
    <row r="3197" spans="7:10" ht="35.450000000000003" hidden="1" customHeight="1">
      <c r="G3197" s="113"/>
      <c r="J3197" s="28">
        <f>IFERROR(VLOOKUP(TEXT(B3197,"0"),STOCK!A:H,7,0),1)</f>
        <v>1</v>
      </c>
    </row>
    <row r="3198" spans="7:10" ht="35.450000000000003" hidden="1" customHeight="1">
      <c r="G3198" s="113"/>
      <c r="J3198" s="28">
        <f>IFERROR(VLOOKUP(TEXT(B3198,"0"),STOCK!A:H,7,0),1)</f>
        <v>1</v>
      </c>
    </row>
    <row r="3199" spans="7:10" ht="35.450000000000003" hidden="1" customHeight="1">
      <c r="G3199" s="113"/>
      <c r="J3199" s="28">
        <f>IFERROR(VLOOKUP(TEXT(B3199,"0"),STOCK!A:H,7,0),1)</f>
        <v>1</v>
      </c>
    </row>
    <row r="3200" spans="7:10" ht="35.450000000000003" hidden="1" customHeight="1">
      <c r="G3200" s="113"/>
      <c r="J3200" s="28">
        <f>IFERROR(VLOOKUP(TEXT(B3200,"0"),STOCK!A:H,7,0),1)</f>
        <v>1</v>
      </c>
    </row>
    <row r="3201" spans="7:10" ht="35.450000000000003" hidden="1" customHeight="1">
      <c r="G3201" s="113"/>
      <c r="J3201" s="28">
        <f>IFERROR(VLOOKUP(TEXT(B3201,"0"),STOCK!A:H,7,0),1)</f>
        <v>1</v>
      </c>
    </row>
    <row r="3202" spans="7:10" ht="35.450000000000003" hidden="1" customHeight="1">
      <c r="G3202" s="113"/>
      <c r="J3202" s="28">
        <f>IFERROR(VLOOKUP(TEXT(B3202,"0"),STOCK!A:H,7,0),1)</f>
        <v>1</v>
      </c>
    </row>
    <row r="3203" spans="7:10" ht="35.450000000000003" hidden="1" customHeight="1">
      <c r="G3203" s="113"/>
      <c r="J3203" s="28">
        <f>IFERROR(VLOOKUP(TEXT(B3203,"0"),STOCK!A:H,7,0),1)</f>
        <v>1</v>
      </c>
    </row>
    <row r="3204" spans="7:10" ht="35.450000000000003" hidden="1" customHeight="1">
      <c r="G3204" s="113"/>
      <c r="J3204" s="28">
        <f>IFERROR(VLOOKUP(TEXT(B3204,"0"),STOCK!A:H,7,0),1)</f>
        <v>1</v>
      </c>
    </row>
    <row r="3205" spans="7:10" ht="35.450000000000003" hidden="1" customHeight="1">
      <c r="G3205" s="113"/>
      <c r="J3205" s="28">
        <f>IFERROR(VLOOKUP(TEXT(B3205,"0"),STOCK!A:H,7,0),1)</f>
        <v>1</v>
      </c>
    </row>
    <row r="3206" spans="7:10" ht="35.450000000000003" hidden="1" customHeight="1">
      <c r="G3206" s="113"/>
      <c r="J3206" s="28">
        <f>IFERROR(VLOOKUP(TEXT(B3206,"0"),STOCK!A:H,7,0),1)</f>
        <v>1</v>
      </c>
    </row>
    <row r="3207" spans="7:10" ht="35.450000000000003" hidden="1" customHeight="1">
      <c r="G3207" s="113"/>
      <c r="J3207" s="28">
        <f>IFERROR(VLOOKUP(TEXT(B3207,"0"),STOCK!A:H,7,0),1)</f>
        <v>1</v>
      </c>
    </row>
    <row r="3208" spans="7:10" ht="35.450000000000003" hidden="1" customHeight="1">
      <c r="G3208" s="113"/>
      <c r="J3208" s="28">
        <f>IFERROR(VLOOKUP(TEXT(B3208,"0"),STOCK!A:H,7,0),1)</f>
        <v>1</v>
      </c>
    </row>
    <row r="3209" spans="7:10" ht="35.450000000000003" hidden="1" customHeight="1">
      <c r="G3209" s="113"/>
      <c r="J3209" s="28">
        <f>IFERROR(VLOOKUP(TEXT(B3209,"0"),STOCK!A:H,7,0),1)</f>
        <v>1</v>
      </c>
    </row>
    <row r="3210" spans="7:10" ht="35.450000000000003" hidden="1" customHeight="1">
      <c r="G3210" s="113"/>
      <c r="J3210" s="28">
        <f>IFERROR(VLOOKUP(TEXT(B3210,"0"),STOCK!A:H,7,0),1)</f>
        <v>1</v>
      </c>
    </row>
    <row r="3211" spans="7:10" ht="35.450000000000003" hidden="1" customHeight="1">
      <c r="G3211" s="113"/>
      <c r="J3211" s="28">
        <f>IFERROR(VLOOKUP(TEXT(B3211,"0"),STOCK!A:H,7,0),1)</f>
        <v>1</v>
      </c>
    </row>
    <row r="3212" spans="7:10" ht="35.450000000000003" hidden="1" customHeight="1">
      <c r="G3212" s="113"/>
      <c r="J3212" s="28">
        <f>IFERROR(VLOOKUP(TEXT(B3212,"0"),STOCK!A:H,7,0),1)</f>
        <v>1</v>
      </c>
    </row>
    <row r="3213" spans="7:10" ht="35.450000000000003" hidden="1" customHeight="1">
      <c r="G3213" s="113"/>
      <c r="J3213" s="28">
        <f>IFERROR(VLOOKUP(TEXT(B3213,"0"),STOCK!A:H,7,0),1)</f>
        <v>1</v>
      </c>
    </row>
    <row r="3214" spans="7:10" ht="35.450000000000003" hidden="1" customHeight="1">
      <c r="G3214" s="113"/>
      <c r="J3214" s="28">
        <f>IFERROR(VLOOKUP(TEXT(B3214,"0"),STOCK!A:H,7,0),1)</f>
        <v>1</v>
      </c>
    </row>
    <row r="3215" spans="7:10" ht="35.450000000000003" hidden="1" customHeight="1">
      <c r="G3215" s="113"/>
      <c r="J3215" s="28">
        <f>IFERROR(VLOOKUP(TEXT(B3215,"0"),STOCK!A:H,7,0),1)</f>
        <v>1</v>
      </c>
    </row>
    <row r="3216" spans="7:10" ht="35.450000000000003" hidden="1" customHeight="1">
      <c r="G3216" s="113"/>
      <c r="J3216" s="28">
        <f>IFERROR(VLOOKUP(TEXT(B3216,"0"),STOCK!A:H,7,0),1)</f>
        <v>1</v>
      </c>
    </row>
    <row r="3217" spans="7:10" ht="35.450000000000003" hidden="1" customHeight="1">
      <c r="G3217" s="113"/>
      <c r="J3217" s="28">
        <f>IFERROR(VLOOKUP(TEXT(B3217,"0"),STOCK!A:H,7,0),1)</f>
        <v>1</v>
      </c>
    </row>
    <row r="3218" spans="7:10" ht="35.450000000000003" hidden="1" customHeight="1">
      <c r="G3218" s="113"/>
      <c r="J3218" s="28">
        <f>IFERROR(VLOOKUP(TEXT(B3218,"0"),STOCK!A:H,7,0),1)</f>
        <v>1</v>
      </c>
    </row>
    <row r="3219" spans="7:10" ht="35.450000000000003" hidden="1" customHeight="1">
      <c r="G3219" s="113"/>
      <c r="J3219" s="28">
        <f>IFERROR(VLOOKUP(TEXT(B3219,"0"),STOCK!A:H,7,0),1)</f>
        <v>1</v>
      </c>
    </row>
    <row r="3220" spans="7:10" ht="35.450000000000003" hidden="1" customHeight="1">
      <c r="G3220" s="113"/>
      <c r="J3220" s="28">
        <f>IFERROR(VLOOKUP(TEXT(B3220,"0"),STOCK!A:H,7,0),1)</f>
        <v>1</v>
      </c>
    </row>
    <row r="3221" spans="7:10" ht="35.450000000000003" hidden="1" customHeight="1">
      <c r="G3221" s="113"/>
      <c r="J3221" s="28">
        <f>IFERROR(VLOOKUP(TEXT(B3221,"0"),STOCK!A:H,7,0),1)</f>
        <v>1</v>
      </c>
    </row>
    <row r="3222" spans="7:10" ht="35.450000000000003" hidden="1" customHeight="1">
      <c r="G3222" s="113"/>
      <c r="J3222" s="28">
        <f>IFERROR(VLOOKUP(TEXT(B3222,"0"),STOCK!A:H,7,0),1)</f>
        <v>1</v>
      </c>
    </row>
    <row r="3223" spans="7:10" ht="35.450000000000003" hidden="1" customHeight="1">
      <c r="G3223" s="113"/>
      <c r="J3223" s="28">
        <f>IFERROR(VLOOKUP(TEXT(B3223,"0"),STOCK!A:H,7,0),1)</f>
        <v>1</v>
      </c>
    </row>
    <row r="3224" spans="7:10" ht="35.450000000000003" hidden="1" customHeight="1">
      <c r="G3224" s="113"/>
      <c r="J3224" s="28">
        <f>IFERROR(VLOOKUP(TEXT(B3224,"0"),STOCK!A:H,7,0),1)</f>
        <v>1</v>
      </c>
    </row>
    <row r="3225" spans="7:10" ht="35.450000000000003" hidden="1" customHeight="1">
      <c r="G3225" s="113"/>
      <c r="J3225" s="28">
        <f>IFERROR(VLOOKUP(TEXT(B3225,"0"),STOCK!A:H,7,0),1)</f>
        <v>1</v>
      </c>
    </row>
    <row r="3226" spans="7:10" ht="35.450000000000003" hidden="1" customHeight="1">
      <c r="G3226" s="113"/>
      <c r="J3226" s="28">
        <f>IFERROR(VLOOKUP(TEXT(B3226,"0"),STOCK!A:H,7,0),1)</f>
        <v>1</v>
      </c>
    </row>
    <row r="3227" spans="7:10" ht="35.450000000000003" hidden="1" customHeight="1">
      <c r="G3227" s="113"/>
      <c r="J3227" s="28">
        <f>IFERROR(VLOOKUP(TEXT(B3227,"0"),STOCK!A:H,7,0),1)</f>
        <v>1</v>
      </c>
    </row>
    <row r="3228" spans="7:10" ht="35.450000000000003" hidden="1" customHeight="1">
      <c r="G3228" s="113"/>
      <c r="J3228" s="28">
        <f>IFERROR(VLOOKUP(TEXT(B3228,"0"),STOCK!A:H,7,0),1)</f>
        <v>1</v>
      </c>
    </row>
    <row r="3229" spans="7:10" ht="35.450000000000003" hidden="1" customHeight="1">
      <c r="G3229" s="113"/>
      <c r="J3229" s="28">
        <f>IFERROR(VLOOKUP(TEXT(B3229,"0"),STOCK!A:H,7,0),1)</f>
        <v>1</v>
      </c>
    </row>
    <row r="3230" spans="7:10" ht="35.450000000000003" hidden="1" customHeight="1">
      <c r="G3230" s="113"/>
      <c r="J3230" s="28">
        <f>IFERROR(VLOOKUP(TEXT(B3230,"0"),STOCK!A:H,7,0),1)</f>
        <v>1</v>
      </c>
    </row>
    <row r="3231" spans="7:10" ht="35.450000000000003" hidden="1" customHeight="1">
      <c r="G3231" s="113"/>
      <c r="J3231" s="28">
        <f>IFERROR(VLOOKUP(TEXT(B3231,"0"),STOCK!A:H,7,0),1)</f>
        <v>1</v>
      </c>
    </row>
    <row r="3232" spans="7:10" ht="35.450000000000003" hidden="1" customHeight="1">
      <c r="G3232" s="113"/>
      <c r="J3232" s="28">
        <f>IFERROR(VLOOKUP(TEXT(B3232,"0"),STOCK!A:H,7,0),1)</f>
        <v>1</v>
      </c>
    </row>
    <row r="3233" spans="7:10" ht="35.450000000000003" hidden="1" customHeight="1">
      <c r="G3233" s="113"/>
      <c r="J3233" s="28">
        <f>IFERROR(VLOOKUP(TEXT(B3233,"0"),STOCK!A:H,7,0),1)</f>
        <v>1</v>
      </c>
    </row>
    <row r="3234" spans="7:10" ht="35.450000000000003" hidden="1" customHeight="1">
      <c r="G3234" s="113"/>
      <c r="J3234" s="28">
        <f>IFERROR(VLOOKUP(TEXT(B3234,"0"),STOCK!A:H,7,0),1)</f>
        <v>1</v>
      </c>
    </row>
    <row r="3235" spans="7:10" ht="35.450000000000003" hidden="1" customHeight="1">
      <c r="G3235" s="113"/>
      <c r="J3235" s="28">
        <f>IFERROR(VLOOKUP(TEXT(B3235,"0"),STOCK!A:H,7,0),1)</f>
        <v>1</v>
      </c>
    </row>
    <row r="3236" spans="7:10" ht="35.450000000000003" hidden="1" customHeight="1">
      <c r="G3236" s="113"/>
      <c r="J3236" s="28">
        <f>IFERROR(VLOOKUP(TEXT(B3236,"0"),STOCK!A:H,7,0),1)</f>
        <v>1</v>
      </c>
    </row>
    <row r="3237" spans="7:10" ht="35.450000000000003" hidden="1" customHeight="1">
      <c r="G3237" s="113"/>
      <c r="J3237" s="28">
        <f>IFERROR(VLOOKUP(TEXT(B3237,"0"),STOCK!A:H,7,0),1)</f>
        <v>1</v>
      </c>
    </row>
    <row r="3238" spans="7:10" ht="35.450000000000003" hidden="1" customHeight="1">
      <c r="G3238" s="113"/>
      <c r="J3238" s="28">
        <f>IFERROR(VLOOKUP(TEXT(B3238,"0"),STOCK!A:H,7,0),1)</f>
        <v>1</v>
      </c>
    </row>
    <row r="3239" spans="7:10" ht="35.450000000000003" hidden="1" customHeight="1">
      <c r="G3239" s="113"/>
      <c r="J3239" s="28">
        <f>IFERROR(VLOOKUP(TEXT(B3239,"0"),STOCK!A:H,7,0),1)</f>
        <v>1</v>
      </c>
    </row>
    <row r="3240" spans="7:10" ht="35.450000000000003" hidden="1" customHeight="1">
      <c r="G3240" s="113"/>
      <c r="J3240" s="28">
        <f>IFERROR(VLOOKUP(TEXT(B3240,"0"),STOCK!A:H,7,0),1)</f>
        <v>1</v>
      </c>
    </row>
    <row r="3241" spans="7:10" ht="35.450000000000003" hidden="1" customHeight="1">
      <c r="G3241" s="113"/>
      <c r="J3241" s="28">
        <f>IFERROR(VLOOKUP(TEXT(B3241,"0"),STOCK!A:H,7,0),1)</f>
        <v>1</v>
      </c>
    </row>
    <row r="3242" spans="7:10" ht="35.450000000000003" hidden="1" customHeight="1">
      <c r="G3242" s="113"/>
      <c r="J3242" s="28">
        <f>IFERROR(VLOOKUP(TEXT(B3242,"0"),STOCK!A:H,7,0),1)</f>
        <v>1</v>
      </c>
    </row>
    <row r="3243" spans="7:10" ht="35.450000000000003" hidden="1" customHeight="1">
      <c r="G3243" s="113"/>
      <c r="J3243" s="28">
        <f>IFERROR(VLOOKUP(TEXT(B3243,"0"),STOCK!A:H,7,0),1)</f>
        <v>1</v>
      </c>
    </row>
    <row r="3244" spans="7:10" ht="35.450000000000003" hidden="1" customHeight="1">
      <c r="G3244" s="113"/>
      <c r="J3244" s="28">
        <f>IFERROR(VLOOKUP(TEXT(B3244,"0"),STOCK!A:H,7,0),1)</f>
        <v>1</v>
      </c>
    </row>
    <row r="3245" spans="7:10" ht="35.450000000000003" hidden="1" customHeight="1">
      <c r="G3245" s="113"/>
      <c r="J3245" s="28">
        <f>IFERROR(VLOOKUP(TEXT(B3245,"0"),STOCK!A:H,7,0),1)</f>
        <v>1</v>
      </c>
    </row>
    <row r="3246" spans="7:10" ht="35.450000000000003" hidden="1" customHeight="1">
      <c r="G3246" s="113"/>
      <c r="J3246" s="28">
        <f>IFERROR(VLOOKUP(TEXT(B3246,"0"),STOCK!A:H,7,0),1)</f>
        <v>1</v>
      </c>
    </row>
    <row r="3247" spans="7:10" ht="35.450000000000003" hidden="1" customHeight="1">
      <c r="G3247" s="113"/>
      <c r="J3247" s="28">
        <f>IFERROR(VLOOKUP(TEXT(B3247,"0"),STOCK!A:H,7,0),1)</f>
        <v>1</v>
      </c>
    </row>
    <row r="3248" spans="7:10" ht="35.450000000000003" hidden="1" customHeight="1">
      <c r="G3248" s="113"/>
      <c r="J3248" s="28">
        <f>IFERROR(VLOOKUP(TEXT(B3248,"0"),STOCK!A:H,7,0),1)</f>
        <v>1</v>
      </c>
    </row>
    <row r="3249" spans="7:10" ht="35.450000000000003" hidden="1" customHeight="1">
      <c r="G3249" s="113"/>
      <c r="J3249" s="28">
        <f>IFERROR(VLOOKUP(TEXT(B3249,"0"),STOCK!A:H,7,0),1)</f>
        <v>1</v>
      </c>
    </row>
    <row r="3250" spans="7:10" ht="35.450000000000003" hidden="1" customHeight="1">
      <c r="G3250" s="113"/>
      <c r="J3250" s="28">
        <f>IFERROR(VLOOKUP(TEXT(B3250,"0"),STOCK!A:H,7,0),1)</f>
        <v>1</v>
      </c>
    </row>
    <row r="3251" spans="7:10" ht="35.450000000000003" hidden="1" customHeight="1">
      <c r="G3251" s="113"/>
      <c r="J3251" s="28">
        <f>IFERROR(VLOOKUP(TEXT(B3251,"0"),STOCK!A:H,7,0),1)</f>
        <v>1</v>
      </c>
    </row>
    <row r="3252" spans="7:10" ht="35.450000000000003" hidden="1" customHeight="1">
      <c r="G3252" s="113"/>
      <c r="J3252" s="28">
        <f>IFERROR(VLOOKUP(TEXT(B3252,"0"),STOCK!A:H,7,0),1)</f>
        <v>1</v>
      </c>
    </row>
    <row r="3253" spans="7:10" ht="35.450000000000003" hidden="1" customHeight="1">
      <c r="G3253" s="113"/>
      <c r="J3253" s="28">
        <f>IFERROR(VLOOKUP(TEXT(B3253,"0"),STOCK!A:H,7,0),1)</f>
        <v>1</v>
      </c>
    </row>
    <row r="3254" spans="7:10" ht="35.450000000000003" hidden="1" customHeight="1">
      <c r="G3254" s="113"/>
      <c r="J3254" s="28">
        <f>IFERROR(VLOOKUP(TEXT(B3254,"0"),STOCK!A:H,7,0),1)</f>
        <v>1</v>
      </c>
    </row>
    <row r="3255" spans="7:10" ht="35.450000000000003" hidden="1" customHeight="1">
      <c r="G3255" s="113"/>
      <c r="J3255" s="28">
        <f>IFERROR(VLOOKUP(TEXT(B3255,"0"),STOCK!A:H,7,0),1)</f>
        <v>1</v>
      </c>
    </row>
    <row r="3256" spans="7:10" ht="35.450000000000003" hidden="1" customHeight="1">
      <c r="G3256" s="113"/>
      <c r="J3256" s="28">
        <f>IFERROR(VLOOKUP(TEXT(B3256,"0"),STOCK!A:H,7,0),1)</f>
        <v>1</v>
      </c>
    </row>
    <row r="3257" spans="7:10" ht="35.450000000000003" hidden="1" customHeight="1">
      <c r="G3257" s="113"/>
      <c r="J3257" s="28">
        <f>IFERROR(VLOOKUP(TEXT(B3257,"0"),STOCK!A:H,7,0),1)</f>
        <v>1</v>
      </c>
    </row>
    <row r="3258" spans="7:10" ht="35.450000000000003" hidden="1" customHeight="1">
      <c r="G3258" s="113"/>
      <c r="J3258" s="28">
        <f>IFERROR(VLOOKUP(TEXT(B3258,"0"),STOCK!A:H,7,0),1)</f>
        <v>1</v>
      </c>
    </row>
    <row r="3259" spans="7:10" ht="35.450000000000003" hidden="1" customHeight="1">
      <c r="G3259" s="113"/>
      <c r="J3259" s="28">
        <f>IFERROR(VLOOKUP(TEXT(B3259,"0"),STOCK!A:H,7,0),1)</f>
        <v>1</v>
      </c>
    </row>
    <row r="3260" spans="7:10" ht="35.450000000000003" hidden="1" customHeight="1">
      <c r="G3260" s="113"/>
      <c r="J3260" s="28">
        <f>IFERROR(VLOOKUP(TEXT(B3260,"0"),STOCK!A:H,7,0),1)</f>
        <v>1</v>
      </c>
    </row>
    <row r="3261" spans="7:10" ht="35.450000000000003" hidden="1" customHeight="1">
      <c r="G3261" s="113"/>
      <c r="J3261" s="28">
        <f>IFERROR(VLOOKUP(TEXT(B3261,"0"),STOCK!A:H,7,0),1)</f>
        <v>1</v>
      </c>
    </row>
    <row r="3262" spans="7:10" ht="35.450000000000003" hidden="1" customHeight="1">
      <c r="G3262" s="113"/>
      <c r="J3262" s="28">
        <f>IFERROR(VLOOKUP(TEXT(B3262,"0"),STOCK!A:H,7,0),1)</f>
        <v>1</v>
      </c>
    </row>
    <row r="3263" spans="7:10" ht="35.450000000000003" hidden="1" customHeight="1">
      <c r="G3263" s="113"/>
      <c r="J3263" s="28">
        <f>IFERROR(VLOOKUP(TEXT(B3263,"0"),STOCK!A:H,7,0),1)</f>
        <v>1</v>
      </c>
    </row>
    <row r="3264" spans="7:10" ht="35.450000000000003" hidden="1" customHeight="1">
      <c r="G3264" s="113"/>
      <c r="J3264" s="28">
        <f>IFERROR(VLOOKUP(TEXT(B3264,"0"),STOCK!A:H,7,0),1)</f>
        <v>1</v>
      </c>
    </row>
    <row r="3265" spans="7:10" ht="35.450000000000003" hidden="1" customHeight="1">
      <c r="G3265" s="113"/>
      <c r="J3265" s="28">
        <f>IFERROR(VLOOKUP(TEXT(B3265,"0"),STOCK!A:H,7,0),1)</f>
        <v>1</v>
      </c>
    </row>
    <row r="3266" spans="7:10" ht="35.450000000000003" hidden="1" customHeight="1">
      <c r="G3266" s="113"/>
      <c r="J3266" s="28">
        <f>IFERROR(VLOOKUP(TEXT(B3266,"0"),STOCK!A:H,7,0),1)</f>
        <v>1</v>
      </c>
    </row>
    <row r="3267" spans="7:10" ht="35.450000000000003" hidden="1" customHeight="1">
      <c r="G3267" s="113"/>
      <c r="J3267" s="28">
        <f>IFERROR(VLOOKUP(TEXT(B3267,"0"),STOCK!A:H,7,0),1)</f>
        <v>1</v>
      </c>
    </row>
    <row r="3268" spans="7:10" ht="35.450000000000003" hidden="1" customHeight="1">
      <c r="G3268" s="113"/>
      <c r="J3268" s="28">
        <f>IFERROR(VLOOKUP(TEXT(B3268,"0"),STOCK!A:H,7,0),1)</f>
        <v>1</v>
      </c>
    </row>
    <row r="3269" spans="7:10" ht="35.450000000000003" hidden="1" customHeight="1">
      <c r="G3269" s="113"/>
      <c r="J3269" s="28">
        <f>IFERROR(VLOOKUP(TEXT(B3269,"0"),STOCK!A:H,7,0),1)</f>
        <v>1</v>
      </c>
    </row>
    <row r="3270" spans="7:10" ht="35.450000000000003" hidden="1" customHeight="1">
      <c r="G3270" s="113"/>
      <c r="J3270" s="28">
        <f>IFERROR(VLOOKUP(TEXT(B3270,"0"),STOCK!A:H,7,0),1)</f>
        <v>1</v>
      </c>
    </row>
    <row r="3271" spans="7:10" ht="35.450000000000003" hidden="1" customHeight="1">
      <c r="G3271" s="113"/>
      <c r="J3271" s="28">
        <f>IFERROR(VLOOKUP(TEXT(B3271,"0"),STOCK!A:H,7,0),1)</f>
        <v>1</v>
      </c>
    </row>
    <row r="3272" spans="7:10" ht="35.450000000000003" hidden="1" customHeight="1">
      <c r="G3272" s="113"/>
      <c r="J3272" s="28">
        <f>IFERROR(VLOOKUP(TEXT(B3272,"0"),STOCK!A:H,7,0),1)</f>
        <v>1</v>
      </c>
    </row>
    <row r="3273" spans="7:10" ht="35.450000000000003" hidden="1" customHeight="1">
      <c r="G3273" s="113"/>
      <c r="J3273" s="28">
        <f>IFERROR(VLOOKUP(TEXT(B3273,"0"),STOCK!A:H,7,0),1)</f>
        <v>1</v>
      </c>
    </row>
    <row r="3274" spans="7:10" ht="35.450000000000003" hidden="1" customHeight="1">
      <c r="G3274" s="113"/>
      <c r="J3274" s="28">
        <f>IFERROR(VLOOKUP(TEXT(B3274,"0"),STOCK!A:H,7,0),1)</f>
        <v>1</v>
      </c>
    </row>
    <row r="3275" spans="7:10" ht="35.450000000000003" hidden="1" customHeight="1">
      <c r="G3275" s="113"/>
      <c r="J3275" s="28">
        <f>IFERROR(VLOOKUP(TEXT(B3275,"0"),STOCK!A:H,7,0),1)</f>
        <v>1</v>
      </c>
    </row>
    <row r="3276" spans="7:10" ht="35.450000000000003" hidden="1" customHeight="1">
      <c r="G3276" s="113"/>
      <c r="J3276" s="28">
        <f>IFERROR(VLOOKUP(TEXT(B3276,"0"),STOCK!A:H,7,0),1)</f>
        <v>1</v>
      </c>
    </row>
    <row r="3277" spans="7:10" ht="35.450000000000003" hidden="1" customHeight="1">
      <c r="G3277" s="113"/>
      <c r="J3277" s="28">
        <f>IFERROR(VLOOKUP(TEXT(B3277,"0"),STOCK!A:H,7,0),1)</f>
        <v>1</v>
      </c>
    </row>
    <row r="3278" spans="7:10" ht="35.450000000000003" hidden="1" customHeight="1">
      <c r="G3278" s="113"/>
      <c r="J3278" s="28">
        <f>IFERROR(VLOOKUP(TEXT(B3278,"0"),STOCK!A:H,7,0),1)</f>
        <v>1</v>
      </c>
    </row>
    <row r="3279" spans="7:10" ht="35.450000000000003" hidden="1" customHeight="1">
      <c r="G3279" s="113"/>
      <c r="J3279" s="28">
        <f>IFERROR(VLOOKUP(TEXT(B3279,"0"),STOCK!A:H,7,0),1)</f>
        <v>1</v>
      </c>
    </row>
    <row r="3280" spans="7:10" ht="35.450000000000003" hidden="1" customHeight="1">
      <c r="G3280" s="113"/>
      <c r="J3280" s="28">
        <f>IFERROR(VLOOKUP(TEXT(B3280,"0"),STOCK!A:H,7,0),1)</f>
        <v>1</v>
      </c>
    </row>
    <row r="3281" spans="7:10" ht="35.450000000000003" hidden="1" customHeight="1">
      <c r="G3281" s="113"/>
      <c r="J3281" s="28">
        <f>IFERROR(VLOOKUP(TEXT(B3281,"0"),STOCK!A:H,7,0),1)</f>
        <v>1</v>
      </c>
    </row>
    <row r="3282" spans="7:10" ht="35.450000000000003" hidden="1" customHeight="1">
      <c r="G3282" s="113"/>
      <c r="J3282" s="28">
        <f>IFERROR(VLOOKUP(TEXT(B3282,"0"),STOCK!A:H,7,0),1)</f>
        <v>1</v>
      </c>
    </row>
    <row r="3283" spans="7:10" ht="35.450000000000003" hidden="1" customHeight="1">
      <c r="G3283" s="113"/>
      <c r="J3283" s="28">
        <f>IFERROR(VLOOKUP(TEXT(B3283,"0"),STOCK!A:H,7,0),1)</f>
        <v>1</v>
      </c>
    </row>
    <row r="3284" spans="7:10" ht="35.450000000000003" hidden="1" customHeight="1">
      <c r="G3284" s="113"/>
      <c r="J3284" s="28">
        <f>IFERROR(VLOOKUP(TEXT(B3284,"0"),STOCK!A:H,7,0),1)</f>
        <v>1</v>
      </c>
    </row>
    <row r="3285" spans="7:10" ht="35.450000000000003" hidden="1" customHeight="1">
      <c r="G3285" s="113"/>
      <c r="J3285" s="28">
        <f>IFERROR(VLOOKUP(TEXT(B3285,"0"),STOCK!A:H,7,0),1)</f>
        <v>1</v>
      </c>
    </row>
    <row r="3286" spans="7:10" ht="35.450000000000003" hidden="1" customHeight="1">
      <c r="G3286" s="113"/>
      <c r="J3286" s="28">
        <f>IFERROR(VLOOKUP(TEXT(B3286,"0"),STOCK!A:H,7,0),1)</f>
        <v>1</v>
      </c>
    </row>
    <row r="3287" spans="7:10" ht="35.450000000000003" hidden="1" customHeight="1">
      <c r="G3287" s="113"/>
      <c r="J3287" s="28">
        <f>IFERROR(VLOOKUP(TEXT(B3287,"0"),STOCK!A:H,7,0),1)</f>
        <v>1</v>
      </c>
    </row>
    <row r="3288" spans="7:10" ht="35.450000000000003" hidden="1" customHeight="1">
      <c r="G3288" s="113"/>
      <c r="J3288" s="28">
        <f>IFERROR(VLOOKUP(TEXT(B3288,"0"),STOCK!A:H,7,0),1)</f>
        <v>1</v>
      </c>
    </row>
    <row r="3289" spans="7:10" ht="35.450000000000003" hidden="1" customHeight="1">
      <c r="G3289" s="113"/>
      <c r="J3289" s="28">
        <f>IFERROR(VLOOKUP(TEXT(B3289,"0"),STOCK!A:H,7,0),1)</f>
        <v>1</v>
      </c>
    </row>
    <row r="3290" spans="7:10" ht="35.450000000000003" hidden="1" customHeight="1">
      <c r="G3290" s="113"/>
      <c r="J3290" s="28">
        <f>IFERROR(VLOOKUP(TEXT(B3290,"0"),STOCK!A:H,7,0),1)</f>
        <v>1</v>
      </c>
    </row>
    <row r="3291" spans="7:10" ht="35.450000000000003" hidden="1" customHeight="1">
      <c r="G3291" s="113"/>
      <c r="J3291" s="28">
        <f>IFERROR(VLOOKUP(TEXT(B3291,"0"),STOCK!A:H,7,0),1)</f>
        <v>1</v>
      </c>
    </row>
    <row r="3292" spans="7:10" ht="35.450000000000003" hidden="1" customHeight="1">
      <c r="G3292" s="113"/>
      <c r="J3292" s="28">
        <f>IFERROR(VLOOKUP(TEXT(B3292,"0"),STOCK!A:H,7,0),1)</f>
        <v>1</v>
      </c>
    </row>
    <row r="3293" spans="7:10" ht="35.450000000000003" hidden="1" customHeight="1">
      <c r="G3293" s="113"/>
      <c r="J3293" s="28">
        <f>IFERROR(VLOOKUP(TEXT(B3293,"0"),STOCK!A:H,7,0),1)</f>
        <v>1</v>
      </c>
    </row>
    <row r="3294" spans="7:10" ht="35.450000000000003" hidden="1" customHeight="1">
      <c r="G3294" s="113"/>
      <c r="J3294" s="28">
        <f>IFERROR(VLOOKUP(TEXT(B3294,"0"),STOCK!A:H,7,0),1)</f>
        <v>1</v>
      </c>
    </row>
    <row r="3295" spans="7:10" ht="35.450000000000003" hidden="1" customHeight="1">
      <c r="G3295" s="113"/>
      <c r="J3295" s="28">
        <f>IFERROR(VLOOKUP(TEXT(B3295,"0"),STOCK!A:H,7,0),1)</f>
        <v>1</v>
      </c>
    </row>
    <row r="3296" spans="7:10" ht="35.450000000000003" hidden="1" customHeight="1">
      <c r="G3296" s="113"/>
      <c r="J3296" s="28">
        <f>IFERROR(VLOOKUP(TEXT(B3296,"0"),STOCK!A:H,7,0),1)</f>
        <v>1</v>
      </c>
    </row>
    <row r="3297" spans="7:10" ht="35.450000000000003" hidden="1" customHeight="1">
      <c r="G3297" s="113"/>
      <c r="J3297" s="28">
        <f>IFERROR(VLOOKUP(TEXT(B3297,"0"),STOCK!A:H,7,0),1)</f>
        <v>1</v>
      </c>
    </row>
    <row r="3298" spans="7:10" ht="35.450000000000003" hidden="1" customHeight="1">
      <c r="G3298" s="113"/>
      <c r="J3298" s="28">
        <f>IFERROR(VLOOKUP(TEXT(B3298,"0"),STOCK!A:H,7,0),1)</f>
        <v>1</v>
      </c>
    </row>
    <row r="3299" spans="7:10" ht="35.450000000000003" hidden="1" customHeight="1">
      <c r="G3299" s="113"/>
      <c r="J3299" s="28">
        <f>IFERROR(VLOOKUP(TEXT(B3299,"0"),STOCK!A:H,7,0),1)</f>
        <v>1</v>
      </c>
    </row>
    <row r="3300" spans="7:10" ht="35.450000000000003" hidden="1" customHeight="1">
      <c r="G3300" s="113"/>
      <c r="J3300" s="28">
        <f>IFERROR(VLOOKUP(TEXT(B3300,"0"),STOCK!A:H,7,0),1)</f>
        <v>1</v>
      </c>
    </row>
    <row r="3301" spans="7:10" ht="35.450000000000003" hidden="1" customHeight="1">
      <c r="G3301" s="113"/>
      <c r="J3301" s="28">
        <f>IFERROR(VLOOKUP(TEXT(B3301,"0"),STOCK!A:H,7,0),1)</f>
        <v>1</v>
      </c>
    </row>
    <row r="3302" spans="7:10" ht="35.450000000000003" hidden="1" customHeight="1">
      <c r="G3302" s="113"/>
      <c r="J3302" s="28">
        <f>IFERROR(VLOOKUP(TEXT(B3302,"0"),STOCK!A:H,7,0),1)</f>
        <v>1</v>
      </c>
    </row>
    <row r="3303" spans="7:10" ht="35.450000000000003" hidden="1" customHeight="1">
      <c r="G3303" s="113"/>
      <c r="J3303" s="28">
        <f>IFERROR(VLOOKUP(TEXT(B3303,"0"),STOCK!A:H,7,0),1)</f>
        <v>1</v>
      </c>
    </row>
    <row r="3304" spans="7:10" ht="35.450000000000003" hidden="1" customHeight="1">
      <c r="G3304" s="113"/>
      <c r="J3304" s="28">
        <f>IFERROR(VLOOKUP(TEXT(B3304,"0"),STOCK!A:H,7,0),1)</f>
        <v>1</v>
      </c>
    </row>
    <row r="3305" spans="7:10" ht="35.450000000000003" hidden="1" customHeight="1">
      <c r="G3305" s="113"/>
      <c r="J3305" s="28">
        <f>IFERROR(VLOOKUP(TEXT(B3305,"0"),STOCK!A:H,7,0),1)</f>
        <v>1</v>
      </c>
    </row>
    <row r="3306" spans="7:10" ht="35.450000000000003" hidden="1" customHeight="1">
      <c r="G3306" s="113"/>
      <c r="J3306" s="28">
        <f>IFERROR(VLOOKUP(TEXT(B3306,"0"),STOCK!A:H,7,0),1)</f>
        <v>1</v>
      </c>
    </row>
    <row r="3307" spans="7:10" ht="35.450000000000003" hidden="1" customHeight="1">
      <c r="G3307" s="113"/>
      <c r="J3307" s="28">
        <f>IFERROR(VLOOKUP(TEXT(B3307,"0"),STOCK!A:H,7,0),1)</f>
        <v>1</v>
      </c>
    </row>
    <row r="3308" spans="7:10" ht="35.450000000000003" hidden="1" customHeight="1">
      <c r="G3308" s="113"/>
      <c r="J3308" s="28">
        <f>IFERROR(VLOOKUP(TEXT(B3308,"0"),STOCK!A:H,7,0),1)</f>
        <v>1</v>
      </c>
    </row>
    <row r="3309" spans="7:10" ht="35.450000000000003" hidden="1" customHeight="1">
      <c r="G3309" s="113"/>
      <c r="J3309" s="28">
        <f>IFERROR(VLOOKUP(TEXT(B3309,"0"),STOCK!A:H,7,0),1)</f>
        <v>1</v>
      </c>
    </row>
    <row r="3310" spans="7:10" ht="35.450000000000003" hidden="1" customHeight="1">
      <c r="G3310" s="113"/>
      <c r="J3310" s="28">
        <f>IFERROR(VLOOKUP(TEXT(B3310,"0"),STOCK!A:H,7,0),1)</f>
        <v>1</v>
      </c>
    </row>
    <row r="3311" spans="7:10" ht="35.450000000000003" hidden="1" customHeight="1">
      <c r="G3311" s="113"/>
      <c r="J3311" s="28">
        <f>IFERROR(VLOOKUP(TEXT(B3311,"0"),STOCK!A:H,7,0),1)</f>
        <v>1</v>
      </c>
    </row>
    <row r="3312" spans="7:10" ht="35.450000000000003" hidden="1" customHeight="1">
      <c r="G3312" s="113"/>
      <c r="J3312" s="28">
        <f>IFERROR(VLOOKUP(TEXT(B3312,"0"),STOCK!A:H,7,0),1)</f>
        <v>1</v>
      </c>
    </row>
    <row r="3313" spans="7:10" ht="35.450000000000003" hidden="1" customHeight="1">
      <c r="G3313" s="113"/>
      <c r="J3313" s="28">
        <f>IFERROR(VLOOKUP(TEXT(B3313,"0"),STOCK!A:H,7,0),1)</f>
        <v>1</v>
      </c>
    </row>
    <row r="3314" spans="7:10" ht="35.450000000000003" hidden="1" customHeight="1">
      <c r="G3314" s="113"/>
      <c r="J3314" s="28">
        <f>IFERROR(VLOOKUP(TEXT(B3314,"0"),STOCK!A:H,7,0),1)</f>
        <v>1</v>
      </c>
    </row>
    <row r="3315" spans="7:10" ht="35.450000000000003" hidden="1" customHeight="1">
      <c r="G3315" s="113"/>
      <c r="J3315" s="28">
        <f>IFERROR(VLOOKUP(TEXT(B3315,"0"),STOCK!A:H,7,0),1)</f>
        <v>1</v>
      </c>
    </row>
    <row r="3316" spans="7:10" ht="35.450000000000003" hidden="1" customHeight="1">
      <c r="G3316" s="113"/>
      <c r="J3316" s="28">
        <f>IFERROR(VLOOKUP(TEXT(B3316,"0"),STOCK!A:H,7,0),1)</f>
        <v>1</v>
      </c>
    </row>
    <row r="3317" spans="7:10" ht="35.450000000000003" hidden="1" customHeight="1">
      <c r="G3317" s="113"/>
      <c r="J3317" s="28">
        <f>IFERROR(VLOOKUP(TEXT(B3317,"0"),STOCK!A:H,7,0),1)</f>
        <v>1</v>
      </c>
    </row>
    <row r="3318" spans="7:10" ht="35.450000000000003" hidden="1" customHeight="1">
      <c r="G3318" s="113"/>
      <c r="J3318" s="28">
        <f>IFERROR(VLOOKUP(TEXT(B3318,"0"),STOCK!A:H,7,0),1)</f>
        <v>1</v>
      </c>
    </row>
    <row r="3319" spans="7:10" ht="35.450000000000003" hidden="1" customHeight="1">
      <c r="G3319" s="113"/>
      <c r="J3319" s="28">
        <f>IFERROR(VLOOKUP(TEXT(B3319,"0"),STOCK!A:H,7,0),1)</f>
        <v>1</v>
      </c>
    </row>
    <row r="3320" spans="7:10" ht="35.450000000000003" hidden="1" customHeight="1">
      <c r="G3320" s="113"/>
      <c r="J3320" s="28">
        <f>IFERROR(VLOOKUP(TEXT(B3320,"0"),STOCK!A:H,7,0),1)</f>
        <v>1</v>
      </c>
    </row>
    <row r="3321" spans="7:10" ht="35.450000000000003" hidden="1" customHeight="1">
      <c r="G3321" s="113"/>
      <c r="J3321" s="28">
        <f>IFERROR(VLOOKUP(TEXT(B3321,"0"),STOCK!A:H,7,0),1)</f>
        <v>1</v>
      </c>
    </row>
    <row r="3322" spans="7:10" ht="35.450000000000003" hidden="1" customHeight="1">
      <c r="G3322" s="113"/>
      <c r="J3322" s="28">
        <f>IFERROR(VLOOKUP(TEXT(B3322,"0"),STOCK!A:H,7,0),1)</f>
        <v>1</v>
      </c>
    </row>
    <row r="3323" spans="7:10" ht="35.450000000000003" hidden="1" customHeight="1">
      <c r="G3323" s="113"/>
      <c r="J3323" s="28">
        <f>IFERROR(VLOOKUP(TEXT(B3323,"0"),STOCK!A:H,7,0),1)</f>
        <v>1</v>
      </c>
    </row>
    <row r="3324" spans="7:10" ht="35.450000000000003" hidden="1" customHeight="1">
      <c r="G3324" s="113"/>
      <c r="J3324" s="28">
        <f>IFERROR(VLOOKUP(TEXT(B3324,"0"),STOCK!A:H,7,0),1)</f>
        <v>1</v>
      </c>
    </row>
    <row r="3325" spans="7:10" ht="35.450000000000003" hidden="1" customHeight="1">
      <c r="G3325" s="113"/>
      <c r="J3325" s="28">
        <f>IFERROR(VLOOKUP(TEXT(B3325,"0"),STOCK!A:H,7,0),1)</f>
        <v>1</v>
      </c>
    </row>
    <row r="3326" spans="7:10" ht="35.450000000000003" hidden="1" customHeight="1">
      <c r="G3326" s="113"/>
      <c r="J3326" s="28">
        <f>IFERROR(VLOOKUP(TEXT(B3326,"0"),STOCK!A:H,7,0),1)</f>
        <v>1</v>
      </c>
    </row>
    <row r="3327" spans="7:10" ht="35.450000000000003" hidden="1" customHeight="1">
      <c r="G3327" s="113"/>
      <c r="J3327" s="28">
        <f>IFERROR(VLOOKUP(TEXT(B3327,"0"),STOCK!A:H,7,0),1)</f>
        <v>1</v>
      </c>
    </row>
    <row r="3328" spans="7:10" ht="35.450000000000003" hidden="1" customHeight="1">
      <c r="G3328" s="113"/>
      <c r="J3328" s="28">
        <f>IFERROR(VLOOKUP(TEXT(B3328,"0"),STOCK!A:H,7,0),1)</f>
        <v>1</v>
      </c>
    </row>
    <row r="3329" spans="7:10" ht="35.450000000000003" hidden="1" customHeight="1">
      <c r="G3329" s="113"/>
      <c r="J3329" s="28">
        <f>IFERROR(VLOOKUP(TEXT(B3329,"0"),STOCK!A:H,7,0),1)</f>
        <v>1</v>
      </c>
    </row>
    <row r="3330" spans="7:10" ht="35.450000000000003" hidden="1" customHeight="1">
      <c r="G3330" s="113"/>
      <c r="J3330" s="28">
        <f>IFERROR(VLOOKUP(TEXT(B3330,"0"),STOCK!A:H,7,0),1)</f>
        <v>1</v>
      </c>
    </row>
    <row r="3331" spans="7:10" ht="35.450000000000003" hidden="1" customHeight="1">
      <c r="G3331" s="113"/>
      <c r="J3331" s="28">
        <f>IFERROR(VLOOKUP(TEXT(B3331,"0"),STOCK!A:H,7,0),1)</f>
        <v>1</v>
      </c>
    </row>
    <row r="3332" spans="7:10" ht="35.450000000000003" hidden="1" customHeight="1">
      <c r="G3332" s="113"/>
      <c r="J3332" s="28">
        <f>IFERROR(VLOOKUP(TEXT(B3332,"0"),STOCK!A:H,7,0),1)</f>
        <v>1</v>
      </c>
    </row>
    <row r="3333" spans="7:10" ht="35.450000000000003" hidden="1" customHeight="1">
      <c r="G3333" s="113"/>
      <c r="J3333" s="28">
        <f>IFERROR(VLOOKUP(TEXT(B3333,"0"),STOCK!A:H,7,0),1)</f>
        <v>1</v>
      </c>
    </row>
    <row r="3334" spans="7:10" ht="35.450000000000003" hidden="1" customHeight="1">
      <c r="G3334" s="113"/>
      <c r="J3334" s="28">
        <f>IFERROR(VLOOKUP(TEXT(B3334,"0"),STOCK!A:H,7,0),1)</f>
        <v>1</v>
      </c>
    </row>
    <row r="3335" spans="7:10" ht="35.450000000000003" hidden="1" customHeight="1">
      <c r="G3335" s="113"/>
      <c r="J3335" s="28">
        <f>IFERROR(VLOOKUP(TEXT(B3335,"0"),STOCK!A:H,7,0),1)</f>
        <v>1</v>
      </c>
    </row>
    <row r="3336" spans="7:10" ht="35.450000000000003" hidden="1" customHeight="1">
      <c r="G3336" s="113"/>
      <c r="J3336" s="28">
        <f>IFERROR(VLOOKUP(TEXT(B3336,"0"),STOCK!A:H,7,0),1)</f>
        <v>1</v>
      </c>
    </row>
    <row r="3337" spans="7:10" ht="35.450000000000003" hidden="1" customHeight="1">
      <c r="G3337" s="113"/>
      <c r="J3337" s="28">
        <f>IFERROR(VLOOKUP(TEXT(B3337,"0"),STOCK!A:H,7,0),1)</f>
        <v>1</v>
      </c>
    </row>
    <row r="3338" spans="7:10" ht="35.450000000000003" hidden="1" customHeight="1">
      <c r="G3338" s="113"/>
      <c r="J3338" s="28">
        <f>IFERROR(VLOOKUP(TEXT(B3338,"0"),STOCK!A:H,7,0),1)</f>
        <v>1</v>
      </c>
    </row>
    <row r="3339" spans="7:10" ht="35.450000000000003" hidden="1" customHeight="1">
      <c r="G3339" s="113"/>
      <c r="J3339" s="28">
        <f>IFERROR(VLOOKUP(TEXT(B3339,"0"),STOCK!A:H,7,0),1)</f>
        <v>1</v>
      </c>
    </row>
    <row r="3340" spans="7:10" ht="35.450000000000003" hidden="1" customHeight="1">
      <c r="G3340" s="113"/>
      <c r="J3340" s="28">
        <f>IFERROR(VLOOKUP(TEXT(B3340,"0"),STOCK!A:H,7,0),1)</f>
        <v>1</v>
      </c>
    </row>
    <row r="3341" spans="7:10" ht="35.450000000000003" hidden="1" customHeight="1">
      <c r="G3341" s="113"/>
      <c r="J3341" s="28">
        <f>IFERROR(VLOOKUP(TEXT(B3341,"0"),STOCK!A:H,7,0),1)</f>
        <v>1</v>
      </c>
    </row>
    <row r="3342" spans="7:10" ht="35.450000000000003" hidden="1" customHeight="1">
      <c r="G3342" s="113"/>
      <c r="J3342" s="28">
        <f>IFERROR(VLOOKUP(TEXT(B3342,"0"),STOCK!A:H,7,0),1)</f>
        <v>1</v>
      </c>
    </row>
    <row r="3343" spans="7:10" ht="35.450000000000003" hidden="1" customHeight="1">
      <c r="G3343" s="113"/>
      <c r="J3343" s="28">
        <f>IFERROR(VLOOKUP(TEXT(B3343,"0"),STOCK!A:H,7,0),1)</f>
        <v>1</v>
      </c>
    </row>
    <row r="3344" spans="7:10" ht="35.450000000000003" hidden="1" customHeight="1">
      <c r="G3344" s="113"/>
      <c r="J3344" s="28">
        <f>IFERROR(VLOOKUP(TEXT(B3344,"0"),STOCK!A:H,7,0),1)</f>
        <v>1</v>
      </c>
    </row>
    <row r="3345" spans="7:10" ht="35.450000000000003" hidden="1" customHeight="1">
      <c r="G3345" s="113"/>
      <c r="J3345" s="28">
        <f>IFERROR(VLOOKUP(TEXT(B3345,"0"),STOCK!A:H,7,0),1)</f>
        <v>1</v>
      </c>
    </row>
    <row r="3346" spans="7:10" ht="35.450000000000003" hidden="1" customHeight="1">
      <c r="G3346" s="113"/>
      <c r="J3346" s="28">
        <f>IFERROR(VLOOKUP(TEXT(B3346,"0"),STOCK!A:H,7,0),1)</f>
        <v>1</v>
      </c>
    </row>
    <row r="3347" spans="7:10" ht="35.450000000000003" hidden="1" customHeight="1">
      <c r="G3347" s="113"/>
      <c r="J3347" s="28">
        <f>IFERROR(VLOOKUP(TEXT(B3347,"0"),STOCK!A:H,7,0),1)</f>
        <v>1</v>
      </c>
    </row>
    <row r="3348" spans="7:10" ht="35.450000000000003" hidden="1" customHeight="1">
      <c r="G3348" s="113"/>
      <c r="J3348" s="28">
        <f>IFERROR(VLOOKUP(TEXT(B3348,"0"),STOCK!A:H,7,0),1)</f>
        <v>1</v>
      </c>
    </row>
    <row r="3349" spans="7:10" ht="35.450000000000003" hidden="1" customHeight="1">
      <c r="G3349" s="113"/>
      <c r="J3349" s="28">
        <f>IFERROR(VLOOKUP(TEXT(B3349,"0"),STOCK!A:H,7,0),1)</f>
        <v>1</v>
      </c>
    </row>
    <row r="3350" spans="7:10" ht="35.450000000000003" hidden="1" customHeight="1">
      <c r="G3350" s="113"/>
      <c r="J3350" s="28">
        <f>IFERROR(VLOOKUP(TEXT(B3350,"0"),STOCK!A:H,7,0),1)</f>
        <v>1</v>
      </c>
    </row>
    <row r="3351" spans="7:10" ht="35.450000000000003" hidden="1" customHeight="1">
      <c r="G3351" s="113"/>
      <c r="J3351" s="28">
        <f>IFERROR(VLOOKUP(TEXT(B3351,"0"),STOCK!A:H,7,0),1)</f>
        <v>1</v>
      </c>
    </row>
    <row r="3352" spans="7:10" ht="35.450000000000003" hidden="1" customHeight="1">
      <c r="G3352" s="113"/>
      <c r="J3352" s="28">
        <f>IFERROR(VLOOKUP(TEXT(B3352,"0"),STOCK!A:H,7,0),1)</f>
        <v>1</v>
      </c>
    </row>
    <row r="3353" spans="7:10" ht="35.450000000000003" hidden="1" customHeight="1">
      <c r="G3353" s="113"/>
      <c r="J3353" s="28">
        <f>IFERROR(VLOOKUP(TEXT(B3353,"0"),STOCK!A:H,7,0),1)</f>
        <v>1</v>
      </c>
    </row>
    <row r="3354" spans="7:10" ht="35.450000000000003" hidden="1" customHeight="1">
      <c r="G3354" s="113"/>
      <c r="J3354" s="28">
        <f>IFERROR(VLOOKUP(TEXT(B3354,"0"),STOCK!A:H,7,0),1)</f>
        <v>1</v>
      </c>
    </row>
    <row r="3355" spans="7:10" ht="35.450000000000003" hidden="1" customHeight="1">
      <c r="G3355" s="113"/>
      <c r="J3355" s="28">
        <f>IFERROR(VLOOKUP(TEXT(B3355,"0"),STOCK!A:H,7,0),1)</f>
        <v>1</v>
      </c>
    </row>
    <row r="3356" spans="7:10" ht="35.450000000000003" hidden="1" customHeight="1">
      <c r="G3356" s="113"/>
      <c r="J3356" s="28">
        <f>IFERROR(VLOOKUP(TEXT(B3356,"0"),STOCK!A:H,7,0),1)</f>
        <v>1</v>
      </c>
    </row>
    <row r="3357" spans="7:10" ht="35.450000000000003" hidden="1" customHeight="1">
      <c r="G3357" s="113"/>
      <c r="J3357" s="28">
        <f>IFERROR(VLOOKUP(TEXT(B3357,"0"),STOCK!A:H,7,0),1)</f>
        <v>1</v>
      </c>
    </row>
    <row r="3358" spans="7:10" ht="35.450000000000003" hidden="1" customHeight="1">
      <c r="G3358" s="113"/>
      <c r="J3358" s="28">
        <f>IFERROR(VLOOKUP(TEXT(B3358,"0"),STOCK!A:H,7,0),1)</f>
        <v>1</v>
      </c>
    </row>
    <row r="3359" spans="7:10" ht="35.450000000000003" hidden="1" customHeight="1">
      <c r="G3359" s="113"/>
      <c r="J3359" s="28">
        <f>IFERROR(VLOOKUP(TEXT(B3359,"0"),STOCK!A:H,7,0),1)</f>
        <v>1</v>
      </c>
    </row>
    <row r="3360" spans="7:10" ht="35.450000000000003" hidden="1" customHeight="1">
      <c r="G3360" s="113"/>
      <c r="J3360" s="28">
        <f>IFERROR(VLOOKUP(TEXT(B3360,"0"),STOCK!A:H,7,0),1)</f>
        <v>1</v>
      </c>
    </row>
    <row r="3361" spans="7:10" ht="35.450000000000003" hidden="1" customHeight="1">
      <c r="G3361" s="113"/>
      <c r="J3361" s="28">
        <f>IFERROR(VLOOKUP(TEXT(B3361,"0"),STOCK!A:H,7,0),1)</f>
        <v>1</v>
      </c>
    </row>
    <row r="3362" spans="7:10" ht="35.450000000000003" hidden="1" customHeight="1">
      <c r="G3362" s="113"/>
      <c r="J3362" s="28">
        <f>IFERROR(VLOOKUP(TEXT(B3362,"0"),STOCK!A:H,7,0),1)</f>
        <v>1</v>
      </c>
    </row>
    <row r="3363" spans="7:10" ht="35.450000000000003" hidden="1" customHeight="1">
      <c r="G3363" s="113"/>
      <c r="J3363" s="28">
        <f>IFERROR(VLOOKUP(TEXT(B3363,"0"),STOCK!A:H,7,0),1)</f>
        <v>1</v>
      </c>
    </row>
    <row r="3364" spans="7:10" ht="35.450000000000003" hidden="1" customHeight="1">
      <c r="G3364" s="113"/>
      <c r="J3364" s="28">
        <f>IFERROR(VLOOKUP(TEXT(B3364,"0"),STOCK!A:H,7,0),1)</f>
        <v>1</v>
      </c>
    </row>
    <row r="3365" spans="7:10" ht="35.450000000000003" hidden="1" customHeight="1">
      <c r="G3365" s="113"/>
      <c r="J3365" s="28">
        <f>IFERROR(VLOOKUP(TEXT(B3365,"0"),STOCK!A:H,7,0),1)</f>
        <v>1</v>
      </c>
    </row>
    <row r="3366" spans="7:10" ht="35.450000000000003" hidden="1" customHeight="1">
      <c r="G3366" s="113"/>
      <c r="J3366" s="28">
        <f>IFERROR(VLOOKUP(TEXT(B3366,"0"),STOCK!A:H,7,0),1)</f>
        <v>1</v>
      </c>
    </row>
    <row r="3367" spans="7:10" ht="35.450000000000003" hidden="1" customHeight="1">
      <c r="G3367" s="113"/>
      <c r="J3367" s="28">
        <f>IFERROR(VLOOKUP(TEXT(B3367,"0"),STOCK!A:H,7,0),1)</f>
        <v>1</v>
      </c>
    </row>
    <row r="3368" spans="7:10" ht="35.450000000000003" hidden="1" customHeight="1">
      <c r="G3368" s="113"/>
      <c r="J3368" s="28">
        <f>IFERROR(VLOOKUP(TEXT(B3368,"0"),STOCK!A:H,7,0),1)</f>
        <v>1</v>
      </c>
    </row>
    <row r="3369" spans="7:10" ht="35.450000000000003" hidden="1" customHeight="1">
      <c r="G3369" s="113"/>
      <c r="J3369" s="28">
        <f>IFERROR(VLOOKUP(TEXT(B3369,"0"),STOCK!A:H,7,0),1)</f>
        <v>1</v>
      </c>
    </row>
    <row r="3370" spans="7:10" ht="35.450000000000003" hidden="1" customHeight="1">
      <c r="G3370" s="113"/>
      <c r="J3370" s="28">
        <f>IFERROR(VLOOKUP(TEXT(B3370,"0"),STOCK!A:H,7,0),1)</f>
        <v>1</v>
      </c>
    </row>
    <row r="3371" spans="7:10" ht="35.450000000000003" hidden="1" customHeight="1">
      <c r="G3371" s="113"/>
      <c r="J3371" s="28">
        <f>IFERROR(VLOOKUP(TEXT(B3371,"0"),STOCK!A:H,7,0),1)</f>
        <v>1</v>
      </c>
    </row>
    <row r="3372" spans="7:10" ht="35.450000000000003" hidden="1" customHeight="1">
      <c r="G3372" s="113"/>
      <c r="J3372" s="28">
        <f>IFERROR(VLOOKUP(TEXT(B3372,"0"),STOCK!A:H,7,0),1)</f>
        <v>1</v>
      </c>
    </row>
    <row r="3373" spans="7:10" ht="35.450000000000003" hidden="1" customHeight="1">
      <c r="G3373" s="113"/>
      <c r="J3373" s="28">
        <f>IFERROR(VLOOKUP(TEXT(B3373,"0"),STOCK!A:H,7,0),1)</f>
        <v>1</v>
      </c>
    </row>
    <row r="3374" spans="7:10" ht="35.450000000000003" hidden="1" customHeight="1">
      <c r="G3374" s="113"/>
      <c r="J3374" s="28">
        <f>IFERROR(VLOOKUP(TEXT(B3374,"0"),STOCK!A:H,7,0),1)</f>
        <v>1</v>
      </c>
    </row>
    <row r="3375" spans="7:10" ht="35.450000000000003" hidden="1" customHeight="1">
      <c r="G3375" s="113"/>
      <c r="J3375" s="28">
        <f>IFERROR(VLOOKUP(TEXT(B3375,"0"),STOCK!A:H,7,0),1)</f>
        <v>1</v>
      </c>
    </row>
    <row r="3376" spans="7:10" ht="35.450000000000003" hidden="1" customHeight="1">
      <c r="G3376" s="113"/>
      <c r="J3376" s="28">
        <f>IFERROR(VLOOKUP(TEXT(B3376,"0"),STOCK!A:H,7,0),1)</f>
        <v>1</v>
      </c>
    </row>
    <row r="3377" spans="7:10" ht="35.450000000000003" hidden="1" customHeight="1">
      <c r="G3377" s="113"/>
      <c r="J3377" s="28">
        <f>IFERROR(VLOOKUP(TEXT(B3377,"0"),STOCK!A:H,7,0),1)</f>
        <v>1</v>
      </c>
    </row>
    <row r="3378" spans="7:10" ht="35.450000000000003" hidden="1" customHeight="1">
      <c r="G3378" s="113"/>
      <c r="J3378" s="28">
        <f>IFERROR(VLOOKUP(TEXT(B3378,"0"),STOCK!A:H,7,0),1)</f>
        <v>1</v>
      </c>
    </row>
    <row r="3379" spans="7:10" ht="35.450000000000003" hidden="1" customHeight="1">
      <c r="G3379" s="113"/>
      <c r="J3379" s="28">
        <f>IFERROR(VLOOKUP(TEXT(B3379,"0"),STOCK!A:H,7,0),1)</f>
        <v>1</v>
      </c>
    </row>
    <row r="3380" spans="7:10" ht="35.450000000000003" hidden="1" customHeight="1">
      <c r="G3380" s="113"/>
      <c r="J3380" s="28">
        <f>IFERROR(VLOOKUP(TEXT(B3380,"0"),STOCK!A:H,7,0),1)</f>
        <v>1</v>
      </c>
    </row>
    <row r="3381" spans="7:10" ht="35.450000000000003" hidden="1" customHeight="1">
      <c r="G3381" s="113"/>
      <c r="J3381" s="28">
        <f>IFERROR(VLOOKUP(TEXT(B3381,"0"),STOCK!A:H,7,0),1)</f>
        <v>1</v>
      </c>
    </row>
    <row r="3382" spans="7:10" ht="35.450000000000003" hidden="1" customHeight="1">
      <c r="G3382" s="113"/>
      <c r="J3382" s="28">
        <f>IFERROR(VLOOKUP(TEXT(B3382,"0"),STOCK!A:H,7,0),1)</f>
        <v>1</v>
      </c>
    </row>
    <row r="3383" spans="7:10" ht="35.450000000000003" hidden="1" customHeight="1">
      <c r="G3383" s="113"/>
      <c r="J3383" s="28">
        <f>IFERROR(VLOOKUP(TEXT(B3383,"0"),STOCK!A:H,7,0),1)</f>
        <v>1</v>
      </c>
    </row>
    <row r="3384" spans="7:10" ht="35.450000000000003" hidden="1" customHeight="1">
      <c r="G3384" s="113"/>
      <c r="J3384" s="28">
        <f>IFERROR(VLOOKUP(TEXT(B3384,"0"),STOCK!A:H,7,0),1)</f>
        <v>1</v>
      </c>
    </row>
    <row r="3385" spans="7:10" ht="35.450000000000003" hidden="1" customHeight="1">
      <c r="G3385" s="113"/>
      <c r="J3385" s="28">
        <f>IFERROR(VLOOKUP(TEXT(B3385,"0"),STOCK!A:H,7,0),1)</f>
        <v>1</v>
      </c>
    </row>
    <row r="3386" spans="7:10" ht="35.450000000000003" hidden="1" customHeight="1">
      <c r="G3386" s="113"/>
      <c r="J3386" s="28">
        <f>IFERROR(VLOOKUP(TEXT(B3386,"0"),STOCK!A:H,7,0),1)</f>
        <v>1</v>
      </c>
    </row>
    <row r="3387" spans="7:10" ht="35.450000000000003" hidden="1" customHeight="1">
      <c r="G3387" s="113"/>
      <c r="J3387" s="28">
        <f>IFERROR(VLOOKUP(TEXT(B3387,"0"),STOCK!A:H,7,0),1)</f>
        <v>1</v>
      </c>
    </row>
    <row r="3388" spans="7:10" ht="35.450000000000003" hidden="1" customHeight="1">
      <c r="G3388" s="113"/>
      <c r="J3388" s="28">
        <f>IFERROR(VLOOKUP(TEXT(B3388,"0"),STOCK!A:H,7,0),1)</f>
        <v>1</v>
      </c>
    </row>
    <row r="3389" spans="7:10" ht="35.450000000000003" hidden="1" customHeight="1">
      <c r="G3389" s="113"/>
      <c r="J3389" s="28">
        <f>IFERROR(VLOOKUP(TEXT(B3389,"0"),STOCK!A:H,7,0),1)</f>
        <v>1</v>
      </c>
    </row>
    <row r="3390" spans="7:10" ht="35.450000000000003" hidden="1" customHeight="1">
      <c r="G3390" s="113"/>
      <c r="J3390" s="28">
        <f>IFERROR(VLOOKUP(TEXT(B3390,"0"),STOCK!A:H,7,0),1)</f>
        <v>1</v>
      </c>
    </row>
    <row r="3391" spans="7:10" ht="35.450000000000003" hidden="1" customHeight="1">
      <c r="G3391" s="113"/>
      <c r="J3391" s="28">
        <f>IFERROR(VLOOKUP(TEXT(B3391,"0"),STOCK!A:H,7,0),1)</f>
        <v>1</v>
      </c>
    </row>
    <row r="3392" spans="7:10" ht="35.450000000000003" hidden="1" customHeight="1">
      <c r="G3392" s="113"/>
      <c r="J3392" s="28">
        <f>IFERROR(VLOOKUP(TEXT(B3392,"0"),STOCK!A:H,7,0),1)</f>
        <v>1</v>
      </c>
    </row>
    <row r="3393" spans="7:10" ht="35.450000000000003" hidden="1" customHeight="1">
      <c r="G3393" s="113"/>
      <c r="J3393" s="28">
        <f>IFERROR(VLOOKUP(TEXT(B3393,"0"),STOCK!A:H,7,0),1)</f>
        <v>1</v>
      </c>
    </row>
    <row r="3394" spans="7:10" ht="35.450000000000003" hidden="1" customHeight="1">
      <c r="G3394" s="113"/>
      <c r="J3394" s="28">
        <f>IFERROR(VLOOKUP(TEXT(B3394,"0"),STOCK!A:H,7,0),1)</f>
        <v>1</v>
      </c>
    </row>
    <row r="3395" spans="7:10" ht="35.450000000000003" hidden="1" customHeight="1">
      <c r="G3395" s="113"/>
      <c r="J3395" s="28">
        <f>IFERROR(VLOOKUP(TEXT(B3395,"0"),STOCK!A:H,7,0),1)</f>
        <v>1</v>
      </c>
    </row>
    <row r="3396" spans="7:10" ht="35.450000000000003" hidden="1" customHeight="1">
      <c r="G3396" s="113"/>
      <c r="J3396" s="28">
        <f>IFERROR(VLOOKUP(TEXT(B3396,"0"),STOCK!A:H,7,0),1)</f>
        <v>1</v>
      </c>
    </row>
    <row r="3397" spans="7:10" ht="35.450000000000003" hidden="1" customHeight="1">
      <c r="G3397" s="113"/>
      <c r="J3397" s="28">
        <f>IFERROR(VLOOKUP(TEXT(B3397,"0"),STOCK!A:H,7,0),1)</f>
        <v>1</v>
      </c>
    </row>
    <row r="3398" spans="7:10" ht="35.450000000000003" hidden="1" customHeight="1">
      <c r="G3398" s="113"/>
      <c r="J3398" s="28">
        <f>IFERROR(VLOOKUP(TEXT(B3398,"0"),STOCK!A:H,7,0),1)</f>
        <v>1</v>
      </c>
    </row>
    <row r="3399" spans="7:10" ht="35.450000000000003" hidden="1" customHeight="1">
      <c r="G3399" s="113"/>
      <c r="J3399" s="28">
        <f>IFERROR(VLOOKUP(TEXT(B3399,"0"),STOCK!A:H,7,0),1)</f>
        <v>1</v>
      </c>
    </row>
    <row r="3400" spans="7:10" ht="35.450000000000003" hidden="1" customHeight="1">
      <c r="G3400" s="113"/>
      <c r="J3400" s="28">
        <f>IFERROR(VLOOKUP(TEXT(B3400,"0"),STOCK!A:H,7,0),1)</f>
        <v>1</v>
      </c>
    </row>
    <row r="3401" spans="7:10" ht="35.450000000000003" hidden="1" customHeight="1">
      <c r="G3401" s="113"/>
      <c r="J3401" s="28">
        <f>IFERROR(VLOOKUP(TEXT(B3401,"0"),STOCK!A:H,7,0),1)</f>
        <v>1</v>
      </c>
    </row>
    <row r="3402" spans="7:10" ht="35.450000000000003" hidden="1" customHeight="1">
      <c r="G3402" s="113"/>
      <c r="J3402" s="28">
        <f>IFERROR(VLOOKUP(TEXT(B3402,"0"),STOCK!A:H,7,0),1)</f>
        <v>1</v>
      </c>
    </row>
    <row r="3403" spans="7:10" ht="35.450000000000003" hidden="1" customHeight="1">
      <c r="G3403" s="113"/>
      <c r="J3403" s="28">
        <f>IFERROR(VLOOKUP(TEXT(B3403,"0"),STOCK!A:H,7,0),1)</f>
        <v>1</v>
      </c>
    </row>
    <row r="3404" spans="7:10" ht="35.450000000000003" hidden="1" customHeight="1">
      <c r="G3404" s="113"/>
      <c r="J3404" s="28">
        <f>IFERROR(VLOOKUP(TEXT(B3404,"0"),STOCK!A:H,7,0),1)</f>
        <v>1</v>
      </c>
    </row>
    <row r="3405" spans="7:10" ht="35.450000000000003" hidden="1" customHeight="1">
      <c r="G3405" s="113"/>
      <c r="J3405" s="28">
        <f>IFERROR(VLOOKUP(TEXT(B3405,"0"),STOCK!A:H,7,0),1)</f>
        <v>1</v>
      </c>
    </row>
    <row r="3406" spans="7:10" ht="35.450000000000003" hidden="1" customHeight="1">
      <c r="G3406" s="113"/>
      <c r="J3406" s="28">
        <f>IFERROR(VLOOKUP(TEXT(B3406,"0"),STOCK!A:H,7,0),1)</f>
        <v>1</v>
      </c>
    </row>
    <row r="3407" spans="7:10" ht="35.450000000000003" hidden="1" customHeight="1">
      <c r="G3407" s="113"/>
      <c r="J3407" s="28">
        <f>IFERROR(VLOOKUP(TEXT(B3407,"0"),STOCK!A:H,7,0),1)</f>
        <v>1</v>
      </c>
    </row>
    <row r="3408" spans="7:10" ht="35.450000000000003" hidden="1" customHeight="1">
      <c r="G3408" s="113"/>
      <c r="J3408" s="28">
        <f>IFERROR(VLOOKUP(TEXT(B3408,"0"),STOCK!A:H,7,0),1)</f>
        <v>1</v>
      </c>
    </row>
    <row r="3409" spans="7:10" ht="35.450000000000003" hidden="1" customHeight="1">
      <c r="G3409" s="113"/>
      <c r="J3409" s="28">
        <f>IFERROR(VLOOKUP(TEXT(B3409,"0"),STOCK!A:H,7,0),1)</f>
        <v>1</v>
      </c>
    </row>
    <row r="3410" spans="7:10" ht="35.450000000000003" hidden="1" customHeight="1">
      <c r="G3410" s="113"/>
      <c r="J3410" s="28">
        <f>IFERROR(VLOOKUP(TEXT(B3410,"0"),STOCK!A:H,7,0),1)</f>
        <v>1</v>
      </c>
    </row>
    <row r="3411" spans="7:10" ht="35.450000000000003" hidden="1" customHeight="1">
      <c r="G3411" s="113"/>
      <c r="J3411" s="28">
        <f>IFERROR(VLOOKUP(TEXT(B3411,"0"),STOCK!A:H,7,0),1)</f>
        <v>1</v>
      </c>
    </row>
    <row r="3412" spans="7:10" ht="35.450000000000003" hidden="1" customHeight="1">
      <c r="G3412" s="113"/>
      <c r="J3412" s="28">
        <f>IFERROR(VLOOKUP(TEXT(B3412,"0"),STOCK!A:H,7,0),1)</f>
        <v>1</v>
      </c>
    </row>
    <row r="3413" spans="7:10" ht="35.450000000000003" hidden="1" customHeight="1">
      <c r="G3413" s="113"/>
      <c r="J3413" s="28">
        <f>IFERROR(VLOOKUP(TEXT(B3413,"0"),STOCK!A:H,7,0),1)</f>
        <v>1</v>
      </c>
    </row>
    <row r="3414" spans="7:10" ht="35.450000000000003" hidden="1" customHeight="1">
      <c r="G3414" s="113"/>
      <c r="J3414" s="28">
        <f>IFERROR(VLOOKUP(TEXT(B3414,"0"),STOCK!A:H,7,0),1)</f>
        <v>1</v>
      </c>
    </row>
    <row r="3415" spans="7:10" ht="35.450000000000003" hidden="1" customHeight="1">
      <c r="G3415" s="113"/>
      <c r="J3415" s="28">
        <f>IFERROR(VLOOKUP(TEXT(B3415,"0"),STOCK!A:H,7,0),1)</f>
        <v>1</v>
      </c>
    </row>
    <row r="3416" spans="7:10" ht="35.450000000000003" hidden="1" customHeight="1">
      <c r="G3416" s="113"/>
      <c r="J3416" s="28">
        <f>IFERROR(VLOOKUP(TEXT(B3416,"0"),STOCK!A:H,7,0),1)</f>
        <v>1</v>
      </c>
    </row>
    <row r="3417" spans="7:10" ht="35.450000000000003" hidden="1" customHeight="1">
      <c r="G3417" s="113"/>
      <c r="J3417" s="28">
        <f>IFERROR(VLOOKUP(TEXT(B3417,"0"),STOCK!A:H,7,0),1)</f>
        <v>1</v>
      </c>
    </row>
    <row r="3418" spans="7:10" ht="35.450000000000003" hidden="1" customHeight="1">
      <c r="G3418" s="113"/>
      <c r="J3418" s="28">
        <f>IFERROR(VLOOKUP(TEXT(B3418,"0"),STOCK!A:H,7,0),1)</f>
        <v>1</v>
      </c>
    </row>
    <row r="3419" spans="7:10" ht="35.450000000000003" hidden="1" customHeight="1">
      <c r="G3419" s="113"/>
      <c r="J3419" s="28">
        <f>IFERROR(VLOOKUP(TEXT(B3419,"0"),STOCK!A:H,7,0),1)</f>
        <v>1</v>
      </c>
    </row>
    <row r="3420" spans="7:10" ht="35.450000000000003" hidden="1" customHeight="1">
      <c r="G3420" s="113"/>
      <c r="J3420" s="28">
        <f>IFERROR(VLOOKUP(TEXT(B3420,"0"),STOCK!A:H,7,0),1)</f>
        <v>1</v>
      </c>
    </row>
    <row r="3421" spans="7:10" ht="35.450000000000003" hidden="1" customHeight="1">
      <c r="G3421" s="113"/>
      <c r="J3421" s="28">
        <f>IFERROR(VLOOKUP(TEXT(B3421,"0"),STOCK!A:H,7,0),1)</f>
        <v>1</v>
      </c>
    </row>
    <row r="3422" spans="7:10" ht="35.450000000000003" hidden="1" customHeight="1">
      <c r="G3422" s="113"/>
      <c r="J3422" s="28">
        <f>IFERROR(VLOOKUP(TEXT(B3422,"0"),STOCK!A:H,7,0),1)</f>
        <v>1</v>
      </c>
    </row>
    <row r="3423" spans="7:10" ht="35.450000000000003" hidden="1" customHeight="1">
      <c r="G3423" s="113"/>
      <c r="J3423" s="28">
        <f>IFERROR(VLOOKUP(TEXT(B3423,"0"),STOCK!A:H,7,0),1)</f>
        <v>1</v>
      </c>
    </row>
    <row r="3424" spans="7:10" ht="35.450000000000003" hidden="1" customHeight="1">
      <c r="G3424" s="113"/>
      <c r="J3424" s="28">
        <f>IFERROR(VLOOKUP(TEXT(B3424,"0"),STOCK!A:H,7,0),1)</f>
        <v>1</v>
      </c>
    </row>
    <row r="3425" spans="7:10" ht="35.450000000000003" hidden="1" customHeight="1">
      <c r="G3425" s="113"/>
      <c r="J3425" s="28">
        <f>IFERROR(VLOOKUP(TEXT(B3425,"0"),STOCK!A:H,7,0),1)</f>
        <v>1</v>
      </c>
    </row>
    <row r="3426" spans="7:10" ht="35.450000000000003" hidden="1" customHeight="1">
      <c r="G3426" s="113"/>
      <c r="J3426" s="28">
        <f>IFERROR(VLOOKUP(TEXT(B3426,"0"),STOCK!A:H,7,0),1)</f>
        <v>1</v>
      </c>
    </row>
    <row r="3427" spans="7:10" ht="35.450000000000003" hidden="1" customHeight="1">
      <c r="G3427" s="113"/>
      <c r="J3427" s="28">
        <f>IFERROR(VLOOKUP(TEXT(B3427,"0"),STOCK!A:H,7,0),1)</f>
        <v>1</v>
      </c>
    </row>
    <row r="3428" spans="7:10" ht="35.450000000000003" hidden="1" customHeight="1">
      <c r="G3428" s="113"/>
      <c r="J3428" s="28">
        <f>IFERROR(VLOOKUP(TEXT(B3428,"0"),STOCK!A:H,7,0),1)</f>
        <v>1</v>
      </c>
    </row>
    <row r="3429" spans="7:10" ht="35.450000000000003" hidden="1" customHeight="1">
      <c r="G3429" s="113"/>
      <c r="J3429" s="28">
        <f>IFERROR(VLOOKUP(TEXT(B3429,"0"),STOCK!A:H,7,0),1)</f>
        <v>1</v>
      </c>
    </row>
    <row r="3430" spans="7:10" ht="35.450000000000003" hidden="1" customHeight="1">
      <c r="G3430" s="113"/>
      <c r="J3430" s="28">
        <f>IFERROR(VLOOKUP(TEXT(B3430,"0"),STOCK!A:H,7,0),1)</f>
        <v>1</v>
      </c>
    </row>
    <row r="3431" spans="7:10" ht="35.450000000000003" hidden="1" customHeight="1">
      <c r="G3431" s="113"/>
      <c r="J3431" s="28">
        <f>IFERROR(VLOOKUP(TEXT(B3431,"0"),STOCK!A:H,7,0),1)</f>
        <v>1</v>
      </c>
    </row>
    <row r="3432" spans="7:10" ht="35.450000000000003" hidden="1" customHeight="1">
      <c r="G3432" s="113"/>
      <c r="J3432" s="28">
        <f>IFERROR(VLOOKUP(TEXT(B3432,"0"),STOCK!A:H,7,0),1)</f>
        <v>1</v>
      </c>
    </row>
    <row r="3433" spans="7:10" ht="35.450000000000003" hidden="1" customHeight="1">
      <c r="G3433" s="113"/>
      <c r="J3433" s="28">
        <f>IFERROR(VLOOKUP(TEXT(B3433,"0"),STOCK!A:H,7,0),1)</f>
        <v>1</v>
      </c>
    </row>
    <row r="3434" spans="7:10" ht="35.450000000000003" hidden="1" customHeight="1">
      <c r="G3434" s="113"/>
      <c r="J3434" s="28">
        <f>IFERROR(VLOOKUP(TEXT(B3434,"0"),STOCK!A:H,7,0),1)</f>
        <v>1</v>
      </c>
    </row>
    <row r="3435" spans="7:10" ht="35.450000000000003" hidden="1" customHeight="1">
      <c r="G3435" s="113"/>
      <c r="J3435" s="28">
        <f>IFERROR(VLOOKUP(TEXT(B3435,"0"),STOCK!A:H,7,0),1)</f>
        <v>1</v>
      </c>
    </row>
    <row r="3436" spans="7:10" ht="35.450000000000003" hidden="1" customHeight="1">
      <c r="G3436" s="113"/>
      <c r="J3436" s="28">
        <f>IFERROR(VLOOKUP(TEXT(B3436,"0"),STOCK!A:H,7,0),1)</f>
        <v>1</v>
      </c>
    </row>
    <row r="3437" spans="7:10" ht="35.450000000000003" hidden="1" customHeight="1">
      <c r="G3437" s="113"/>
      <c r="J3437" s="28">
        <f>IFERROR(VLOOKUP(TEXT(B3437,"0"),STOCK!A:H,7,0),1)</f>
        <v>1</v>
      </c>
    </row>
    <row r="3438" spans="7:10" ht="35.450000000000003" hidden="1" customHeight="1">
      <c r="G3438" s="113"/>
      <c r="J3438" s="28">
        <f>IFERROR(VLOOKUP(TEXT(B3438,"0"),STOCK!A:H,7,0),1)</f>
        <v>1</v>
      </c>
    </row>
    <row r="3439" spans="7:10" ht="35.450000000000003" hidden="1" customHeight="1">
      <c r="G3439" s="113"/>
      <c r="J3439" s="28">
        <f>IFERROR(VLOOKUP(TEXT(B3439,"0"),STOCK!A:H,7,0),1)</f>
        <v>1</v>
      </c>
    </row>
    <row r="3440" spans="7:10" ht="35.450000000000003" hidden="1" customHeight="1">
      <c r="G3440" s="113"/>
      <c r="J3440" s="28">
        <f>IFERROR(VLOOKUP(TEXT(B3440,"0"),STOCK!A:H,7,0),1)</f>
        <v>1</v>
      </c>
    </row>
    <row r="3441" spans="7:10" ht="35.450000000000003" hidden="1" customHeight="1">
      <c r="G3441" s="113"/>
      <c r="J3441" s="28">
        <f>IFERROR(VLOOKUP(TEXT(B3441,"0"),STOCK!A:H,7,0),1)</f>
        <v>1</v>
      </c>
    </row>
    <row r="3442" spans="7:10" ht="35.450000000000003" hidden="1" customHeight="1">
      <c r="G3442" s="113"/>
      <c r="J3442" s="28">
        <f>IFERROR(VLOOKUP(TEXT(B3442,"0"),STOCK!A:H,7,0),1)</f>
        <v>1</v>
      </c>
    </row>
    <row r="3443" spans="7:10" ht="35.450000000000003" hidden="1" customHeight="1">
      <c r="G3443" s="113"/>
      <c r="J3443" s="28">
        <f>IFERROR(VLOOKUP(TEXT(B3443,"0"),STOCK!A:H,7,0),1)</f>
        <v>1</v>
      </c>
    </row>
    <row r="3444" spans="7:10" ht="35.450000000000003" hidden="1" customHeight="1">
      <c r="G3444" s="113"/>
      <c r="J3444" s="28">
        <f>IFERROR(VLOOKUP(TEXT(B3444,"0"),STOCK!A:H,7,0),1)</f>
        <v>1</v>
      </c>
    </row>
    <row r="3445" spans="7:10" ht="35.450000000000003" hidden="1" customHeight="1">
      <c r="G3445" s="113"/>
      <c r="J3445" s="28">
        <f>IFERROR(VLOOKUP(TEXT(B3445,"0"),STOCK!A:H,7,0),1)</f>
        <v>1</v>
      </c>
    </row>
    <row r="3446" spans="7:10" ht="35.450000000000003" hidden="1" customHeight="1">
      <c r="G3446" s="113"/>
      <c r="J3446" s="28">
        <f>IFERROR(VLOOKUP(TEXT(B3446,"0"),STOCK!A:H,7,0),1)</f>
        <v>1</v>
      </c>
    </row>
    <row r="3447" spans="7:10" ht="35.450000000000003" hidden="1" customHeight="1">
      <c r="G3447" s="113"/>
      <c r="J3447" s="28">
        <f>IFERROR(VLOOKUP(TEXT(B3447,"0"),STOCK!A:H,7,0),1)</f>
        <v>1</v>
      </c>
    </row>
    <row r="3448" spans="7:10" ht="35.450000000000003" hidden="1" customHeight="1">
      <c r="G3448" s="113"/>
      <c r="J3448" s="28">
        <f>IFERROR(VLOOKUP(TEXT(B3448,"0"),STOCK!A:H,7,0),1)</f>
        <v>1</v>
      </c>
    </row>
    <row r="3449" spans="7:10" ht="35.450000000000003" hidden="1" customHeight="1">
      <c r="G3449" s="113"/>
      <c r="J3449" s="28">
        <f>IFERROR(VLOOKUP(TEXT(B3449,"0"),STOCK!A:H,7,0),1)</f>
        <v>1</v>
      </c>
    </row>
    <row r="3450" spans="7:10" ht="35.450000000000003" hidden="1" customHeight="1">
      <c r="G3450" s="113"/>
      <c r="J3450" s="28">
        <f>IFERROR(VLOOKUP(TEXT(B3450,"0"),STOCK!A:H,7,0),1)</f>
        <v>1</v>
      </c>
    </row>
    <row r="3451" spans="7:10" ht="35.450000000000003" hidden="1" customHeight="1">
      <c r="G3451" s="113"/>
      <c r="J3451" s="28">
        <f>IFERROR(VLOOKUP(TEXT(B3451,"0"),STOCK!A:H,7,0),1)</f>
        <v>1</v>
      </c>
    </row>
    <row r="3452" spans="7:10" ht="35.450000000000003" hidden="1" customHeight="1">
      <c r="G3452" s="113"/>
      <c r="J3452" s="28">
        <f>IFERROR(VLOOKUP(TEXT(B3452,"0"),STOCK!A:H,7,0),1)</f>
        <v>1</v>
      </c>
    </row>
    <row r="3453" spans="7:10" ht="35.450000000000003" hidden="1" customHeight="1">
      <c r="G3453" s="113"/>
      <c r="J3453" s="28">
        <f>IFERROR(VLOOKUP(TEXT(B3453,"0"),STOCK!A:H,7,0),1)</f>
        <v>1</v>
      </c>
    </row>
    <row r="3454" spans="7:10" ht="35.450000000000003" hidden="1" customHeight="1">
      <c r="G3454" s="113"/>
      <c r="J3454" s="28">
        <f>IFERROR(VLOOKUP(TEXT(B3454,"0"),STOCK!A:H,7,0),1)</f>
        <v>1</v>
      </c>
    </row>
    <row r="3455" spans="7:10" ht="35.450000000000003" hidden="1" customHeight="1">
      <c r="G3455" s="113"/>
      <c r="J3455" s="28">
        <f>IFERROR(VLOOKUP(TEXT(B3455,"0"),STOCK!A:H,7,0),1)</f>
        <v>1</v>
      </c>
    </row>
    <row r="3456" spans="7:10" ht="35.450000000000003" hidden="1" customHeight="1">
      <c r="G3456" s="113"/>
      <c r="J3456" s="28">
        <f>IFERROR(VLOOKUP(TEXT(B3456,"0"),STOCK!A:H,7,0),1)</f>
        <v>1</v>
      </c>
    </row>
    <row r="3457" spans="7:10" ht="35.450000000000003" hidden="1" customHeight="1">
      <c r="G3457" s="113"/>
      <c r="J3457" s="28">
        <f>IFERROR(VLOOKUP(TEXT(B3457,"0"),STOCK!A:H,7,0),1)</f>
        <v>1</v>
      </c>
    </row>
    <row r="3458" spans="7:10" ht="35.450000000000003" hidden="1" customHeight="1">
      <c r="G3458" s="113"/>
      <c r="J3458" s="28">
        <f>IFERROR(VLOOKUP(TEXT(B3458,"0"),STOCK!A:H,7,0),1)</f>
        <v>1</v>
      </c>
    </row>
    <row r="3459" spans="7:10" ht="35.450000000000003" hidden="1" customHeight="1">
      <c r="G3459" s="113"/>
      <c r="J3459" s="28">
        <f>IFERROR(VLOOKUP(TEXT(B3459,"0"),STOCK!A:H,7,0),1)</f>
        <v>1</v>
      </c>
    </row>
    <row r="3460" spans="7:10" ht="35.450000000000003" hidden="1" customHeight="1">
      <c r="G3460" s="113"/>
      <c r="J3460" s="28">
        <f>IFERROR(VLOOKUP(TEXT(B3460,"0"),STOCK!A:H,7,0),1)</f>
        <v>1</v>
      </c>
    </row>
    <row r="3461" spans="7:10" ht="35.450000000000003" hidden="1" customHeight="1">
      <c r="G3461" s="113"/>
      <c r="J3461" s="28">
        <f>IFERROR(VLOOKUP(TEXT(B3461,"0"),STOCK!A:H,7,0),1)</f>
        <v>1</v>
      </c>
    </row>
    <row r="3462" spans="7:10" ht="35.450000000000003" hidden="1" customHeight="1">
      <c r="G3462" s="113"/>
      <c r="J3462" s="28">
        <f>IFERROR(VLOOKUP(TEXT(B3462,"0"),STOCK!A:H,7,0),1)</f>
        <v>1</v>
      </c>
    </row>
    <row r="3463" spans="7:10" ht="35.450000000000003" hidden="1" customHeight="1">
      <c r="G3463" s="113"/>
      <c r="J3463" s="28">
        <f>IFERROR(VLOOKUP(TEXT(B3463,"0"),STOCK!A:H,7,0),1)</f>
        <v>1</v>
      </c>
    </row>
    <row r="3464" spans="7:10" ht="35.450000000000003" hidden="1" customHeight="1">
      <c r="G3464" s="113"/>
      <c r="J3464" s="28">
        <f>IFERROR(VLOOKUP(TEXT(B3464,"0"),STOCK!A:H,7,0),1)</f>
        <v>1</v>
      </c>
    </row>
    <row r="3465" spans="7:10" ht="35.450000000000003" hidden="1" customHeight="1">
      <c r="G3465" s="113"/>
      <c r="J3465" s="28">
        <f>IFERROR(VLOOKUP(TEXT(B3465,"0"),STOCK!A:H,7,0),1)</f>
        <v>1</v>
      </c>
    </row>
    <row r="3466" spans="7:10" ht="35.450000000000003" hidden="1" customHeight="1">
      <c r="G3466" s="113"/>
      <c r="J3466" s="28">
        <f>IFERROR(VLOOKUP(TEXT(B3466,"0"),STOCK!A:H,7,0),1)</f>
        <v>1</v>
      </c>
    </row>
    <row r="3467" spans="7:10" ht="35.450000000000003" hidden="1" customHeight="1">
      <c r="G3467" s="113"/>
      <c r="J3467" s="28">
        <f>IFERROR(VLOOKUP(TEXT(B3467,"0"),STOCK!A:H,7,0),1)</f>
        <v>1</v>
      </c>
    </row>
    <row r="3468" spans="7:10" ht="35.450000000000003" hidden="1" customHeight="1">
      <c r="G3468" s="113"/>
      <c r="J3468" s="28">
        <f>IFERROR(VLOOKUP(TEXT(B3468,"0"),STOCK!A:H,7,0),1)</f>
        <v>1</v>
      </c>
    </row>
    <row r="3469" spans="7:10" ht="35.450000000000003" hidden="1" customHeight="1">
      <c r="G3469" s="113"/>
      <c r="J3469" s="28">
        <f>IFERROR(VLOOKUP(TEXT(B3469,"0"),STOCK!A:H,7,0),1)</f>
        <v>1</v>
      </c>
    </row>
    <row r="3470" spans="7:10" ht="35.450000000000003" hidden="1" customHeight="1">
      <c r="G3470" s="113"/>
      <c r="J3470" s="28">
        <f>IFERROR(VLOOKUP(TEXT(B3470,"0"),STOCK!A:H,7,0),1)</f>
        <v>1</v>
      </c>
    </row>
    <row r="3471" spans="7:10" ht="35.450000000000003" hidden="1" customHeight="1">
      <c r="G3471" s="113"/>
      <c r="J3471" s="28">
        <f>IFERROR(VLOOKUP(TEXT(B3471,"0"),STOCK!A:H,7,0),1)</f>
        <v>1</v>
      </c>
    </row>
    <row r="3472" spans="7:10" ht="35.450000000000003" hidden="1" customHeight="1">
      <c r="G3472" s="113"/>
      <c r="J3472" s="28">
        <f>IFERROR(VLOOKUP(TEXT(B3472,"0"),STOCK!A:H,7,0),1)</f>
        <v>1</v>
      </c>
    </row>
    <row r="3473" spans="7:10" ht="35.450000000000003" hidden="1" customHeight="1">
      <c r="G3473" s="113"/>
      <c r="J3473" s="28">
        <f>IFERROR(VLOOKUP(TEXT(B3473,"0"),STOCK!A:H,7,0),1)</f>
        <v>1</v>
      </c>
    </row>
    <row r="3474" spans="7:10" ht="35.450000000000003" hidden="1" customHeight="1">
      <c r="G3474" s="113"/>
      <c r="J3474" s="28">
        <f>IFERROR(VLOOKUP(TEXT(B3474,"0"),STOCK!A:H,7,0),1)</f>
        <v>1</v>
      </c>
    </row>
    <row r="3475" spans="7:10" ht="35.450000000000003" hidden="1" customHeight="1">
      <c r="G3475" s="113"/>
      <c r="J3475" s="28">
        <f>IFERROR(VLOOKUP(TEXT(B3475,"0"),STOCK!A:H,7,0),1)</f>
        <v>1</v>
      </c>
    </row>
    <row r="3476" spans="7:10" ht="35.450000000000003" hidden="1" customHeight="1">
      <c r="G3476" s="113"/>
      <c r="J3476" s="28">
        <f>IFERROR(VLOOKUP(TEXT(B3476,"0"),STOCK!A:H,7,0),1)</f>
        <v>1</v>
      </c>
    </row>
    <row r="3477" spans="7:10" ht="35.450000000000003" hidden="1" customHeight="1">
      <c r="G3477" s="113"/>
      <c r="J3477" s="28">
        <f>IFERROR(VLOOKUP(TEXT(B3477,"0"),STOCK!A:H,7,0),1)</f>
        <v>1</v>
      </c>
    </row>
    <row r="3478" spans="7:10" ht="35.450000000000003" hidden="1" customHeight="1">
      <c r="G3478" s="113"/>
      <c r="J3478" s="28">
        <f>IFERROR(VLOOKUP(TEXT(B3478,"0"),STOCK!A:H,7,0),1)</f>
        <v>1</v>
      </c>
    </row>
    <row r="3479" spans="7:10" ht="35.450000000000003" hidden="1" customHeight="1">
      <c r="G3479" s="113"/>
      <c r="J3479" s="28">
        <f>IFERROR(VLOOKUP(TEXT(B3479,"0"),STOCK!A:H,7,0),1)</f>
        <v>1</v>
      </c>
    </row>
    <row r="3480" spans="7:10" ht="35.450000000000003" hidden="1" customHeight="1">
      <c r="G3480" s="113"/>
      <c r="J3480" s="28">
        <f>IFERROR(VLOOKUP(TEXT(B3480,"0"),STOCK!A:H,7,0),1)</f>
        <v>1</v>
      </c>
    </row>
    <row r="3481" spans="7:10" ht="35.450000000000003" hidden="1" customHeight="1">
      <c r="G3481" s="113"/>
      <c r="J3481" s="28">
        <f>IFERROR(VLOOKUP(TEXT(B3481,"0"),STOCK!A:H,7,0),1)</f>
        <v>1</v>
      </c>
    </row>
    <row r="3482" spans="7:10" ht="35.450000000000003" hidden="1" customHeight="1">
      <c r="G3482" s="113"/>
      <c r="J3482" s="28">
        <f>IFERROR(VLOOKUP(TEXT(B3482,"0"),STOCK!A:H,7,0),1)</f>
        <v>1</v>
      </c>
    </row>
    <row r="3483" spans="7:10" ht="35.450000000000003" hidden="1" customHeight="1">
      <c r="G3483" s="113"/>
      <c r="J3483" s="28">
        <f>IFERROR(VLOOKUP(TEXT(B3483,"0"),STOCK!A:H,7,0),1)</f>
        <v>1</v>
      </c>
    </row>
    <row r="3484" spans="7:10" ht="35.450000000000003" hidden="1" customHeight="1">
      <c r="G3484" s="113"/>
      <c r="J3484" s="28">
        <f>IFERROR(VLOOKUP(TEXT(B3484,"0"),STOCK!A:H,7,0),1)</f>
        <v>1</v>
      </c>
    </row>
    <row r="3485" spans="7:10" ht="35.450000000000003" hidden="1" customHeight="1">
      <c r="G3485" s="113"/>
      <c r="J3485" s="28">
        <f>IFERROR(VLOOKUP(TEXT(B3485,"0"),STOCK!A:H,7,0),1)</f>
        <v>1</v>
      </c>
    </row>
    <row r="3486" spans="7:10" ht="35.450000000000003" hidden="1" customHeight="1">
      <c r="G3486" s="113"/>
      <c r="J3486" s="28">
        <f>IFERROR(VLOOKUP(TEXT(B3486,"0"),STOCK!A:H,7,0),1)</f>
        <v>1</v>
      </c>
    </row>
    <row r="3487" spans="7:10" ht="35.450000000000003" hidden="1" customHeight="1">
      <c r="G3487" s="113"/>
      <c r="J3487" s="28">
        <f>IFERROR(VLOOKUP(TEXT(B3487,"0"),STOCK!A:H,7,0),1)</f>
        <v>1</v>
      </c>
    </row>
    <row r="3488" spans="7:10" ht="35.450000000000003" hidden="1" customHeight="1">
      <c r="G3488" s="113"/>
      <c r="J3488" s="28">
        <f>IFERROR(VLOOKUP(TEXT(B3488,"0"),STOCK!A:H,7,0),1)</f>
        <v>1</v>
      </c>
    </row>
    <row r="3489" spans="7:10" ht="35.450000000000003" hidden="1" customHeight="1">
      <c r="G3489" s="113"/>
      <c r="J3489" s="28">
        <f>IFERROR(VLOOKUP(TEXT(B3489,"0"),STOCK!A:H,7,0),1)</f>
        <v>1</v>
      </c>
    </row>
    <row r="3490" spans="7:10" ht="35.450000000000003" hidden="1" customHeight="1">
      <c r="G3490" s="113"/>
      <c r="J3490" s="28">
        <f>IFERROR(VLOOKUP(TEXT(B3490,"0"),STOCK!A:H,7,0),1)</f>
        <v>1</v>
      </c>
    </row>
    <row r="3491" spans="7:10" ht="35.450000000000003" hidden="1" customHeight="1">
      <c r="G3491" s="113"/>
      <c r="J3491" s="28">
        <f>IFERROR(VLOOKUP(TEXT(B3491,"0"),STOCK!A:H,7,0),1)</f>
        <v>1</v>
      </c>
    </row>
    <row r="3492" spans="7:10" ht="35.450000000000003" hidden="1" customHeight="1">
      <c r="G3492" s="113"/>
      <c r="J3492" s="28">
        <f>IFERROR(VLOOKUP(TEXT(B3492,"0"),STOCK!A:H,7,0),1)</f>
        <v>1</v>
      </c>
    </row>
    <row r="3493" spans="7:10" ht="35.450000000000003" hidden="1" customHeight="1">
      <c r="G3493" s="113"/>
      <c r="J3493" s="28">
        <f>IFERROR(VLOOKUP(TEXT(B3493,"0"),STOCK!A:H,7,0),1)</f>
        <v>1</v>
      </c>
    </row>
    <row r="3494" spans="7:10" ht="35.450000000000003" hidden="1" customHeight="1">
      <c r="G3494" s="113"/>
      <c r="J3494" s="28">
        <f>IFERROR(VLOOKUP(TEXT(B3494,"0"),STOCK!A:H,7,0),1)</f>
        <v>1</v>
      </c>
    </row>
    <row r="3495" spans="7:10" ht="35.450000000000003" hidden="1" customHeight="1">
      <c r="G3495" s="113"/>
      <c r="J3495" s="28">
        <f>IFERROR(VLOOKUP(TEXT(B3495,"0"),STOCK!A:H,7,0),1)</f>
        <v>1</v>
      </c>
    </row>
    <row r="3496" spans="7:10" ht="35.450000000000003" hidden="1" customHeight="1">
      <c r="G3496" s="113"/>
      <c r="J3496" s="28">
        <f>IFERROR(VLOOKUP(TEXT(B3496,"0"),STOCK!A:H,7,0),1)</f>
        <v>1</v>
      </c>
    </row>
    <row r="3497" spans="7:10" ht="35.450000000000003" hidden="1" customHeight="1">
      <c r="G3497" s="113"/>
      <c r="J3497" s="28">
        <f>IFERROR(VLOOKUP(TEXT(B3497,"0"),STOCK!A:H,7,0),1)</f>
        <v>1</v>
      </c>
    </row>
    <row r="3498" spans="7:10" ht="35.450000000000003" hidden="1" customHeight="1">
      <c r="G3498" s="113"/>
      <c r="J3498" s="28">
        <f>IFERROR(VLOOKUP(TEXT(B3498,"0"),STOCK!A:H,7,0),1)</f>
        <v>1</v>
      </c>
    </row>
    <row r="3499" spans="7:10" ht="35.450000000000003" hidden="1" customHeight="1">
      <c r="G3499" s="113"/>
      <c r="J3499" s="28">
        <f>IFERROR(VLOOKUP(TEXT(B3499,"0"),STOCK!A:H,7,0),1)</f>
        <v>1</v>
      </c>
    </row>
    <row r="3500" spans="7:10" ht="35.450000000000003" hidden="1" customHeight="1">
      <c r="G3500" s="113"/>
      <c r="J3500" s="28">
        <f>IFERROR(VLOOKUP(TEXT(B3500,"0"),STOCK!A:H,7,0),1)</f>
        <v>1</v>
      </c>
    </row>
    <row r="3501" spans="7:10" ht="35.450000000000003" hidden="1" customHeight="1">
      <c r="G3501" s="113"/>
      <c r="J3501" s="28">
        <f>IFERROR(VLOOKUP(TEXT(B3501,"0"),STOCK!A:H,7,0),1)</f>
        <v>1</v>
      </c>
    </row>
    <row r="3502" spans="7:10" ht="35.450000000000003" hidden="1" customHeight="1">
      <c r="G3502" s="113"/>
      <c r="J3502" s="28">
        <f>IFERROR(VLOOKUP(TEXT(B3502,"0"),STOCK!A:H,7,0),1)</f>
        <v>1</v>
      </c>
    </row>
    <row r="3503" spans="7:10" ht="35.450000000000003" hidden="1" customHeight="1">
      <c r="G3503" s="113"/>
      <c r="J3503" s="28">
        <f>IFERROR(VLOOKUP(TEXT(B3503,"0"),STOCK!A:H,7,0),1)</f>
        <v>1</v>
      </c>
    </row>
    <row r="3504" spans="7:10" ht="35.450000000000003" hidden="1" customHeight="1">
      <c r="G3504" s="113"/>
      <c r="J3504" s="28">
        <f>IFERROR(VLOOKUP(TEXT(B3504,"0"),STOCK!A:H,7,0),1)</f>
        <v>1</v>
      </c>
    </row>
    <row r="3505" spans="7:10" ht="35.450000000000003" hidden="1" customHeight="1">
      <c r="G3505" s="113"/>
      <c r="J3505" s="28">
        <f>IFERROR(VLOOKUP(TEXT(B3505,"0"),STOCK!A:H,7,0),1)</f>
        <v>1</v>
      </c>
    </row>
    <row r="3506" spans="7:10" ht="35.450000000000003" hidden="1" customHeight="1">
      <c r="G3506" s="113"/>
      <c r="J3506" s="28">
        <f>IFERROR(VLOOKUP(TEXT(B3506,"0"),STOCK!A:H,7,0),1)</f>
        <v>1</v>
      </c>
    </row>
    <row r="3507" spans="7:10" ht="35.450000000000003" hidden="1" customHeight="1">
      <c r="G3507" s="113"/>
      <c r="J3507" s="28">
        <f>IFERROR(VLOOKUP(TEXT(B3507,"0"),STOCK!A:H,7,0),1)</f>
        <v>1</v>
      </c>
    </row>
    <row r="3508" spans="7:10" ht="35.450000000000003" hidden="1" customHeight="1">
      <c r="G3508" s="113"/>
      <c r="J3508" s="28">
        <f>IFERROR(VLOOKUP(TEXT(B3508,"0"),STOCK!A:H,7,0),1)</f>
        <v>1</v>
      </c>
    </row>
    <row r="3509" spans="7:10" ht="35.450000000000003" hidden="1" customHeight="1">
      <c r="G3509" s="113"/>
      <c r="J3509" s="28">
        <f>IFERROR(VLOOKUP(TEXT(B3509,"0"),STOCK!A:H,7,0),1)</f>
        <v>1</v>
      </c>
    </row>
    <row r="3510" spans="7:10" ht="35.450000000000003" hidden="1" customHeight="1">
      <c r="G3510" s="113"/>
      <c r="J3510" s="28">
        <f>IFERROR(VLOOKUP(TEXT(B3510,"0"),STOCK!A:H,7,0),1)</f>
        <v>1</v>
      </c>
    </row>
    <row r="3511" spans="7:10" ht="35.450000000000003" hidden="1" customHeight="1">
      <c r="G3511" s="113"/>
      <c r="J3511" s="28">
        <f>IFERROR(VLOOKUP(TEXT(B3511,"0"),STOCK!A:H,7,0),1)</f>
        <v>1</v>
      </c>
    </row>
    <row r="3512" spans="7:10" ht="35.450000000000003" hidden="1" customHeight="1">
      <c r="G3512" s="113"/>
      <c r="J3512" s="28">
        <f>IFERROR(VLOOKUP(TEXT(B3512,"0"),STOCK!A:H,7,0),1)</f>
        <v>1</v>
      </c>
    </row>
    <row r="3513" spans="7:10" ht="35.450000000000003" hidden="1" customHeight="1">
      <c r="G3513" s="113"/>
      <c r="J3513" s="28">
        <f>IFERROR(VLOOKUP(TEXT(B3513,"0"),STOCK!A:H,7,0),1)</f>
        <v>1</v>
      </c>
    </row>
    <row r="3514" spans="7:10" ht="35.450000000000003" hidden="1" customHeight="1">
      <c r="G3514" s="113"/>
      <c r="J3514" s="28">
        <f>IFERROR(VLOOKUP(TEXT(B3514,"0"),STOCK!A:H,7,0),1)</f>
        <v>1</v>
      </c>
    </row>
    <row r="3515" spans="7:10" ht="35.450000000000003" hidden="1" customHeight="1">
      <c r="G3515" s="113"/>
      <c r="J3515" s="28">
        <f>IFERROR(VLOOKUP(TEXT(B3515,"0"),STOCK!A:H,7,0),1)</f>
        <v>1</v>
      </c>
    </row>
    <row r="3516" spans="7:10" ht="35.450000000000003" hidden="1" customHeight="1">
      <c r="G3516" s="113"/>
      <c r="J3516" s="28">
        <f>IFERROR(VLOOKUP(TEXT(B3516,"0"),STOCK!A:H,7,0),1)</f>
        <v>1</v>
      </c>
    </row>
    <row r="3517" spans="7:10" ht="35.450000000000003" hidden="1" customHeight="1">
      <c r="G3517" s="113"/>
      <c r="J3517" s="28">
        <f>IFERROR(VLOOKUP(TEXT(B3517,"0"),STOCK!A:H,7,0),1)</f>
        <v>1</v>
      </c>
    </row>
    <row r="3518" spans="7:10" ht="35.450000000000003" hidden="1" customHeight="1">
      <c r="G3518" s="113"/>
      <c r="J3518" s="28">
        <f>IFERROR(VLOOKUP(TEXT(B3518,"0"),STOCK!A:H,7,0),1)</f>
        <v>1</v>
      </c>
    </row>
    <row r="3519" spans="7:10" ht="35.450000000000003" hidden="1" customHeight="1">
      <c r="G3519" s="113"/>
      <c r="J3519" s="28">
        <f>IFERROR(VLOOKUP(TEXT(B3519,"0"),STOCK!A:H,7,0),1)</f>
        <v>1</v>
      </c>
    </row>
    <row r="3520" spans="7:10" ht="35.450000000000003" hidden="1" customHeight="1">
      <c r="G3520" s="113"/>
      <c r="J3520" s="28">
        <f>IFERROR(VLOOKUP(TEXT(B3520,"0"),STOCK!A:H,7,0),1)</f>
        <v>1</v>
      </c>
    </row>
    <row r="3521" spans="7:10" ht="35.450000000000003" hidden="1" customHeight="1">
      <c r="G3521" s="113"/>
      <c r="J3521" s="28">
        <f>IFERROR(VLOOKUP(TEXT(B3521,"0"),STOCK!A:H,7,0),1)</f>
        <v>1</v>
      </c>
    </row>
    <row r="3522" spans="7:10" ht="35.450000000000003" hidden="1" customHeight="1">
      <c r="G3522" s="113"/>
      <c r="J3522" s="28">
        <f>IFERROR(VLOOKUP(TEXT(B3522,"0"),STOCK!A:H,7,0),1)</f>
        <v>1</v>
      </c>
    </row>
    <row r="3523" spans="7:10" ht="35.450000000000003" hidden="1" customHeight="1">
      <c r="G3523" s="113"/>
      <c r="J3523" s="28">
        <f>IFERROR(VLOOKUP(TEXT(B3523,"0"),STOCK!A:H,7,0),1)</f>
        <v>1</v>
      </c>
    </row>
    <row r="3524" spans="7:10" ht="35.450000000000003" hidden="1" customHeight="1">
      <c r="G3524" s="113"/>
      <c r="J3524" s="28">
        <f>IFERROR(VLOOKUP(TEXT(B3524,"0"),STOCK!A:H,7,0),1)</f>
        <v>1</v>
      </c>
    </row>
    <row r="3525" spans="7:10" ht="35.450000000000003" hidden="1" customHeight="1">
      <c r="G3525" s="113"/>
      <c r="J3525" s="28">
        <f>IFERROR(VLOOKUP(TEXT(B3525,"0"),STOCK!A:H,7,0),1)</f>
        <v>1</v>
      </c>
    </row>
    <row r="3526" spans="7:10" ht="35.450000000000003" hidden="1" customHeight="1">
      <c r="G3526" s="113"/>
      <c r="J3526" s="28">
        <f>IFERROR(VLOOKUP(TEXT(B3526,"0"),STOCK!A:H,7,0),1)</f>
        <v>1</v>
      </c>
    </row>
    <row r="3527" spans="7:10" ht="35.450000000000003" hidden="1" customHeight="1">
      <c r="G3527" s="113"/>
      <c r="J3527" s="28">
        <f>IFERROR(VLOOKUP(TEXT(B3527,"0"),STOCK!A:H,7,0),1)</f>
        <v>1</v>
      </c>
    </row>
    <row r="3528" spans="7:10" ht="35.450000000000003" hidden="1" customHeight="1">
      <c r="G3528" s="113"/>
      <c r="J3528" s="28">
        <f>IFERROR(VLOOKUP(TEXT(B3528,"0"),STOCK!A:H,7,0),1)</f>
        <v>1</v>
      </c>
    </row>
    <row r="3529" spans="7:10" ht="35.450000000000003" hidden="1" customHeight="1">
      <c r="G3529" s="113"/>
      <c r="J3529" s="28">
        <f>IFERROR(VLOOKUP(TEXT(B3529,"0"),STOCK!A:H,7,0),1)</f>
        <v>1</v>
      </c>
    </row>
    <row r="3530" spans="7:10" ht="35.450000000000003" hidden="1" customHeight="1">
      <c r="G3530" s="113"/>
      <c r="J3530" s="28">
        <f>IFERROR(VLOOKUP(TEXT(B3530,"0"),STOCK!A:H,7,0),1)</f>
        <v>1</v>
      </c>
    </row>
    <row r="3531" spans="7:10" ht="35.450000000000003" hidden="1" customHeight="1">
      <c r="G3531" s="113"/>
      <c r="J3531" s="28">
        <f>IFERROR(VLOOKUP(TEXT(B3531,"0"),STOCK!A:H,7,0),1)</f>
        <v>1</v>
      </c>
    </row>
    <row r="3532" spans="7:10" ht="35.450000000000003" hidden="1" customHeight="1">
      <c r="G3532" s="113"/>
      <c r="J3532" s="28">
        <f>IFERROR(VLOOKUP(TEXT(B3532,"0"),STOCK!A:H,7,0),1)</f>
        <v>1</v>
      </c>
    </row>
    <row r="3533" spans="7:10" ht="35.450000000000003" hidden="1" customHeight="1">
      <c r="G3533" s="113"/>
      <c r="J3533" s="28">
        <f>IFERROR(VLOOKUP(TEXT(B3533,"0"),STOCK!A:H,7,0),1)</f>
        <v>1</v>
      </c>
    </row>
    <row r="3534" spans="7:10" ht="35.450000000000003" hidden="1" customHeight="1">
      <c r="G3534" s="113"/>
      <c r="J3534" s="28">
        <f>IFERROR(VLOOKUP(TEXT(B3534,"0"),STOCK!A:H,7,0),1)</f>
        <v>1</v>
      </c>
    </row>
    <row r="3535" spans="7:10" ht="35.450000000000003" hidden="1" customHeight="1">
      <c r="G3535" s="113"/>
      <c r="J3535" s="28">
        <f>IFERROR(VLOOKUP(TEXT(B3535,"0"),STOCK!A:H,7,0),1)</f>
        <v>1</v>
      </c>
    </row>
    <row r="3536" spans="7:10" ht="35.450000000000003" hidden="1" customHeight="1">
      <c r="G3536" s="113"/>
      <c r="J3536" s="28">
        <f>IFERROR(VLOOKUP(TEXT(B3536,"0"),STOCK!A:H,7,0),1)</f>
        <v>1</v>
      </c>
    </row>
    <row r="3537" spans="7:10" ht="35.450000000000003" hidden="1" customHeight="1">
      <c r="G3537" s="113"/>
      <c r="J3537" s="28">
        <f>IFERROR(VLOOKUP(TEXT(B3537,"0"),STOCK!A:H,7,0),1)</f>
        <v>1</v>
      </c>
    </row>
    <row r="3538" spans="7:10" ht="35.450000000000003" hidden="1" customHeight="1">
      <c r="G3538" s="113"/>
      <c r="J3538" s="28">
        <f>IFERROR(VLOOKUP(TEXT(B3538,"0"),STOCK!A:H,7,0),1)</f>
        <v>1</v>
      </c>
    </row>
    <row r="3539" spans="7:10" ht="35.450000000000003" hidden="1" customHeight="1">
      <c r="G3539" s="113"/>
      <c r="J3539" s="28">
        <f>IFERROR(VLOOKUP(TEXT(B3539,"0"),STOCK!A:H,7,0),1)</f>
        <v>1</v>
      </c>
    </row>
    <row r="3540" spans="7:10" ht="35.450000000000003" hidden="1" customHeight="1">
      <c r="G3540" s="113"/>
      <c r="J3540" s="28">
        <f>IFERROR(VLOOKUP(TEXT(B3540,"0"),STOCK!A:H,7,0),1)</f>
        <v>1</v>
      </c>
    </row>
    <row r="3541" spans="7:10" ht="35.450000000000003" hidden="1" customHeight="1">
      <c r="G3541" s="113"/>
      <c r="J3541" s="28">
        <f>IFERROR(VLOOKUP(TEXT(B3541,"0"),STOCK!A:H,7,0),1)</f>
        <v>1</v>
      </c>
    </row>
    <row r="3542" spans="7:10" ht="35.450000000000003" hidden="1" customHeight="1">
      <c r="G3542" s="113"/>
      <c r="J3542" s="28">
        <f>IFERROR(VLOOKUP(TEXT(B3542,"0"),STOCK!A:H,7,0),1)</f>
        <v>1</v>
      </c>
    </row>
    <row r="3543" spans="7:10" ht="35.450000000000003" hidden="1" customHeight="1">
      <c r="G3543" s="113"/>
      <c r="J3543" s="28">
        <f>IFERROR(VLOOKUP(TEXT(B3543,"0"),STOCK!A:H,7,0),1)</f>
        <v>1</v>
      </c>
    </row>
    <row r="3544" spans="7:10" ht="35.450000000000003" hidden="1" customHeight="1">
      <c r="G3544" s="113"/>
      <c r="J3544" s="28">
        <f>IFERROR(VLOOKUP(TEXT(B3544,"0"),STOCK!A:H,7,0),1)</f>
        <v>1</v>
      </c>
    </row>
    <row r="3545" spans="7:10" ht="35.450000000000003" hidden="1" customHeight="1">
      <c r="G3545" s="113"/>
      <c r="J3545" s="28">
        <f>IFERROR(VLOOKUP(TEXT(B3545,"0"),STOCK!A:H,7,0),1)</f>
        <v>1</v>
      </c>
    </row>
    <row r="3546" spans="7:10" ht="35.450000000000003" hidden="1" customHeight="1">
      <c r="G3546" s="113"/>
      <c r="J3546" s="28">
        <f>IFERROR(VLOOKUP(TEXT(B3546,"0"),STOCK!A:H,7,0),1)</f>
        <v>1</v>
      </c>
    </row>
    <row r="3547" spans="7:10" ht="35.450000000000003" hidden="1" customHeight="1">
      <c r="G3547" s="113"/>
      <c r="J3547" s="28">
        <f>IFERROR(VLOOKUP(TEXT(B3547,"0"),STOCK!A:H,7,0),1)</f>
        <v>1</v>
      </c>
    </row>
    <row r="3548" spans="7:10" ht="35.450000000000003" hidden="1" customHeight="1">
      <c r="G3548" s="113"/>
      <c r="J3548" s="28">
        <f>IFERROR(VLOOKUP(TEXT(B3548,"0"),STOCK!A:H,7,0),1)</f>
        <v>1</v>
      </c>
    </row>
    <row r="3549" spans="7:10" ht="35.450000000000003" hidden="1" customHeight="1">
      <c r="G3549" s="113"/>
      <c r="J3549" s="28">
        <f>IFERROR(VLOOKUP(TEXT(B3549,"0"),STOCK!A:H,7,0),1)</f>
        <v>1</v>
      </c>
    </row>
    <row r="3550" spans="7:10" ht="35.450000000000003" hidden="1" customHeight="1">
      <c r="G3550" s="113"/>
      <c r="J3550" s="28">
        <f>IFERROR(VLOOKUP(TEXT(B3550,"0"),STOCK!A:H,7,0),1)</f>
        <v>1</v>
      </c>
    </row>
    <row r="3551" spans="7:10" ht="35.450000000000003" hidden="1" customHeight="1">
      <c r="G3551" s="113"/>
      <c r="J3551" s="28">
        <f>IFERROR(VLOOKUP(TEXT(B3551,"0"),STOCK!A:H,7,0),1)</f>
        <v>1</v>
      </c>
    </row>
    <row r="3552" spans="7:10" ht="35.450000000000003" hidden="1" customHeight="1">
      <c r="G3552" s="113"/>
      <c r="J3552" s="28">
        <f>IFERROR(VLOOKUP(TEXT(B3552,"0"),STOCK!A:H,7,0),1)</f>
        <v>1</v>
      </c>
    </row>
    <row r="3553" spans="7:10" ht="35.450000000000003" hidden="1" customHeight="1">
      <c r="G3553" s="113"/>
      <c r="J3553" s="28">
        <f>IFERROR(VLOOKUP(TEXT(B3553,"0"),STOCK!A:H,7,0),1)</f>
        <v>1</v>
      </c>
    </row>
    <row r="3554" spans="7:10" ht="35.450000000000003" hidden="1" customHeight="1">
      <c r="G3554" s="113"/>
      <c r="J3554" s="28">
        <f>IFERROR(VLOOKUP(TEXT(B3554,"0"),STOCK!A:H,7,0),1)</f>
        <v>1</v>
      </c>
    </row>
    <row r="3555" spans="7:10" ht="35.450000000000003" hidden="1" customHeight="1">
      <c r="G3555" s="113"/>
      <c r="J3555" s="28">
        <f>IFERROR(VLOOKUP(TEXT(B3555,"0"),STOCK!A:H,7,0),1)</f>
        <v>1</v>
      </c>
    </row>
    <row r="3556" spans="7:10" ht="35.450000000000003" hidden="1" customHeight="1">
      <c r="G3556" s="113"/>
      <c r="J3556" s="28">
        <f>IFERROR(VLOOKUP(TEXT(B3556,"0"),STOCK!A:H,7,0),1)</f>
        <v>1</v>
      </c>
    </row>
    <row r="3557" spans="7:10" ht="35.450000000000003" hidden="1" customHeight="1">
      <c r="G3557" s="113"/>
      <c r="J3557" s="28">
        <f>IFERROR(VLOOKUP(TEXT(B3557,"0"),STOCK!A:H,7,0),1)</f>
        <v>1</v>
      </c>
    </row>
    <row r="3558" spans="7:10" ht="35.450000000000003" hidden="1" customHeight="1">
      <c r="G3558" s="113"/>
      <c r="J3558" s="28">
        <f>IFERROR(VLOOKUP(TEXT(B3558,"0"),STOCK!A:H,7,0),1)</f>
        <v>1</v>
      </c>
    </row>
    <row r="3559" spans="7:10" ht="35.450000000000003" hidden="1" customHeight="1">
      <c r="G3559" s="113"/>
      <c r="J3559" s="28">
        <f>IFERROR(VLOOKUP(TEXT(B3559,"0"),STOCK!A:H,7,0),1)</f>
        <v>1</v>
      </c>
    </row>
    <row r="3560" spans="7:10" ht="35.450000000000003" hidden="1" customHeight="1">
      <c r="G3560" s="113"/>
      <c r="J3560" s="28">
        <f>IFERROR(VLOOKUP(TEXT(B3560,"0"),STOCK!A:H,7,0),1)</f>
        <v>1</v>
      </c>
    </row>
    <row r="3561" spans="7:10" ht="35.450000000000003" hidden="1" customHeight="1">
      <c r="G3561" s="113"/>
      <c r="J3561" s="28">
        <f>IFERROR(VLOOKUP(TEXT(B3561,"0"),STOCK!A:H,7,0),1)</f>
        <v>1</v>
      </c>
    </row>
    <row r="3562" spans="7:10" ht="35.450000000000003" hidden="1" customHeight="1">
      <c r="G3562" s="113"/>
      <c r="J3562" s="28">
        <f>IFERROR(VLOOKUP(TEXT(B3562,"0"),STOCK!A:H,7,0),1)</f>
        <v>1</v>
      </c>
    </row>
    <row r="3563" spans="7:10" ht="35.450000000000003" hidden="1" customHeight="1">
      <c r="G3563" s="113"/>
      <c r="J3563" s="28">
        <f>IFERROR(VLOOKUP(TEXT(B3563,"0"),STOCK!A:H,7,0),1)</f>
        <v>1</v>
      </c>
    </row>
    <row r="3564" spans="7:10" ht="35.450000000000003" hidden="1" customHeight="1">
      <c r="G3564" s="113"/>
      <c r="J3564" s="28">
        <f>IFERROR(VLOOKUP(TEXT(B3564,"0"),STOCK!A:H,7,0),1)</f>
        <v>1</v>
      </c>
    </row>
    <row r="3565" spans="7:10" ht="35.450000000000003" hidden="1" customHeight="1">
      <c r="G3565" s="113"/>
      <c r="J3565" s="28">
        <f>IFERROR(VLOOKUP(TEXT(B3565,"0"),STOCK!A:H,7,0),1)</f>
        <v>1</v>
      </c>
    </row>
    <row r="3566" spans="7:10" ht="35.450000000000003" hidden="1" customHeight="1">
      <c r="G3566" s="113"/>
      <c r="J3566" s="28">
        <f>IFERROR(VLOOKUP(TEXT(B3566,"0"),STOCK!A:H,7,0),1)</f>
        <v>1</v>
      </c>
    </row>
    <row r="3567" spans="7:10" ht="35.450000000000003" hidden="1" customHeight="1">
      <c r="G3567" s="113"/>
      <c r="J3567" s="28">
        <f>IFERROR(VLOOKUP(TEXT(B3567,"0"),STOCK!A:H,7,0),1)</f>
        <v>1</v>
      </c>
    </row>
    <row r="3568" spans="7:10" ht="35.450000000000003" hidden="1" customHeight="1">
      <c r="G3568" s="113"/>
      <c r="J3568" s="28">
        <f>IFERROR(VLOOKUP(TEXT(B3568,"0"),STOCK!A:H,7,0),1)</f>
        <v>1</v>
      </c>
    </row>
    <row r="3569" spans="7:10" ht="35.450000000000003" hidden="1" customHeight="1">
      <c r="G3569" s="113"/>
      <c r="J3569" s="28">
        <f>IFERROR(VLOOKUP(TEXT(B3569,"0"),STOCK!A:H,7,0),1)</f>
        <v>1</v>
      </c>
    </row>
    <row r="3570" spans="7:10" ht="35.450000000000003" hidden="1" customHeight="1">
      <c r="G3570" s="113"/>
      <c r="J3570" s="28">
        <f>IFERROR(VLOOKUP(TEXT(B3570,"0"),STOCK!A:H,7,0),1)</f>
        <v>1</v>
      </c>
    </row>
    <row r="3571" spans="7:10" ht="35.450000000000003" hidden="1" customHeight="1">
      <c r="G3571" s="113"/>
      <c r="J3571" s="28">
        <f>IFERROR(VLOOKUP(TEXT(B3571,"0"),STOCK!A:H,7,0),1)</f>
        <v>1</v>
      </c>
    </row>
    <row r="3572" spans="7:10" ht="35.450000000000003" hidden="1" customHeight="1">
      <c r="G3572" s="113"/>
      <c r="J3572" s="28">
        <f>IFERROR(VLOOKUP(TEXT(B3572,"0"),STOCK!A:H,7,0),1)</f>
        <v>1</v>
      </c>
    </row>
    <row r="3573" spans="7:10" ht="35.450000000000003" hidden="1" customHeight="1">
      <c r="G3573" s="113"/>
      <c r="J3573" s="28">
        <f>IFERROR(VLOOKUP(TEXT(B3573,"0"),STOCK!A:H,7,0),1)</f>
        <v>1</v>
      </c>
    </row>
    <row r="3574" spans="7:10" ht="35.450000000000003" hidden="1" customHeight="1">
      <c r="G3574" s="113"/>
      <c r="J3574" s="28">
        <f>IFERROR(VLOOKUP(TEXT(B3574,"0"),STOCK!A:H,7,0),1)</f>
        <v>1</v>
      </c>
    </row>
    <row r="3575" spans="7:10" ht="35.450000000000003" hidden="1" customHeight="1">
      <c r="G3575" s="113"/>
      <c r="J3575" s="28">
        <f>IFERROR(VLOOKUP(TEXT(B3575,"0"),STOCK!A:H,7,0),1)</f>
        <v>1</v>
      </c>
    </row>
    <row r="3576" spans="7:10" ht="35.450000000000003" hidden="1" customHeight="1">
      <c r="G3576" s="113"/>
      <c r="J3576" s="28">
        <f>IFERROR(VLOOKUP(TEXT(B3576,"0"),STOCK!A:H,7,0),1)</f>
        <v>1</v>
      </c>
    </row>
    <row r="3577" spans="7:10" ht="35.450000000000003" hidden="1" customHeight="1">
      <c r="G3577" s="113"/>
      <c r="J3577" s="28">
        <f>IFERROR(VLOOKUP(TEXT(B3577,"0"),STOCK!A:H,7,0),1)</f>
        <v>1</v>
      </c>
    </row>
    <row r="3578" spans="7:10" ht="35.450000000000003" hidden="1" customHeight="1">
      <c r="G3578" s="113"/>
      <c r="J3578" s="28">
        <f>IFERROR(VLOOKUP(TEXT(B3578,"0"),STOCK!A:H,7,0),1)</f>
        <v>1</v>
      </c>
    </row>
    <row r="3579" spans="7:10" ht="35.450000000000003" hidden="1" customHeight="1">
      <c r="G3579" s="113"/>
      <c r="J3579" s="28">
        <f>IFERROR(VLOOKUP(TEXT(B3579,"0"),STOCK!A:H,7,0),1)</f>
        <v>1</v>
      </c>
    </row>
    <row r="3580" spans="7:10" ht="35.450000000000003" hidden="1" customHeight="1">
      <c r="G3580" s="113"/>
      <c r="J3580" s="28">
        <f>IFERROR(VLOOKUP(TEXT(B3580,"0"),STOCK!A:H,7,0),1)</f>
        <v>1</v>
      </c>
    </row>
    <row r="3581" spans="7:10" ht="35.450000000000003" hidden="1" customHeight="1">
      <c r="G3581" s="113"/>
      <c r="J3581" s="28">
        <f>IFERROR(VLOOKUP(TEXT(B3581,"0"),STOCK!A:H,7,0),1)</f>
        <v>1</v>
      </c>
    </row>
    <row r="3582" spans="7:10" ht="35.450000000000003" hidden="1" customHeight="1">
      <c r="G3582" s="113"/>
      <c r="J3582" s="28">
        <f>IFERROR(VLOOKUP(TEXT(B3582,"0"),STOCK!A:H,7,0),1)</f>
        <v>1</v>
      </c>
    </row>
    <row r="3583" spans="7:10" ht="35.450000000000003" hidden="1" customHeight="1">
      <c r="G3583" s="113"/>
      <c r="J3583" s="28">
        <f>IFERROR(VLOOKUP(TEXT(B3583,"0"),STOCK!A:H,7,0),1)</f>
        <v>1</v>
      </c>
    </row>
    <row r="3584" spans="7:10" ht="35.450000000000003" hidden="1" customHeight="1">
      <c r="G3584" s="113"/>
      <c r="J3584" s="28">
        <f>IFERROR(VLOOKUP(TEXT(B3584,"0"),STOCK!A:H,7,0),1)</f>
        <v>1</v>
      </c>
    </row>
    <row r="3585" spans="7:10" ht="35.450000000000003" hidden="1" customHeight="1">
      <c r="G3585" s="113"/>
      <c r="J3585" s="28">
        <f>IFERROR(VLOOKUP(TEXT(B3585,"0"),STOCK!A:H,7,0),1)</f>
        <v>1</v>
      </c>
    </row>
    <row r="3586" spans="7:10" ht="35.450000000000003" hidden="1" customHeight="1">
      <c r="G3586" s="113"/>
      <c r="J3586" s="28">
        <f>IFERROR(VLOOKUP(TEXT(B3586,"0"),STOCK!A:H,7,0),1)</f>
        <v>1</v>
      </c>
    </row>
    <row r="3587" spans="7:10" ht="35.450000000000003" hidden="1" customHeight="1">
      <c r="G3587" s="113"/>
      <c r="J3587" s="28">
        <f>IFERROR(VLOOKUP(TEXT(B3587,"0"),STOCK!A:H,7,0),1)</f>
        <v>1</v>
      </c>
    </row>
    <row r="3588" spans="7:10" ht="35.450000000000003" hidden="1" customHeight="1">
      <c r="G3588" s="113"/>
      <c r="J3588" s="28">
        <f>IFERROR(VLOOKUP(TEXT(B3588,"0"),STOCK!A:H,7,0),1)</f>
        <v>1</v>
      </c>
    </row>
    <row r="3589" spans="7:10" ht="35.450000000000003" hidden="1" customHeight="1">
      <c r="G3589" s="113"/>
      <c r="J3589" s="28">
        <f>IFERROR(VLOOKUP(TEXT(B3589,"0"),STOCK!A:H,7,0),1)</f>
        <v>1</v>
      </c>
    </row>
    <row r="3590" spans="7:10" ht="35.450000000000003" hidden="1" customHeight="1">
      <c r="G3590" s="113"/>
      <c r="J3590" s="28">
        <f>IFERROR(VLOOKUP(TEXT(B3590,"0"),STOCK!A:H,7,0),1)</f>
        <v>1</v>
      </c>
    </row>
    <row r="3591" spans="7:10" ht="35.450000000000003" hidden="1" customHeight="1">
      <c r="G3591" s="113"/>
      <c r="J3591" s="28">
        <f>IFERROR(VLOOKUP(TEXT(B3591,"0"),STOCK!A:H,7,0),1)</f>
        <v>1</v>
      </c>
    </row>
    <row r="3592" spans="7:10" ht="35.450000000000003" hidden="1" customHeight="1">
      <c r="G3592" s="113"/>
      <c r="J3592" s="28">
        <f>IFERROR(VLOOKUP(TEXT(B3592,"0"),STOCK!A:H,7,0),1)</f>
        <v>1</v>
      </c>
    </row>
    <row r="3593" spans="7:10" ht="35.450000000000003" hidden="1" customHeight="1">
      <c r="G3593" s="113"/>
      <c r="J3593" s="28">
        <f>IFERROR(VLOOKUP(TEXT(B3593,"0"),STOCK!A:H,7,0),1)</f>
        <v>1</v>
      </c>
    </row>
    <row r="3594" spans="7:10" ht="35.450000000000003" hidden="1" customHeight="1">
      <c r="G3594" s="113"/>
      <c r="J3594" s="28">
        <f>IFERROR(VLOOKUP(TEXT(B3594,"0"),STOCK!A:H,7,0),1)</f>
        <v>1</v>
      </c>
    </row>
    <row r="3595" spans="7:10" ht="35.450000000000003" hidden="1" customHeight="1">
      <c r="G3595" s="113"/>
      <c r="J3595" s="28">
        <f>IFERROR(VLOOKUP(TEXT(B3595,"0"),STOCK!A:H,7,0),1)</f>
        <v>1</v>
      </c>
    </row>
    <row r="3596" spans="7:10" ht="35.450000000000003" hidden="1" customHeight="1">
      <c r="G3596" s="113"/>
      <c r="J3596" s="28">
        <f>IFERROR(VLOOKUP(TEXT(B3596,"0"),STOCK!A:H,7,0),1)</f>
        <v>1</v>
      </c>
    </row>
    <row r="3597" spans="7:10" ht="35.450000000000003" hidden="1" customHeight="1">
      <c r="G3597" s="113"/>
      <c r="J3597" s="28">
        <f>IFERROR(VLOOKUP(TEXT(B3597,"0"),STOCK!A:H,7,0),1)</f>
        <v>1</v>
      </c>
    </row>
    <row r="3598" spans="7:10" ht="35.450000000000003" hidden="1" customHeight="1">
      <c r="G3598" s="113"/>
      <c r="J3598" s="28">
        <f>IFERROR(VLOOKUP(TEXT(B3598,"0"),STOCK!A:H,7,0),1)</f>
        <v>1</v>
      </c>
    </row>
    <row r="3599" spans="7:10" ht="35.450000000000003" hidden="1" customHeight="1">
      <c r="G3599" s="113"/>
      <c r="J3599" s="28">
        <f>IFERROR(VLOOKUP(TEXT(B3599,"0"),STOCK!A:H,7,0),1)</f>
        <v>1</v>
      </c>
    </row>
    <row r="3600" spans="7:10" ht="35.450000000000003" hidden="1" customHeight="1">
      <c r="G3600" s="113"/>
      <c r="J3600" s="28">
        <f>IFERROR(VLOOKUP(TEXT(B3600,"0"),STOCK!A:H,7,0),1)</f>
        <v>1</v>
      </c>
    </row>
    <row r="3601" spans="7:10" ht="35.450000000000003" hidden="1" customHeight="1">
      <c r="G3601" s="113"/>
      <c r="J3601" s="28">
        <f>IFERROR(VLOOKUP(TEXT(B3601,"0"),STOCK!A:H,7,0),1)</f>
        <v>1</v>
      </c>
    </row>
    <row r="3602" spans="7:10" ht="35.450000000000003" hidden="1" customHeight="1">
      <c r="G3602" s="113"/>
      <c r="J3602" s="28">
        <f>IFERROR(VLOOKUP(TEXT(B3602,"0"),STOCK!A:H,7,0),1)</f>
        <v>1</v>
      </c>
    </row>
    <row r="3603" spans="7:10" ht="35.450000000000003" hidden="1" customHeight="1">
      <c r="G3603" s="113"/>
      <c r="J3603" s="28">
        <f>IFERROR(VLOOKUP(TEXT(B3603,"0"),STOCK!A:H,7,0),1)</f>
        <v>1</v>
      </c>
    </row>
    <row r="3604" spans="7:10" ht="35.450000000000003" hidden="1" customHeight="1">
      <c r="G3604" s="113"/>
      <c r="J3604" s="28">
        <f>IFERROR(VLOOKUP(TEXT(B3604,"0"),STOCK!A:H,7,0),1)</f>
        <v>1</v>
      </c>
    </row>
    <row r="3605" spans="7:10" ht="35.450000000000003" hidden="1" customHeight="1">
      <c r="G3605" s="113"/>
      <c r="J3605" s="28">
        <f>IFERROR(VLOOKUP(TEXT(B3605,"0"),STOCK!A:H,7,0),1)</f>
        <v>1</v>
      </c>
    </row>
    <row r="3606" spans="7:10" ht="35.450000000000003" hidden="1" customHeight="1">
      <c r="G3606" s="113"/>
      <c r="J3606" s="28">
        <f>IFERROR(VLOOKUP(TEXT(B3606,"0"),STOCK!A:H,7,0),1)</f>
        <v>1</v>
      </c>
    </row>
    <row r="3607" spans="7:10" ht="35.450000000000003" hidden="1" customHeight="1">
      <c r="G3607" s="113"/>
      <c r="J3607" s="28">
        <f>IFERROR(VLOOKUP(TEXT(B3607,"0"),STOCK!A:H,7,0),1)</f>
        <v>1</v>
      </c>
    </row>
    <row r="3608" spans="7:10" ht="35.450000000000003" hidden="1" customHeight="1">
      <c r="G3608" s="113"/>
      <c r="J3608" s="28">
        <f>IFERROR(VLOOKUP(TEXT(B3608,"0"),STOCK!A:H,7,0),1)</f>
        <v>1</v>
      </c>
    </row>
    <row r="3609" spans="7:10" ht="35.450000000000003" hidden="1" customHeight="1">
      <c r="G3609" s="113"/>
      <c r="J3609" s="28">
        <f>IFERROR(VLOOKUP(TEXT(B3609,"0"),STOCK!A:H,7,0),1)</f>
        <v>1</v>
      </c>
    </row>
    <row r="3610" spans="7:10" ht="35.450000000000003" hidden="1" customHeight="1">
      <c r="G3610" s="113"/>
      <c r="J3610" s="28">
        <f>IFERROR(VLOOKUP(TEXT(B3610,"0"),STOCK!A:H,7,0),1)</f>
        <v>1</v>
      </c>
    </row>
    <row r="3611" spans="7:10" ht="35.450000000000003" hidden="1" customHeight="1">
      <c r="G3611" s="113"/>
      <c r="J3611" s="28">
        <f>IFERROR(VLOOKUP(TEXT(B3611,"0"),STOCK!A:H,7,0),1)</f>
        <v>1</v>
      </c>
    </row>
    <row r="3612" spans="7:10" ht="35.450000000000003" hidden="1" customHeight="1">
      <c r="G3612" s="113"/>
      <c r="J3612" s="28">
        <f>IFERROR(VLOOKUP(TEXT(B3612,"0"),STOCK!A:H,7,0),1)</f>
        <v>1</v>
      </c>
    </row>
    <row r="3613" spans="7:10" ht="35.450000000000003" hidden="1" customHeight="1">
      <c r="G3613" s="113"/>
      <c r="J3613" s="28">
        <f>IFERROR(VLOOKUP(TEXT(B3613,"0"),STOCK!A:H,7,0),1)</f>
        <v>1</v>
      </c>
    </row>
    <row r="3614" spans="7:10" ht="35.450000000000003" hidden="1" customHeight="1">
      <c r="G3614" s="113"/>
      <c r="J3614" s="28">
        <f>IFERROR(VLOOKUP(TEXT(B3614,"0"),STOCK!A:H,7,0),1)</f>
        <v>1</v>
      </c>
    </row>
    <row r="3615" spans="7:10" ht="35.450000000000003" hidden="1" customHeight="1">
      <c r="G3615" s="113"/>
      <c r="J3615" s="28">
        <f>IFERROR(VLOOKUP(TEXT(B3615,"0"),STOCK!A:H,7,0),1)</f>
        <v>1</v>
      </c>
    </row>
    <row r="3616" spans="7:10" ht="35.450000000000003" hidden="1" customHeight="1">
      <c r="G3616" s="113"/>
      <c r="J3616" s="28">
        <f>IFERROR(VLOOKUP(TEXT(B3616,"0"),STOCK!A:H,7,0),1)</f>
        <v>1</v>
      </c>
    </row>
    <row r="3617" spans="7:10" ht="35.450000000000003" hidden="1" customHeight="1">
      <c r="G3617" s="113"/>
      <c r="J3617" s="28">
        <f>IFERROR(VLOOKUP(TEXT(B3617,"0"),STOCK!A:H,7,0),1)</f>
        <v>1</v>
      </c>
    </row>
    <row r="3618" spans="7:10" ht="35.450000000000003" hidden="1" customHeight="1">
      <c r="G3618" s="113"/>
      <c r="J3618" s="28">
        <f>IFERROR(VLOOKUP(TEXT(B3618,"0"),STOCK!A:H,7,0),1)</f>
        <v>1</v>
      </c>
    </row>
    <row r="3619" spans="7:10" ht="35.450000000000003" hidden="1" customHeight="1">
      <c r="G3619" s="113"/>
      <c r="J3619" s="28">
        <f>IFERROR(VLOOKUP(TEXT(B3619,"0"),STOCK!A:H,7,0),1)</f>
        <v>1</v>
      </c>
    </row>
    <row r="3620" spans="7:10" ht="35.450000000000003" hidden="1" customHeight="1">
      <c r="G3620" s="113"/>
      <c r="J3620" s="28">
        <f>IFERROR(VLOOKUP(TEXT(B3620,"0"),STOCK!A:H,7,0),1)</f>
        <v>1</v>
      </c>
    </row>
    <row r="3621" spans="7:10" ht="35.450000000000003" hidden="1" customHeight="1">
      <c r="G3621" s="113"/>
      <c r="J3621" s="28">
        <f>IFERROR(VLOOKUP(TEXT(B3621,"0"),STOCK!A:H,7,0),1)</f>
        <v>1</v>
      </c>
    </row>
    <row r="3622" spans="7:10" ht="35.450000000000003" hidden="1" customHeight="1">
      <c r="G3622" s="113"/>
      <c r="J3622" s="28">
        <f>IFERROR(VLOOKUP(TEXT(B3622,"0"),STOCK!A:H,7,0),1)</f>
        <v>1</v>
      </c>
    </row>
    <row r="3623" spans="7:10" ht="35.450000000000003" hidden="1" customHeight="1">
      <c r="G3623" s="113"/>
      <c r="J3623" s="28">
        <f>IFERROR(VLOOKUP(TEXT(B3623,"0"),STOCK!A:H,7,0),1)</f>
        <v>1</v>
      </c>
    </row>
    <row r="3624" spans="7:10" ht="35.450000000000003" hidden="1" customHeight="1">
      <c r="G3624" s="113"/>
      <c r="J3624" s="28">
        <f>IFERROR(VLOOKUP(TEXT(B3624,"0"),STOCK!A:H,7,0),1)</f>
        <v>1</v>
      </c>
    </row>
    <row r="3625" spans="7:10" ht="35.450000000000003" hidden="1" customHeight="1">
      <c r="G3625" s="113"/>
      <c r="J3625" s="28">
        <f>IFERROR(VLOOKUP(TEXT(B3625,"0"),STOCK!A:H,7,0),1)</f>
        <v>1</v>
      </c>
    </row>
    <row r="3626" spans="7:10" ht="35.450000000000003" hidden="1" customHeight="1">
      <c r="G3626" s="113"/>
      <c r="J3626" s="28">
        <f>IFERROR(VLOOKUP(TEXT(B3626,"0"),STOCK!A:H,7,0),1)</f>
        <v>1</v>
      </c>
    </row>
    <row r="3627" spans="7:10" ht="35.450000000000003" hidden="1" customHeight="1">
      <c r="G3627" s="113"/>
      <c r="J3627" s="28">
        <f>IFERROR(VLOOKUP(TEXT(B3627,"0"),STOCK!A:H,7,0),1)</f>
        <v>1</v>
      </c>
    </row>
    <row r="3628" spans="7:10" ht="35.450000000000003" hidden="1" customHeight="1">
      <c r="G3628" s="113"/>
      <c r="J3628" s="28">
        <f>IFERROR(VLOOKUP(TEXT(B3628,"0"),STOCK!A:H,7,0),1)</f>
        <v>1</v>
      </c>
    </row>
    <row r="3629" spans="7:10" ht="35.450000000000003" hidden="1" customHeight="1">
      <c r="G3629" s="113"/>
      <c r="J3629" s="28">
        <f>IFERROR(VLOOKUP(TEXT(B3629,"0"),STOCK!A:H,7,0),1)</f>
        <v>1</v>
      </c>
    </row>
    <row r="3630" spans="7:10" ht="35.450000000000003" hidden="1" customHeight="1">
      <c r="G3630" s="113"/>
      <c r="J3630" s="28">
        <f>IFERROR(VLOOKUP(TEXT(B3630,"0"),STOCK!A:H,7,0),1)</f>
        <v>1</v>
      </c>
    </row>
    <row r="3631" spans="7:10" ht="35.450000000000003" hidden="1" customHeight="1">
      <c r="G3631" s="113"/>
      <c r="J3631" s="28">
        <f>IFERROR(VLOOKUP(TEXT(B3631,"0"),STOCK!A:H,7,0),1)</f>
        <v>1</v>
      </c>
    </row>
    <row r="3632" spans="7:10" ht="35.450000000000003" hidden="1" customHeight="1">
      <c r="G3632" s="113"/>
      <c r="J3632" s="28">
        <f>IFERROR(VLOOKUP(TEXT(B3632,"0"),STOCK!A:H,7,0),1)</f>
        <v>1</v>
      </c>
    </row>
    <row r="3633" spans="7:10" ht="35.450000000000003" hidden="1" customHeight="1">
      <c r="G3633" s="113"/>
      <c r="J3633" s="28">
        <f>IFERROR(VLOOKUP(TEXT(B3633,"0"),STOCK!A:H,7,0),1)</f>
        <v>1</v>
      </c>
    </row>
    <row r="3634" spans="7:10" ht="35.450000000000003" hidden="1" customHeight="1">
      <c r="G3634" s="113"/>
      <c r="J3634" s="28">
        <f>IFERROR(VLOOKUP(TEXT(B3634,"0"),STOCK!A:H,7,0),1)</f>
        <v>1</v>
      </c>
    </row>
    <row r="3635" spans="7:10" ht="35.450000000000003" hidden="1" customHeight="1">
      <c r="G3635" s="113"/>
      <c r="J3635" s="28">
        <f>IFERROR(VLOOKUP(TEXT(B3635,"0"),STOCK!A:H,7,0),1)</f>
        <v>1</v>
      </c>
    </row>
    <row r="3636" spans="7:10" ht="35.450000000000003" hidden="1" customHeight="1">
      <c r="G3636" s="113"/>
      <c r="J3636" s="28">
        <f>IFERROR(VLOOKUP(TEXT(B3636,"0"),STOCK!A:H,7,0),1)</f>
        <v>1</v>
      </c>
    </row>
    <row r="3637" spans="7:10" ht="35.450000000000003" hidden="1" customHeight="1">
      <c r="G3637" s="113"/>
      <c r="J3637" s="28">
        <f>IFERROR(VLOOKUP(TEXT(B3637,"0"),STOCK!A:H,7,0),1)</f>
        <v>1</v>
      </c>
    </row>
    <row r="3638" spans="7:10" ht="35.450000000000003" hidden="1" customHeight="1">
      <c r="G3638" s="113"/>
      <c r="J3638" s="28">
        <f>IFERROR(VLOOKUP(TEXT(B3638,"0"),STOCK!A:H,7,0),1)</f>
        <v>1</v>
      </c>
    </row>
    <row r="3639" spans="7:10" ht="35.450000000000003" hidden="1" customHeight="1">
      <c r="G3639" s="113"/>
      <c r="J3639" s="28">
        <f>IFERROR(VLOOKUP(TEXT(B3639,"0"),STOCK!A:H,7,0),1)</f>
        <v>1</v>
      </c>
    </row>
    <row r="3640" spans="7:10" ht="35.450000000000003" hidden="1" customHeight="1">
      <c r="G3640" s="113"/>
      <c r="J3640" s="28">
        <f>IFERROR(VLOOKUP(TEXT(B3640,"0"),STOCK!A:H,7,0),1)</f>
        <v>1</v>
      </c>
    </row>
    <row r="3641" spans="7:10" ht="35.450000000000003" hidden="1" customHeight="1">
      <c r="G3641" s="113"/>
      <c r="J3641" s="28">
        <f>IFERROR(VLOOKUP(TEXT(B3641,"0"),STOCK!A:H,7,0),1)</f>
        <v>1</v>
      </c>
    </row>
    <row r="3642" spans="7:10" ht="35.450000000000003" hidden="1" customHeight="1">
      <c r="G3642" s="113"/>
      <c r="J3642" s="28">
        <f>IFERROR(VLOOKUP(TEXT(B3642,"0"),STOCK!A:H,7,0),1)</f>
        <v>1</v>
      </c>
    </row>
    <row r="3643" spans="7:10" ht="35.450000000000003" hidden="1" customHeight="1">
      <c r="G3643" s="113"/>
      <c r="J3643" s="28">
        <f>IFERROR(VLOOKUP(TEXT(B3643,"0"),STOCK!A:H,7,0),1)</f>
        <v>1</v>
      </c>
    </row>
    <row r="3644" spans="7:10" ht="35.450000000000003" hidden="1" customHeight="1">
      <c r="G3644" s="113"/>
      <c r="J3644" s="28">
        <f>IFERROR(VLOOKUP(TEXT(B3644,"0"),STOCK!A:H,7,0),1)</f>
        <v>1</v>
      </c>
    </row>
    <row r="3645" spans="7:10" ht="35.450000000000003" hidden="1" customHeight="1">
      <c r="G3645" s="113"/>
      <c r="J3645" s="28">
        <f>IFERROR(VLOOKUP(TEXT(B3645,"0"),STOCK!A:H,7,0),1)</f>
        <v>1</v>
      </c>
    </row>
    <row r="3646" spans="7:10" ht="35.450000000000003" hidden="1" customHeight="1">
      <c r="G3646" s="113"/>
      <c r="J3646" s="28">
        <f>IFERROR(VLOOKUP(TEXT(B3646,"0"),STOCK!A:H,7,0),1)</f>
        <v>1</v>
      </c>
    </row>
    <row r="3647" spans="7:10" ht="35.450000000000003" hidden="1" customHeight="1">
      <c r="G3647" s="113"/>
      <c r="J3647" s="28">
        <f>IFERROR(VLOOKUP(TEXT(B3647,"0"),STOCK!A:H,7,0),1)</f>
        <v>1</v>
      </c>
    </row>
    <row r="3648" spans="7:10" ht="35.450000000000003" hidden="1" customHeight="1">
      <c r="G3648" s="113"/>
      <c r="J3648" s="28">
        <f>IFERROR(VLOOKUP(TEXT(B3648,"0"),STOCK!A:H,7,0),1)</f>
        <v>1</v>
      </c>
    </row>
    <row r="3649" spans="7:10" ht="35.450000000000003" hidden="1" customHeight="1">
      <c r="G3649" s="113"/>
      <c r="J3649" s="28">
        <f>IFERROR(VLOOKUP(TEXT(B3649,"0"),STOCK!A:H,7,0),1)</f>
        <v>1</v>
      </c>
    </row>
    <row r="3650" spans="7:10" ht="35.450000000000003" hidden="1" customHeight="1">
      <c r="G3650" s="113"/>
      <c r="J3650" s="28">
        <f>IFERROR(VLOOKUP(TEXT(B3650,"0"),STOCK!A:H,7,0),1)</f>
        <v>1</v>
      </c>
    </row>
    <row r="3651" spans="7:10" ht="35.450000000000003" hidden="1" customHeight="1">
      <c r="G3651" s="113"/>
      <c r="J3651" s="28">
        <f>IFERROR(VLOOKUP(TEXT(B3651,"0"),STOCK!A:H,7,0),1)</f>
        <v>1</v>
      </c>
    </row>
    <row r="3652" spans="7:10" ht="35.450000000000003" hidden="1" customHeight="1">
      <c r="G3652" s="113"/>
      <c r="J3652" s="28">
        <f>IFERROR(VLOOKUP(TEXT(B3652,"0"),STOCK!A:H,7,0),1)</f>
        <v>1</v>
      </c>
    </row>
    <row r="3653" spans="7:10" ht="35.450000000000003" hidden="1" customHeight="1">
      <c r="G3653" s="113"/>
      <c r="J3653" s="28">
        <f>IFERROR(VLOOKUP(TEXT(B3653,"0"),STOCK!A:H,7,0),1)</f>
        <v>1</v>
      </c>
    </row>
    <row r="3654" spans="7:10" ht="35.450000000000003" hidden="1" customHeight="1">
      <c r="G3654" s="113"/>
      <c r="J3654" s="28">
        <f>IFERROR(VLOOKUP(TEXT(B3654,"0"),STOCK!A:H,7,0),1)</f>
        <v>1</v>
      </c>
    </row>
    <row r="3655" spans="7:10" ht="35.450000000000003" hidden="1" customHeight="1">
      <c r="G3655" s="113"/>
      <c r="J3655" s="28">
        <f>IFERROR(VLOOKUP(TEXT(B3655,"0"),STOCK!A:H,7,0),1)</f>
        <v>1</v>
      </c>
    </row>
    <row r="3656" spans="7:10" ht="35.450000000000003" hidden="1" customHeight="1">
      <c r="G3656" s="113"/>
      <c r="J3656" s="28">
        <f>IFERROR(VLOOKUP(TEXT(B3656,"0"),STOCK!A:H,7,0),1)</f>
        <v>1</v>
      </c>
    </row>
    <row r="3657" spans="7:10" ht="35.450000000000003" hidden="1" customHeight="1">
      <c r="G3657" s="113"/>
      <c r="J3657" s="28">
        <f>IFERROR(VLOOKUP(TEXT(B3657,"0"),STOCK!A:H,7,0),1)</f>
        <v>1</v>
      </c>
    </row>
    <row r="3658" spans="7:10" ht="35.450000000000003" hidden="1" customHeight="1">
      <c r="G3658" s="113"/>
      <c r="J3658" s="28">
        <f>IFERROR(VLOOKUP(TEXT(B3658,"0"),STOCK!A:H,7,0),1)</f>
        <v>1</v>
      </c>
    </row>
    <row r="3659" spans="7:10" ht="35.450000000000003" hidden="1" customHeight="1">
      <c r="G3659" s="113"/>
      <c r="J3659" s="28">
        <f>IFERROR(VLOOKUP(TEXT(B3659,"0"),STOCK!A:H,7,0),1)</f>
        <v>1</v>
      </c>
    </row>
    <row r="3660" spans="7:10" ht="35.450000000000003" hidden="1" customHeight="1">
      <c r="G3660" s="113"/>
      <c r="J3660" s="28">
        <f>IFERROR(VLOOKUP(TEXT(B3660,"0"),STOCK!A:H,7,0),1)</f>
        <v>1</v>
      </c>
    </row>
    <row r="3661" spans="7:10" ht="35.450000000000003" hidden="1" customHeight="1">
      <c r="G3661" s="113"/>
      <c r="J3661" s="28">
        <f>IFERROR(VLOOKUP(TEXT(B3661,"0"),STOCK!A:H,7,0),1)</f>
        <v>1</v>
      </c>
    </row>
    <row r="3662" spans="7:10" ht="35.450000000000003" hidden="1" customHeight="1">
      <c r="G3662" s="113"/>
      <c r="J3662" s="28">
        <f>IFERROR(VLOOKUP(TEXT(B3662,"0"),STOCK!A:H,7,0),1)</f>
        <v>1</v>
      </c>
    </row>
    <row r="3663" spans="7:10" ht="35.450000000000003" hidden="1" customHeight="1">
      <c r="G3663" s="113"/>
      <c r="J3663" s="28">
        <f>IFERROR(VLOOKUP(TEXT(B3663,"0"),STOCK!A:H,7,0),1)</f>
        <v>1</v>
      </c>
    </row>
    <row r="3664" spans="7:10" ht="35.450000000000003" hidden="1" customHeight="1">
      <c r="G3664" s="113"/>
      <c r="J3664" s="28">
        <f>IFERROR(VLOOKUP(TEXT(B3664,"0"),STOCK!A:H,7,0),1)</f>
        <v>1</v>
      </c>
    </row>
    <row r="3665" spans="7:10" ht="35.450000000000003" hidden="1" customHeight="1">
      <c r="G3665" s="113"/>
      <c r="J3665" s="28">
        <f>IFERROR(VLOOKUP(TEXT(B3665,"0"),STOCK!A:H,7,0),1)</f>
        <v>1</v>
      </c>
    </row>
    <row r="3666" spans="7:10" ht="35.450000000000003" hidden="1" customHeight="1">
      <c r="G3666" s="113"/>
      <c r="J3666" s="28">
        <f>IFERROR(VLOOKUP(TEXT(B3666,"0"),STOCK!A:H,7,0),1)</f>
        <v>1</v>
      </c>
    </row>
    <row r="3667" spans="7:10" ht="35.450000000000003" hidden="1" customHeight="1">
      <c r="G3667" s="113"/>
      <c r="J3667" s="28">
        <f>IFERROR(VLOOKUP(TEXT(B3667,"0"),STOCK!A:H,7,0),1)</f>
        <v>1</v>
      </c>
    </row>
    <row r="3668" spans="7:10" ht="35.450000000000003" hidden="1" customHeight="1">
      <c r="G3668" s="113"/>
      <c r="J3668" s="28">
        <f>IFERROR(VLOOKUP(TEXT(B3668,"0"),STOCK!A:H,7,0),1)</f>
        <v>1</v>
      </c>
    </row>
    <row r="3669" spans="7:10" ht="35.450000000000003" hidden="1" customHeight="1">
      <c r="G3669" s="113"/>
      <c r="J3669" s="28">
        <f>IFERROR(VLOOKUP(TEXT(B3669,"0"),STOCK!A:H,7,0),1)</f>
        <v>1</v>
      </c>
    </row>
    <row r="3670" spans="7:10" ht="35.450000000000003" hidden="1" customHeight="1">
      <c r="G3670" s="113"/>
      <c r="J3670" s="28">
        <f>IFERROR(VLOOKUP(TEXT(B3670,"0"),STOCK!A:H,7,0),1)</f>
        <v>1</v>
      </c>
    </row>
    <row r="3671" spans="7:10" ht="35.450000000000003" hidden="1" customHeight="1">
      <c r="G3671" s="113"/>
      <c r="J3671" s="28">
        <f>IFERROR(VLOOKUP(TEXT(B3671,"0"),STOCK!A:H,7,0),1)</f>
        <v>1</v>
      </c>
    </row>
    <row r="3672" spans="7:10" ht="35.450000000000003" hidden="1" customHeight="1">
      <c r="G3672" s="113"/>
      <c r="J3672" s="28">
        <f>IFERROR(VLOOKUP(TEXT(B3672,"0"),STOCK!A:H,7,0),1)</f>
        <v>1</v>
      </c>
    </row>
    <row r="3673" spans="7:10" ht="35.450000000000003" hidden="1" customHeight="1">
      <c r="G3673" s="113"/>
      <c r="J3673" s="28">
        <f>IFERROR(VLOOKUP(TEXT(B3673,"0"),STOCK!A:H,7,0),1)</f>
        <v>1</v>
      </c>
    </row>
    <row r="3674" spans="7:10" ht="35.450000000000003" hidden="1" customHeight="1">
      <c r="G3674" s="113"/>
      <c r="J3674" s="28">
        <f>IFERROR(VLOOKUP(TEXT(B3674,"0"),STOCK!A:H,7,0),1)</f>
        <v>1</v>
      </c>
    </row>
    <row r="3675" spans="7:10" ht="35.450000000000003" hidden="1" customHeight="1">
      <c r="G3675" s="113"/>
      <c r="J3675" s="28">
        <f>IFERROR(VLOOKUP(TEXT(B3675,"0"),STOCK!A:H,7,0),1)</f>
        <v>1</v>
      </c>
    </row>
    <row r="3676" spans="7:10" ht="35.450000000000003" hidden="1" customHeight="1">
      <c r="G3676" s="113"/>
      <c r="J3676" s="28">
        <f>IFERROR(VLOOKUP(TEXT(B3676,"0"),STOCK!A:H,7,0),1)</f>
        <v>1</v>
      </c>
    </row>
    <row r="3677" spans="7:10" ht="35.450000000000003" hidden="1" customHeight="1">
      <c r="G3677" s="113"/>
      <c r="J3677" s="28">
        <f>IFERROR(VLOOKUP(TEXT(B3677,"0"),STOCK!A:H,7,0),1)</f>
        <v>1</v>
      </c>
    </row>
    <row r="3678" spans="7:10" ht="35.450000000000003" hidden="1" customHeight="1">
      <c r="G3678" s="113"/>
      <c r="J3678" s="28">
        <f>IFERROR(VLOOKUP(TEXT(B3678,"0"),STOCK!A:H,7,0),1)</f>
        <v>1</v>
      </c>
    </row>
    <row r="3679" spans="7:10" ht="35.450000000000003" hidden="1" customHeight="1">
      <c r="G3679" s="113"/>
      <c r="J3679" s="28">
        <f>IFERROR(VLOOKUP(TEXT(B3679,"0"),STOCK!A:H,7,0),1)</f>
        <v>1</v>
      </c>
    </row>
    <row r="3680" spans="7:10" ht="35.450000000000003" hidden="1" customHeight="1">
      <c r="G3680" s="113"/>
      <c r="J3680" s="28">
        <f>IFERROR(VLOOKUP(TEXT(B3680,"0"),STOCK!A:H,7,0),1)</f>
        <v>1</v>
      </c>
    </row>
    <row r="3681" spans="7:10" ht="35.450000000000003" hidden="1" customHeight="1">
      <c r="G3681" s="113"/>
      <c r="J3681" s="28">
        <f>IFERROR(VLOOKUP(TEXT(B3681,"0"),STOCK!A:H,7,0),1)</f>
        <v>1</v>
      </c>
    </row>
    <row r="3682" spans="7:10" ht="35.450000000000003" hidden="1" customHeight="1">
      <c r="G3682" s="113"/>
      <c r="J3682" s="28">
        <f>IFERROR(VLOOKUP(TEXT(B3682,"0"),STOCK!A:H,7,0),1)</f>
        <v>1</v>
      </c>
    </row>
    <row r="3683" spans="7:10" ht="35.450000000000003" hidden="1" customHeight="1">
      <c r="G3683" s="113"/>
      <c r="J3683" s="28">
        <f>IFERROR(VLOOKUP(TEXT(B3683,"0"),STOCK!A:H,7,0),1)</f>
        <v>1</v>
      </c>
    </row>
    <row r="3684" spans="7:10" ht="35.450000000000003" hidden="1" customHeight="1">
      <c r="G3684" s="113"/>
      <c r="J3684" s="28">
        <f>IFERROR(VLOOKUP(TEXT(B3684,"0"),STOCK!A:H,7,0),1)</f>
        <v>1</v>
      </c>
    </row>
    <row r="3685" spans="7:10" ht="35.450000000000003" hidden="1" customHeight="1">
      <c r="G3685" s="113"/>
      <c r="J3685" s="28">
        <f>IFERROR(VLOOKUP(TEXT(B3685,"0"),STOCK!A:H,7,0),1)</f>
        <v>1</v>
      </c>
    </row>
    <row r="3686" spans="7:10" ht="35.450000000000003" hidden="1" customHeight="1">
      <c r="G3686" s="113"/>
      <c r="J3686" s="28">
        <f>IFERROR(VLOOKUP(TEXT(B3686,"0"),STOCK!A:H,7,0),1)</f>
        <v>1</v>
      </c>
    </row>
    <row r="3687" spans="7:10" ht="35.450000000000003" hidden="1" customHeight="1">
      <c r="G3687" s="113"/>
      <c r="J3687" s="28">
        <f>IFERROR(VLOOKUP(TEXT(B3687,"0"),STOCK!A:H,7,0),1)</f>
        <v>1</v>
      </c>
    </row>
    <row r="3688" spans="7:10" ht="35.450000000000003" hidden="1" customHeight="1">
      <c r="G3688" s="113"/>
      <c r="J3688" s="28">
        <f>IFERROR(VLOOKUP(TEXT(B3688,"0"),STOCK!A:H,7,0),1)</f>
        <v>1</v>
      </c>
    </row>
    <row r="3689" spans="7:10" ht="35.450000000000003" hidden="1" customHeight="1">
      <c r="G3689" s="113"/>
      <c r="J3689" s="28">
        <f>IFERROR(VLOOKUP(TEXT(B3689,"0"),STOCK!A:H,7,0),1)</f>
        <v>1</v>
      </c>
    </row>
    <row r="3690" spans="7:10" ht="35.450000000000003" hidden="1" customHeight="1">
      <c r="G3690" s="113"/>
      <c r="J3690" s="28">
        <f>IFERROR(VLOOKUP(TEXT(B3690,"0"),STOCK!A:H,7,0),1)</f>
        <v>1</v>
      </c>
    </row>
    <row r="3691" spans="7:10" ht="35.450000000000003" hidden="1" customHeight="1">
      <c r="G3691" s="113"/>
      <c r="J3691" s="28">
        <f>IFERROR(VLOOKUP(TEXT(B3691,"0"),STOCK!A:H,7,0),1)</f>
        <v>1</v>
      </c>
    </row>
    <row r="3692" spans="7:10" ht="35.450000000000003" hidden="1" customHeight="1">
      <c r="G3692" s="113"/>
      <c r="J3692" s="28">
        <f>IFERROR(VLOOKUP(TEXT(B3692,"0"),STOCK!A:H,7,0),1)</f>
        <v>1</v>
      </c>
    </row>
    <row r="3693" spans="7:10" ht="35.450000000000003" hidden="1" customHeight="1">
      <c r="G3693" s="113"/>
      <c r="J3693" s="28">
        <f>IFERROR(VLOOKUP(TEXT(B3693,"0"),STOCK!A:H,7,0),1)</f>
        <v>1</v>
      </c>
    </row>
    <row r="3694" spans="7:10" ht="35.450000000000003" hidden="1" customHeight="1">
      <c r="G3694" s="113"/>
      <c r="J3694" s="28">
        <f>IFERROR(VLOOKUP(TEXT(B3694,"0"),STOCK!A:H,7,0),1)</f>
        <v>1</v>
      </c>
    </row>
    <row r="3695" spans="7:10" ht="35.450000000000003" hidden="1" customHeight="1">
      <c r="G3695" s="113"/>
      <c r="J3695" s="28">
        <f>IFERROR(VLOOKUP(TEXT(B3695,"0"),STOCK!A:H,7,0),1)</f>
        <v>1</v>
      </c>
    </row>
    <row r="3696" spans="7:10" ht="35.450000000000003" hidden="1" customHeight="1">
      <c r="G3696" s="113"/>
      <c r="J3696" s="28">
        <f>IFERROR(VLOOKUP(TEXT(B3696,"0"),STOCK!A:H,7,0),1)</f>
        <v>1</v>
      </c>
    </row>
    <row r="3697" spans="7:10" ht="35.450000000000003" hidden="1" customHeight="1">
      <c r="G3697" s="113"/>
      <c r="J3697" s="28">
        <f>IFERROR(VLOOKUP(TEXT(B3697,"0"),STOCK!A:H,7,0),1)</f>
        <v>1</v>
      </c>
    </row>
    <row r="3698" spans="7:10" ht="35.450000000000003" hidden="1" customHeight="1">
      <c r="G3698" s="113"/>
      <c r="J3698" s="28">
        <f>IFERROR(VLOOKUP(TEXT(B3698,"0"),STOCK!A:H,7,0),1)</f>
        <v>1</v>
      </c>
    </row>
    <row r="3699" spans="7:10" ht="35.450000000000003" hidden="1" customHeight="1">
      <c r="G3699" s="113"/>
      <c r="J3699" s="28">
        <f>IFERROR(VLOOKUP(TEXT(B3699,"0"),STOCK!A:H,7,0),1)</f>
        <v>1</v>
      </c>
    </row>
    <row r="3700" spans="7:10" ht="35.450000000000003" hidden="1" customHeight="1">
      <c r="G3700" s="113"/>
      <c r="J3700" s="28">
        <f>IFERROR(VLOOKUP(TEXT(B3700,"0"),STOCK!A:H,7,0),1)</f>
        <v>1</v>
      </c>
    </row>
    <row r="3701" spans="7:10" ht="35.450000000000003" hidden="1" customHeight="1">
      <c r="G3701" s="113"/>
      <c r="J3701" s="28">
        <f>IFERROR(VLOOKUP(TEXT(B3701,"0"),STOCK!A:H,7,0),1)</f>
        <v>1</v>
      </c>
    </row>
    <row r="3702" spans="7:10" ht="35.450000000000003" hidden="1" customHeight="1">
      <c r="G3702" s="113"/>
      <c r="J3702" s="28">
        <f>IFERROR(VLOOKUP(TEXT(B3702,"0"),STOCK!A:H,7,0),1)</f>
        <v>1</v>
      </c>
    </row>
    <row r="3703" spans="7:10" ht="35.450000000000003" hidden="1" customHeight="1">
      <c r="G3703" s="113"/>
      <c r="J3703" s="28">
        <f>IFERROR(VLOOKUP(TEXT(B3703,"0"),STOCK!A:H,7,0),1)</f>
        <v>1</v>
      </c>
    </row>
    <row r="3704" spans="7:10" ht="35.450000000000003" hidden="1" customHeight="1">
      <c r="G3704" s="113"/>
      <c r="J3704" s="28">
        <f>IFERROR(VLOOKUP(TEXT(B3704,"0"),STOCK!A:H,7,0),1)</f>
        <v>1</v>
      </c>
    </row>
    <row r="3705" spans="7:10" ht="35.450000000000003" hidden="1" customHeight="1">
      <c r="G3705" s="113"/>
      <c r="J3705" s="28">
        <f>IFERROR(VLOOKUP(TEXT(B3705,"0"),STOCK!A:H,7,0),1)</f>
        <v>1</v>
      </c>
    </row>
    <row r="3706" spans="7:10" ht="35.450000000000003" hidden="1" customHeight="1">
      <c r="G3706" s="113"/>
      <c r="J3706" s="28">
        <f>IFERROR(VLOOKUP(TEXT(B3706,"0"),STOCK!A:H,7,0),1)</f>
        <v>1</v>
      </c>
    </row>
    <row r="3707" spans="7:10" ht="35.450000000000003" hidden="1" customHeight="1">
      <c r="G3707" s="113"/>
      <c r="J3707" s="28">
        <f>IFERROR(VLOOKUP(TEXT(B3707,"0"),STOCK!A:H,7,0),1)</f>
        <v>1</v>
      </c>
    </row>
    <row r="3708" spans="7:10" ht="35.450000000000003" hidden="1" customHeight="1">
      <c r="G3708" s="113"/>
      <c r="J3708" s="28">
        <f>IFERROR(VLOOKUP(TEXT(B3708,"0"),STOCK!A:H,7,0),1)</f>
        <v>1</v>
      </c>
    </row>
    <row r="3709" spans="7:10" ht="35.450000000000003" hidden="1" customHeight="1">
      <c r="G3709" s="113"/>
      <c r="J3709" s="28">
        <f>IFERROR(VLOOKUP(TEXT(B3709,"0"),STOCK!A:H,7,0),1)</f>
        <v>1</v>
      </c>
    </row>
    <row r="3710" spans="7:10" ht="35.450000000000003" hidden="1" customHeight="1">
      <c r="G3710" s="113"/>
      <c r="J3710" s="28">
        <f>IFERROR(VLOOKUP(TEXT(B3710,"0"),STOCK!A:H,7,0),1)</f>
        <v>1</v>
      </c>
    </row>
    <row r="3711" spans="7:10" ht="35.450000000000003" hidden="1" customHeight="1">
      <c r="G3711" s="113"/>
      <c r="J3711" s="28">
        <f>IFERROR(VLOOKUP(TEXT(B3711,"0"),STOCK!A:H,7,0),1)</f>
        <v>1</v>
      </c>
    </row>
    <row r="3712" spans="7:10" ht="35.450000000000003" hidden="1" customHeight="1">
      <c r="G3712" s="113"/>
      <c r="J3712" s="28">
        <f>IFERROR(VLOOKUP(TEXT(B3712,"0"),STOCK!A:H,7,0),1)</f>
        <v>1</v>
      </c>
    </row>
    <row r="3713" spans="7:10" ht="35.450000000000003" hidden="1" customHeight="1">
      <c r="G3713" s="113"/>
      <c r="J3713" s="28">
        <f>IFERROR(VLOOKUP(TEXT(B3713,"0"),STOCK!A:H,7,0),1)</f>
        <v>1</v>
      </c>
    </row>
    <row r="3714" spans="7:10" ht="35.450000000000003" hidden="1" customHeight="1">
      <c r="G3714" s="113"/>
      <c r="J3714" s="28">
        <f>IFERROR(VLOOKUP(TEXT(B3714,"0"),STOCK!A:H,7,0),1)</f>
        <v>1</v>
      </c>
    </row>
    <row r="3715" spans="7:10" ht="35.450000000000003" hidden="1" customHeight="1">
      <c r="G3715" s="113"/>
      <c r="J3715" s="28">
        <f>IFERROR(VLOOKUP(TEXT(B3715,"0"),STOCK!A:H,7,0),1)</f>
        <v>1</v>
      </c>
    </row>
    <row r="3716" spans="7:10" ht="35.450000000000003" hidden="1" customHeight="1">
      <c r="G3716" s="113"/>
      <c r="J3716" s="28">
        <f>IFERROR(VLOOKUP(TEXT(B3716,"0"),STOCK!A:H,7,0),1)</f>
        <v>1</v>
      </c>
    </row>
    <row r="3717" spans="7:10" ht="35.450000000000003" hidden="1" customHeight="1">
      <c r="G3717" s="113"/>
      <c r="J3717" s="28">
        <f>IFERROR(VLOOKUP(TEXT(B3717,"0"),STOCK!A:H,7,0),1)</f>
        <v>1</v>
      </c>
    </row>
    <row r="3718" spans="7:10" ht="35.450000000000003" hidden="1" customHeight="1">
      <c r="G3718" s="113"/>
      <c r="J3718" s="28">
        <f>IFERROR(VLOOKUP(TEXT(B3718,"0"),STOCK!A:H,7,0),1)</f>
        <v>1</v>
      </c>
    </row>
    <row r="3719" spans="7:10" ht="35.450000000000003" hidden="1" customHeight="1">
      <c r="G3719" s="113"/>
      <c r="J3719" s="28">
        <f>IFERROR(VLOOKUP(TEXT(B3719,"0"),STOCK!A:H,7,0),1)</f>
        <v>1</v>
      </c>
    </row>
    <row r="3720" spans="7:10" ht="35.450000000000003" hidden="1" customHeight="1">
      <c r="G3720" s="113"/>
      <c r="J3720" s="28">
        <f>IFERROR(VLOOKUP(TEXT(B3720,"0"),STOCK!A:H,7,0),1)</f>
        <v>1</v>
      </c>
    </row>
    <row r="3721" spans="7:10" ht="35.450000000000003" hidden="1" customHeight="1">
      <c r="G3721" s="113"/>
      <c r="J3721" s="28">
        <f>IFERROR(VLOOKUP(TEXT(B3721,"0"),STOCK!A:H,7,0),1)</f>
        <v>1</v>
      </c>
    </row>
    <row r="3722" spans="7:10" ht="35.450000000000003" hidden="1" customHeight="1">
      <c r="G3722" s="113"/>
      <c r="J3722" s="28">
        <f>IFERROR(VLOOKUP(TEXT(B3722,"0"),STOCK!A:H,7,0),1)</f>
        <v>1</v>
      </c>
    </row>
    <row r="3723" spans="7:10" ht="35.450000000000003" hidden="1" customHeight="1">
      <c r="G3723" s="113"/>
      <c r="J3723" s="28">
        <f>IFERROR(VLOOKUP(TEXT(B3723,"0"),STOCK!A:H,7,0),1)</f>
        <v>1</v>
      </c>
    </row>
    <row r="3724" spans="7:10" ht="35.450000000000003" hidden="1" customHeight="1">
      <c r="G3724" s="113"/>
      <c r="J3724" s="28">
        <f>IFERROR(VLOOKUP(TEXT(B3724,"0"),STOCK!A:H,7,0),1)</f>
        <v>1</v>
      </c>
    </row>
    <row r="3725" spans="7:10" ht="35.450000000000003" hidden="1" customHeight="1">
      <c r="G3725" s="113"/>
      <c r="J3725" s="28">
        <f>IFERROR(VLOOKUP(TEXT(B3725,"0"),STOCK!A:H,7,0),1)</f>
        <v>1</v>
      </c>
    </row>
    <row r="3726" spans="7:10" ht="35.450000000000003" hidden="1" customHeight="1">
      <c r="G3726" s="113"/>
      <c r="J3726" s="28">
        <f>IFERROR(VLOOKUP(TEXT(B3726,"0"),STOCK!A:H,7,0),1)</f>
        <v>1</v>
      </c>
    </row>
    <row r="3727" spans="7:10" ht="35.450000000000003" hidden="1" customHeight="1">
      <c r="G3727" s="113"/>
      <c r="J3727" s="28">
        <f>IFERROR(VLOOKUP(TEXT(B3727,"0"),STOCK!A:H,7,0),1)</f>
        <v>1</v>
      </c>
    </row>
    <row r="3728" spans="7:10" ht="35.450000000000003" hidden="1" customHeight="1">
      <c r="G3728" s="113"/>
      <c r="J3728" s="28">
        <f>IFERROR(VLOOKUP(TEXT(B3728,"0"),STOCK!A:H,7,0),1)</f>
        <v>1</v>
      </c>
    </row>
    <row r="3729" spans="7:10" ht="35.450000000000003" hidden="1" customHeight="1">
      <c r="G3729" s="113"/>
      <c r="J3729" s="28">
        <f>IFERROR(VLOOKUP(TEXT(B3729,"0"),STOCK!A:H,7,0),1)</f>
        <v>1</v>
      </c>
    </row>
    <row r="3730" spans="7:10" ht="35.450000000000003" hidden="1" customHeight="1">
      <c r="G3730" s="113"/>
      <c r="J3730" s="28">
        <f>IFERROR(VLOOKUP(TEXT(B3730,"0"),STOCK!A:H,7,0),1)</f>
        <v>1</v>
      </c>
    </row>
    <row r="3731" spans="7:10" ht="35.450000000000003" hidden="1" customHeight="1">
      <c r="G3731" s="113"/>
      <c r="J3731" s="28">
        <f>IFERROR(VLOOKUP(TEXT(B3731,"0"),STOCK!A:H,7,0),1)</f>
        <v>1</v>
      </c>
    </row>
    <row r="3732" spans="7:10" ht="35.450000000000003" hidden="1" customHeight="1">
      <c r="G3732" s="113"/>
      <c r="J3732" s="28">
        <f>IFERROR(VLOOKUP(TEXT(B3732,"0"),STOCK!A:H,7,0),1)</f>
        <v>1</v>
      </c>
    </row>
    <row r="3733" spans="7:10" ht="35.450000000000003" hidden="1" customHeight="1">
      <c r="G3733" s="113"/>
      <c r="J3733" s="28">
        <f>IFERROR(VLOOKUP(TEXT(B3733,"0"),STOCK!A:H,7,0),1)</f>
        <v>1</v>
      </c>
    </row>
    <row r="3734" spans="7:10" ht="35.450000000000003" hidden="1" customHeight="1">
      <c r="G3734" s="113"/>
      <c r="J3734" s="28">
        <f>IFERROR(VLOOKUP(TEXT(B3734,"0"),STOCK!A:H,7,0),1)</f>
        <v>1</v>
      </c>
    </row>
    <row r="3735" spans="7:10" ht="35.450000000000003" hidden="1" customHeight="1">
      <c r="G3735" s="113"/>
      <c r="J3735" s="28">
        <f>IFERROR(VLOOKUP(TEXT(B3735,"0"),STOCK!A:H,7,0),1)</f>
        <v>1</v>
      </c>
    </row>
    <row r="3736" spans="7:10" ht="35.450000000000003" hidden="1" customHeight="1">
      <c r="G3736" s="113"/>
      <c r="J3736" s="28">
        <f>IFERROR(VLOOKUP(TEXT(B3736,"0"),STOCK!A:H,7,0),1)</f>
        <v>1</v>
      </c>
    </row>
    <row r="3737" spans="7:10" ht="35.450000000000003" hidden="1" customHeight="1">
      <c r="G3737" s="113"/>
      <c r="J3737" s="28">
        <f>IFERROR(VLOOKUP(TEXT(B3737,"0"),STOCK!A:H,7,0),1)</f>
        <v>1</v>
      </c>
    </row>
    <row r="3738" spans="7:10" ht="35.450000000000003" hidden="1" customHeight="1">
      <c r="G3738" s="113"/>
      <c r="J3738" s="28">
        <f>IFERROR(VLOOKUP(TEXT(B3738,"0"),STOCK!A:H,7,0),1)</f>
        <v>1</v>
      </c>
    </row>
    <row r="3739" spans="7:10" ht="35.450000000000003" hidden="1" customHeight="1">
      <c r="G3739" s="113"/>
      <c r="J3739" s="28">
        <f>IFERROR(VLOOKUP(TEXT(B3739,"0"),STOCK!A:H,7,0),1)</f>
        <v>1</v>
      </c>
    </row>
    <row r="3740" spans="7:10" ht="35.450000000000003" hidden="1" customHeight="1">
      <c r="G3740" s="113"/>
      <c r="J3740" s="28">
        <f>IFERROR(VLOOKUP(TEXT(B3740,"0"),STOCK!A:H,7,0),1)</f>
        <v>1</v>
      </c>
    </row>
    <row r="3741" spans="7:10" ht="35.450000000000003" hidden="1" customHeight="1">
      <c r="G3741" s="113"/>
      <c r="J3741" s="28">
        <f>IFERROR(VLOOKUP(TEXT(B3741,"0"),STOCK!A:H,7,0),1)</f>
        <v>1</v>
      </c>
    </row>
    <row r="3742" spans="7:10" ht="35.450000000000003" hidden="1" customHeight="1">
      <c r="G3742" s="113"/>
      <c r="J3742" s="28">
        <f>IFERROR(VLOOKUP(TEXT(B3742,"0"),STOCK!A:H,7,0),1)</f>
        <v>1</v>
      </c>
    </row>
    <row r="3743" spans="7:10" ht="35.450000000000003" hidden="1" customHeight="1">
      <c r="G3743" s="113"/>
      <c r="J3743" s="28">
        <f>IFERROR(VLOOKUP(TEXT(B3743,"0"),STOCK!A:H,7,0),1)</f>
        <v>1</v>
      </c>
    </row>
    <row r="3744" spans="7:10" ht="35.450000000000003" hidden="1" customHeight="1">
      <c r="G3744" s="113"/>
      <c r="J3744" s="28">
        <f>IFERROR(VLOOKUP(TEXT(B3744,"0"),STOCK!A:H,7,0),1)</f>
        <v>1</v>
      </c>
    </row>
    <row r="3745" spans="7:10" ht="35.450000000000003" hidden="1" customHeight="1">
      <c r="G3745" s="113"/>
      <c r="J3745" s="28">
        <f>IFERROR(VLOOKUP(TEXT(B3745,"0"),STOCK!A:H,7,0),1)</f>
        <v>1</v>
      </c>
    </row>
    <row r="3746" spans="7:10" ht="35.450000000000003" hidden="1" customHeight="1">
      <c r="G3746" s="113"/>
      <c r="J3746" s="28">
        <f>IFERROR(VLOOKUP(TEXT(B3746,"0"),STOCK!A:H,7,0),1)</f>
        <v>1</v>
      </c>
    </row>
    <row r="3747" spans="7:10" ht="35.450000000000003" hidden="1" customHeight="1">
      <c r="G3747" s="113"/>
      <c r="J3747" s="28">
        <f>IFERROR(VLOOKUP(TEXT(B3747,"0"),STOCK!A:H,7,0),1)</f>
        <v>1</v>
      </c>
    </row>
    <row r="3748" spans="7:10" ht="35.450000000000003" hidden="1" customHeight="1">
      <c r="G3748" s="113"/>
      <c r="J3748" s="28">
        <f>IFERROR(VLOOKUP(TEXT(B3748,"0"),STOCK!A:H,7,0),1)</f>
        <v>1</v>
      </c>
    </row>
    <row r="3749" spans="7:10" ht="35.450000000000003" hidden="1" customHeight="1">
      <c r="G3749" s="113"/>
      <c r="J3749" s="28">
        <f>IFERROR(VLOOKUP(TEXT(B3749,"0"),STOCK!A:H,7,0),1)</f>
        <v>1</v>
      </c>
    </row>
    <row r="3750" spans="7:10" ht="35.450000000000003" hidden="1" customHeight="1">
      <c r="G3750" s="113"/>
      <c r="J3750" s="28">
        <f>IFERROR(VLOOKUP(TEXT(B3750,"0"),STOCK!A:H,7,0),1)</f>
        <v>1</v>
      </c>
    </row>
    <row r="3751" spans="7:10" ht="35.450000000000003" hidden="1" customHeight="1">
      <c r="G3751" s="113"/>
      <c r="J3751" s="28">
        <f>IFERROR(VLOOKUP(TEXT(B3751,"0"),STOCK!A:H,7,0),1)</f>
        <v>1</v>
      </c>
    </row>
    <row r="3752" spans="7:10" ht="35.450000000000003" hidden="1" customHeight="1">
      <c r="G3752" s="113"/>
      <c r="J3752" s="28">
        <f>IFERROR(VLOOKUP(TEXT(B3752,"0"),STOCK!A:H,7,0),1)</f>
        <v>1</v>
      </c>
    </row>
    <row r="3753" spans="7:10" ht="35.450000000000003" hidden="1" customHeight="1">
      <c r="G3753" s="113"/>
      <c r="J3753" s="28">
        <f>IFERROR(VLOOKUP(TEXT(B3753,"0"),STOCK!A:H,7,0),1)</f>
        <v>1</v>
      </c>
    </row>
    <row r="3754" spans="7:10" ht="35.450000000000003" hidden="1" customHeight="1">
      <c r="G3754" s="113"/>
      <c r="J3754" s="28">
        <f>IFERROR(VLOOKUP(TEXT(B3754,"0"),STOCK!A:H,7,0),1)</f>
        <v>1</v>
      </c>
    </row>
    <row r="3755" spans="7:10" ht="35.450000000000003" hidden="1" customHeight="1">
      <c r="G3755" s="113"/>
      <c r="J3755" s="28">
        <f>IFERROR(VLOOKUP(TEXT(B3755,"0"),STOCK!A:H,7,0),1)</f>
        <v>1</v>
      </c>
    </row>
    <row r="3756" spans="7:10" ht="35.450000000000003" hidden="1" customHeight="1">
      <c r="G3756" s="113"/>
      <c r="J3756" s="28">
        <f>IFERROR(VLOOKUP(TEXT(B3756,"0"),STOCK!A:H,7,0),1)</f>
        <v>1</v>
      </c>
    </row>
    <row r="3757" spans="7:10" ht="35.450000000000003" hidden="1" customHeight="1">
      <c r="G3757" s="113"/>
      <c r="J3757" s="28">
        <f>IFERROR(VLOOKUP(TEXT(B3757,"0"),STOCK!A:H,7,0),1)</f>
        <v>1</v>
      </c>
    </row>
    <row r="3758" spans="7:10" ht="35.450000000000003" hidden="1" customHeight="1">
      <c r="G3758" s="113"/>
      <c r="J3758" s="28">
        <f>IFERROR(VLOOKUP(TEXT(B3758,"0"),STOCK!A:H,7,0),1)</f>
        <v>1</v>
      </c>
    </row>
    <row r="3759" spans="7:10" ht="35.450000000000003" hidden="1" customHeight="1">
      <c r="G3759" s="113"/>
      <c r="J3759" s="28">
        <f>IFERROR(VLOOKUP(TEXT(B3759,"0"),STOCK!A:H,7,0),1)</f>
        <v>1</v>
      </c>
    </row>
    <row r="3760" spans="7:10" ht="35.450000000000003" hidden="1" customHeight="1">
      <c r="G3760" s="113"/>
      <c r="J3760" s="28">
        <f>IFERROR(VLOOKUP(TEXT(B3760,"0"),STOCK!A:H,7,0),1)</f>
        <v>1</v>
      </c>
    </row>
    <row r="3761" spans="7:10" ht="35.450000000000003" hidden="1" customHeight="1">
      <c r="G3761" s="113"/>
      <c r="J3761" s="28">
        <f>IFERROR(VLOOKUP(TEXT(B3761,"0"),STOCK!A:H,7,0),1)</f>
        <v>1</v>
      </c>
    </row>
    <row r="3762" spans="7:10" ht="35.450000000000003" hidden="1" customHeight="1">
      <c r="G3762" s="113"/>
      <c r="J3762" s="28">
        <f>IFERROR(VLOOKUP(TEXT(B3762,"0"),STOCK!A:H,7,0),1)</f>
        <v>1</v>
      </c>
    </row>
    <row r="3763" spans="7:10" ht="35.450000000000003" hidden="1" customHeight="1">
      <c r="G3763" s="113"/>
      <c r="J3763" s="28">
        <f>IFERROR(VLOOKUP(TEXT(B3763,"0"),STOCK!A:H,7,0),1)</f>
        <v>1</v>
      </c>
    </row>
    <row r="3764" spans="7:10" ht="35.450000000000003" hidden="1" customHeight="1">
      <c r="G3764" s="113"/>
      <c r="J3764" s="28">
        <f>IFERROR(VLOOKUP(TEXT(B3764,"0"),STOCK!A:H,7,0),1)</f>
        <v>1</v>
      </c>
    </row>
    <row r="3765" spans="7:10" ht="35.450000000000003" hidden="1" customHeight="1">
      <c r="G3765" s="113"/>
      <c r="J3765" s="28">
        <f>IFERROR(VLOOKUP(TEXT(B3765,"0"),STOCK!A:H,7,0),1)</f>
        <v>1</v>
      </c>
    </row>
    <row r="3766" spans="7:10" ht="35.450000000000003" hidden="1" customHeight="1">
      <c r="G3766" s="113"/>
      <c r="J3766" s="28">
        <f>IFERROR(VLOOKUP(TEXT(B3766,"0"),STOCK!A:H,7,0),1)</f>
        <v>1</v>
      </c>
    </row>
    <row r="3767" spans="7:10" ht="35.450000000000003" hidden="1" customHeight="1">
      <c r="G3767" s="113"/>
      <c r="J3767" s="28">
        <f>IFERROR(VLOOKUP(TEXT(B3767,"0"),STOCK!A:H,7,0),1)</f>
        <v>1</v>
      </c>
    </row>
    <row r="3768" spans="7:10" ht="35.450000000000003" hidden="1" customHeight="1">
      <c r="G3768" s="113"/>
      <c r="J3768" s="28">
        <f>IFERROR(VLOOKUP(TEXT(B3768,"0"),STOCK!A:H,7,0),1)</f>
        <v>1</v>
      </c>
    </row>
    <row r="3769" spans="7:10" ht="35.450000000000003" hidden="1" customHeight="1">
      <c r="G3769" s="113"/>
      <c r="J3769" s="28">
        <f>IFERROR(VLOOKUP(TEXT(B3769,"0"),STOCK!A:H,7,0),1)</f>
        <v>1</v>
      </c>
    </row>
    <row r="3770" spans="7:10" ht="35.450000000000003" hidden="1" customHeight="1">
      <c r="G3770" s="113"/>
      <c r="J3770" s="28">
        <f>IFERROR(VLOOKUP(TEXT(B3770,"0"),STOCK!A:H,7,0),1)</f>
        <v>1</v>
      </c>
    </row>
    <row r="3771" spans="7:10" ht="35.450000000000003" hidden="1" customHeight="1">
      <c r="G3771" s="113"/>
      <c r="J3771" s="28">
        <f>IFERROR(VLOOKUP(TEXT(B3771,"0"),STOCK!A:H,7,0),1)</f>
        <v>1</v>
      </c>
    </row>
    <row r="3772" spans="7:10" ht="35.450000000000003" hidden="1" customHeight="1">
      <c r="G3772" s="113"/>
      <c r="J3772" s="28">
        <f>IFERROR(VLOOKUP(TEXT(B3772,"0"),STOCK!A:H,7,0),1)</f>
        <v>1</v>
      </c>
    </row>
    <row r="3773" spans="7:10" ht="35.450000000000003" hidden="1" customHeight="1">
      <c r="G3773" s="113"/>
      <c r="J3773" s="28">
        <f>IFERROR(VLOOKUP(TEXT(B3773,"0"),STOCK!A:H,7,0),1)</f>
        <v>1</v>
      </c>
    </row>
    <row r="3774" spans="7:10" ht="35.450000000000003" hidden="1" customHeight="1">
      <c r="G3774" s="113"/>
      <c r="J3774" s="28">
        <f>IFERROR(VLOOKUP(TEXT(B3774,"0"),STOCK!A:H,7,0),1)</f>
        <v>1</v>
      </c>
    </row>
    <row r="3775" spans="7:10" ht="35.450000000000003" hidden="1" customHeight="1">
      <c r="G3775" s="113"/>
      <c r="J3775" s="28">
        <f>IFERROR(VLOOKUP(TEXT(B3775,"0"),STOCK!A:H,7,0),1)</f>
        <v>1</v>
      </c>
    </row>
    <row r="3776" spans="7:10" ht="35.450000000000003" hidden="1" customHeight="1">
      <c r="G3776" s="113"/>
      <c r="J3776" s="28">
        <f>IFERROR(VLOOKUP(TEXT(B3776,"0"),STOCK!A:H,7,0),1)</f>
        <v>1</v>
      </c>
    </row>
    <row r="3777" spans="7:10" ht="35.450000000000003" hidden="1" customHeight="1">
      <c r="G3777" s="113"/>
      <c r="J3777" s="28">
        <f>IFERROR(VLOOKUP(TEXT(B3777,"0"),STOCK!A:H,7,0),1)</f>
        <v>1</v>
      </c>
    </row>
    <row r="3778" spans="7:10" ht="35.450000000000003" hidden="1" customHeight="1">
      <c r="G3778" s="113"/>
      <c r="J3778" s="28">
        <f>IFERROR(VLOOKUP(TEXT(B3778,"0"),STOCK!A:H,7,0),1)</f>
        <v>1</v>
      </c>
    </row>
    <row r="3779" spans="7:10" ht="35.450000000000003" hidden="1" customHeight="1">
      <c r="G3779" s="113"/>
      <c r="J3779" s="28">
        <f>IFERROR(VLOOKUP(TEXT(B3779,"0"),STOCK!A:H,7,0),1)</f>
        <v>1</v>
      </c>
    </row>
    <row r="3780" spans="7:10" ht="35.450000000000003" hidden="1" customHeight="1">
      <c r="G3780" s="113"/>
      <c r="J3780" s="28">
        <f>IFERROR(VLOOKUP(TEXT(B3780,"0"),STOCK!A:H,7,0),1)</f>
        <v>1</v>
      </c>
    </row>
    <row r="3781" spans="7:10" ht="35.450000000000003" hidden="1" customHeight="1">
      <c r="G3781" s="113"/>
      <c r="J3781" s="28">
        <f>IFERROR(VLOOKUP(TEXT(B3781,"0"),STOCK!A:H,7,0),1)</f>
        <v>1</v>
      </c>
    </row>
    <row r="3782" spans="7:10" ht="35.450000000000003" hidden="1" customHeight="1">
      <c r="G3782" s="113"/>
      <c r="J3782" s="28">
        <f>IFERROR(VLOOKUP(TEXT(B3782,"0"),STOCK!A:H,7,0),1)</f>
        <v>1</v>
      </c>
    </row>
    <row r="3783" spans="7:10" ht="35.450000000000003" hidden="1" customHeight="1">
      <c r="G3783" s="113"/>
      <c r="J3783" s="28">
        <f>IFERROR(VLOOKUP(TEXT(B3783,"0"),STOCK!A:H,7,0),1)</f>
        <v>1</v>
      </c>
    </row>
    <row r="3784" spans="7:10" ht="35.450000000000003" hidden="1" customHeight="1">
      <c r="G3784" s="113"/>
      <c r="J3784" s="28">
        <f>IFERROR(VLOOKUP(TEXT(B3784,"0"),STOCK!A:H,7,0),1)</f>
        <v>1</v>
      </c>
    </row>
    <row r="3785" spans="7:10" ht="35.450000000000003" hidden="1" customHeight="1">
      <c r="G3785" s="113"/>
      <c r="J3785" s="28">
        <f>IFERROR(VLOOKUP(TEXT(B3785,"0"),STOCK!A:H,7,0),1)</f>
        <v>1</v>
      </c>
    </row>
    <row r="3786" spans="7:10" ht="35.450000000000003" hidden="1" customHeight="1">
      <c r="G3786" s="113"/>
      <c r="J3786" s="28">
        <f>IFERROR(VLOOKUP(TEXT(B3786,"0"),STOCK!A:H,7,0),1)</f>
        <v>1</v>
      </c>
    </row>
    <row r="3787" spans="7:10" ht="35.450000000000003" hidden="1" customHeight="1">
      <c r="G3787" s="113"/>
      <c r="J3787" s="28">
        <f>IFERROR(VLOOKUP(TEXT(B3787,"0"),STOCK!A:H,7,0),1)</f>
        <v>1</v>
      </c>
    </row>
    <row r="3788" spans="7:10" ht="35.450000000000003" hidden="1" customHeight="1">
      <c r="G3788" s="113"/>
      <c r="J3788" s="28">
        <f>IFERROR(VLOOKUP(TEXT(B3788,"0"),STOCK!A:H,7,0),1)</f>
        <v>1</v>
      </c>
    </row>
    <row r="3789" spans="7:10" ht="35.450000000000003" hidden="1" customHeight="1">
      <c r="G3789" s="113"/>
      <c r="J3789" s="28">
        <f>IFERROR(VLOOKUP(TEXT(B3789,"0"),STOCK!A:H,7,0),1)</f>
        <v>1</v>
      </c>
    </row>
    <row r="3790" spans="7:10" ht="35.450000000000003" hidden="1" customHeight="1">
      <c r="G3790" s="113"/>
      <c r="J3790" s="28">
        <f>IFERROR(VLOOKUP(TEXT(B3790,"0"),STOCK!A:H,7,0),1)</f>
        <v>1</v>
      </c>
    </row>
    <row r="3791" spans="7:10" ht="35.450000000000003" hidden="1" customHeight="1">
      <c r="G3791" s="113"/>
      <c r="J3791" s="28">
        <f>IFERROR(VLOOKUP(TEXT(B3791,"0"),STOCK!A:H,7,0),1)</f>
        <v>1</v>
      </c>
    </row>
    <row r="3792" spans="7:10" ht="35.450000000000003" hidden="1" customHeight="1">
      <c r="G3792" s="113"/>
      <c r="J3792" s="28">
        <f>IFERROR(VLOOKUP(TEXT(B3792,"0"),STOCK!A:H,7,0),1)</f>
        <v>1</v>
      </c>
    </row>
    <row r="3793" spans="7:10" ht="35.450000000000003" hidden="1" customHeight="1">
      <c r="G3793" s="113"/>
      <c r="J3793" s="28">
        <f>IFERROR(VLOOKUP(TEXT(B3793,"0"),STOCK!A:H,7,0),1)</f>
        <v>1</v>
      </c>
    </row>
    <row r="3794" spans="7:10" ht="35.450000000000003" hidden="1" customHeight="1">
      <c r="G3794" s="113"/>
      <c r="J3794" s="28">
        <f>IFERROR(VLOOKUP(TEXT(B3794,"0"),STOCK!A:H,7,0),1)</f>
        <v>1</v>
      </c>
    </row>
    <row r="3795" spans="7:10" ht="35.450000000000003" hidden="1" customHeight="1">
      <c r="G3795" s="113"/>
      <c r="J3795" s="28">
        <f>IFERROR(VLOOKUP(TEXT(B3795,"0"),STOCK!A:H,7,0),1)</f>
        <v>1</v>
      </c>
    </row>
    <row r="3796" spans="7:10" ht="35.450000000000003" hidden="1" customHeight="1">
      <c r="G3796" s="113"/>
      <c r="J3796" s="28">
        <f>IFERROR(VLOOKUP(TEXT(B3796,"0"),STOCK!A:H,7,0),1)</f>
        <v>1</v>
      </c>
    </row>
    <row r="3797" spans="7:10" ht="35.450000000000003" hidden="1" customHeight="1">
      <c r="G3797" s="113"/>
      <c r="J3797" s="28">
        <f>IFERROR(VLOOKUP(TEXT(B3797,"0"),STOCK!A:H,7,0),1)</f>
        <v>1</v>
      </c>
    </row>
    <row r="3798" spans="7:10" ht="35.450000000000003" hidden="1" customHeight="1">
      <c r="G3798" s="113"/>
      <c r="J3798" s="28">
        <f>IFERROR(VLOOKUP(TEXT(B3798,"0"),STOCK!A:H,7,0),1)</f>
        <v>1</v>
      </c>
    </row>
    <row r="3799" spans="7:10" ht="35.450000000000003" hidden="1" customHeight="1">
      <c r="G3799" s="113"/>
      <c r="J3799" s="28">
        <f>IFERROR(VLOOKUP(TEXT(B3799,"0"),STOCK!A:H,7,0),1)</f>
        <v>1</v>
      </c>
    </row>
    <row r="3800" spans="7:10" ht="35.450000000000003" hidden="1" customHeight="1">
      <c r="G3800" s="113"/>
      <c r="J3800" s="28">
        <f>IFERROR(VLOOKUP(TEXT(B3800,"0"),STOCK!A:H,7,0),1)</f>
        <v>1</v>
      </c>
    </row>
    <row r="3801" spans="7:10" ht="35.450000000000003" hidden="1" customHeight="1">
      <c r="G3801" s="113"/>
      <c r="J3801" s="28">
        <f>IFERROR(VLOOKUP(TEXT(B3801,"0"),STOCK!A:H,7,0),1)</f>
        <v>1</v>
      </c>
    </row>
    <row r="3802" spans="7:10" ht="35.450000000000003" hidden="1" customHeight="1">
      <c r="G3802" s="113"/>
      <c r="J3802" s="28">
        <f>IFERROR(VLOOKUP(TEXT(B3802,"0"),STOCK!A:H,7,0),1)</f>
        <v>1</v>
      </c>
    </row>
    <row r="3803" spans="7:10" ht="35.450000000000003" hidden="1" customHeight="1">
      <c r="G3803" s="113"/>
      <c r="J3803" s="28">
        <f>IFERROR(VLOOKUP(TEXT(B3803,"0"),STOCK!A:H,7,0),1)</f>
        <v>1</v>
      </c>
    </row>
    <row r="3804" spans="7:10" ht="35.450000000000003" hidden="1" customHeight="1">
      <c r="G3804" s="113"/>
      <c r="J3804" s="28">
        <f>IFERROR(VLOOKUP(TEXT(B3804,"0"),STOCK!A:H,7,0),1)</f>
        <v>1</v>
      </c>
    </row>
    <row r="3805" spans="7:10" ht="35.450000000000003" hidden="1" customHeight="1">
      <c r="G3805" s="113"/>
      <c r="J3805" s="28">
        <f>IFERROR(VLOOKUP(TEXT(B3805,"0"),STOCK!A:H,7,0),1)</f>
        <v>1</v>
      </c>
    </row>
    <row r="3806" spans="7:10" ht="35.450000000000003" hidden="1" customHeight="1">
      <c r="G3806" s="113"/>
      <c r="J3806" s="28">
        <f>IFERROR(VLOOKUP(TEXT(B3806,"0"),STOCK!A:H,7,0),1)</f>
        <v>1</v>
      </c>
    </row>
    <row r="3807" spans="7:10" ht="35.450000000000003" hidden="1" customHeight="1">
      <c r="G3807" s="113"/>
      <c r="J3807" s="28">
        <f>IFERROR(VLOOKUP(TEXT(B3807,"0"),STOCK!A:H,7,0),1)</f>
        <v>1</v>
      </c>
    </row>
    <row r="3808" spans="7:10" ht="35.450000000000003" hidden="1" customHeight="1">
      <c r="G3808" s="113"/>
      <c r="J3808" s="28">
        <f>IFERROR(VLOOKUP(TEXT(B3808,"0"),STOCK!A:H,7,0),1)</f>
        <v>1</v>
      </c>
    </row>
    <row r="3809" spans="7:10" ht="35.450000000000003" hidden="1" customHeight="1">
      <c r="G3809" s="113"/>
      <c r="J3809" s="28">
        <f>IFERROR(VLOOKUP(TEXT(B3809,"0"),STOCK!A:H,7,0),1)</f>
        <v>1</v>
      </c>
    </row>
    <row r="3810" spans="7:10" ht="35.450000000000003" hidden="1" customHeight="1">
      <c r="G3810" s="113"/>
      <c r="J3810" s="28">
        <f>IFERROR(VLOOKUP(TEXT(B3810,"0"),STOCK!A:H,7,0),1)</f>
        <v>1</v>
      </c>
    </row>
    <row r="3811" spans="7:10" ht="35.450000000000003" hidden="1" customHeight="1">
      <c r="G3811" s="113"/>
      <c r="J3811" s="28">
        <f>IFERROR(VLOOKUP(TEXT(B3811,"0"),STOCK!A:H,7,0),1)</f>
        <v>1</v>
      </c>
    </row>
    <row r="3812" spans="7:10" ht="35.450000000000003" hidden="1" customHeight="1">
      <c r="G3812" s="113"/>
      <c r="J3812" s="28">
        <f>IFERROR(VLOOKUP(TEXT(B3812,"0"),STOCK!A:H,7,0),1)</f>
        <v>1</v>
      </c>
    </row>
    <row r="3813" spans="7:10" ht="35.450000000000003" hidden="1" customHeight="1">
      <c r="G3813" s="113"/>
      <c r="J3813" s="28">
        <f>IFERROR(VLOOKUP(TEXT(B3813,"0"),STOCK!A:H,7,0),1)</f>
        <v>1</v>
      </c>
    </row>
    <row r="3814" spans="7:10" ht="35.450000000000003" hidden="1" customHeight="1">
      <c r="G3814" s="113"/>
      <c r="J3814" s="28">
        <f>IFERROR(VLOOKUP(TEXT(B3814,"0"),STOCK!A:H,7,0),1)</f>
        <v>1</v>
      </c>
    </row>
    <row r="3815" spans="7:10" ht="35.450000000000003" hidden="1" customHeight="1">
      <c r="G3815" s="113"/>
      <c r="J3815" s="28">
        <f>IFERROR(VLOOKUP(TEXT(B3815,"0"),STOCK!A:H,7,0),1)</f>
        <v>1</v>
      </c>
    </row>
    <row r="3816" spans="7:10" ht="35.450000000000003" hidden="1" customHeight="1">
      <c r="G3816" s="113"/>
      <c r="J3816" s="28">
        <f>IFERROR(VLOOKUP(TEXT(B3816,"0"),STOCK!A:H,7,0),1)</f>
        <v>1</v>
      </c>
    </row>
    <row r="3817" spans="7:10" ht="35.450000000000003" hidden="1" customHeight="1">
      <c r="G3817" s="113"/>
      <c r="J3817" s="28">
        <f>IFERROR(VLOOKUP(TEXT(B3817,"0"),STOCK!A:H,7,0),1)</f>
        <v>1</v>
      </c>
    </row>
    <row r="3818" spans="7:10" ht="35.450000000000003" hidden="1" customHeight="1">
      <c r="G3818" s="113"/>
      <c r="J3818" s="28">
        <f>IFERROR(VLOOKUP(TEXT(B3818,"0"),STOCK!A:H,7,0),1)</f>
        <v>1</v>
      </c>
    </row>
    <row r="3819" spans="7:10" ht="35.450000000000003" hidden="1" customHeight="1">
      <c r="G3819" s="113"/>
      <c r="J3819" s="28">
        <f>IFERROR(VLOOKUP(TEXT(B3819,"0"),STOCK!A:H,7,0),1)</f>
        <v>1</v>
      </c>
    </row>
    <row r="3820" spans="7:10" ht="35.450000000000003" hidden="1" customHeight="1">
      <c r="G3820" s="113"/>
      <c r="J3820" s="28">
        <f>IFERROR(VLOOKUP(TEXT(B3820,"0"),STOCK!A:H,7,0),1)</f>
        <v>1</v>
      </c>
    </row>
    <row r="3821" spans="7:10" ht="35.450000000000003" hidden="1" customHeight="1">
      <c r="G3821" s="113"/>
      <c r="J3821" s="28">
        <f>IFERROR(VLOOKUP(TEXT(B3821,"0"),STOCK!A:H,7,0),1)</f>
        <v>1</v>
      </c>
    </row>
    <row r="3822" spans="7:10" ht="35.450000000000003" hidden="1" customHeight="1">
      <c r="G3822" s="113"/>
      <c r="J3822" s="28">
        <f>IFERROR(VLOOKUP(TEXT(B3822,"0"),STOCK!A:H,7,0),1)</f>
        <v>1</v>
      </c>
    </row>
    <row r="3823" spans="7:10" ht="35.450000000000003" hidden="1" customHeight="1">
      <c r="G3823" s="113"/>
      <c r="J3823" s="28">
        <f>IFERROR(VLOOKUP(TEXT(B3823,"0"),STOCK!A:H,7,0),1)</f>
        <v>1</v>
      </c>
    </row>
    <row r="3824" spans="7:10" ht="35.450000000000003" hidden="1" customHeight="1">
      <c r="G3824" s="113"/>
      <c r="J3824" s="28">
        <f>IFERROR(VLOOKUP(TEXT(B3824,"0"),STOCK!A:H,7,0),1)</f>
        <v>1</v>
      </c>
    </row>
    <row r="3825" spans="7:10" ht="35.450000000000003" hidden="1" customHeight="1">
      <c r="G3825" s="113"/>
      <c r="J3825" s="28">
        <f>IFERROR(VLOOKUP(TEXT(B3825,"0"),STOCK!A:H,7,0),1)</f>
        <v>1</v>
      </c>
    </row>
    <row r="3826" spans="7:10" ht="35.450000000000003" hidden="1" customHeight="1">
      <c r="G3826" s="113"/>
      <c r="J3826" s="28">
        <f>IFERROR(VLOOKUP(TEXT(B3826,"0"),STOCK!A:H,7,0),1)</f>
        <v>1</v>
      </c>
    </row>
    <row r="3827" spans="7:10" ht="35.450000000000003" hidden="1" customHeight="1">
      <c r="G3827" s="113"/>
      <c r="J3827" s="28">
        <f>IFERROR(VLOOKUP(TEXT(B3827,"0"),STOCK!A:H,7,0),1)</f>
        <v>1</v>
      </c>
    </row>
    <row r="3828" spans="7:10" ht="35.450000000000003" hidden="1" customHeight="1">
      <c r="G3828" s="113"/>
      <c r="J3828" s="28">
        <f>IFERROR(VLOOKUP(TEXT(B3828,"0"),STOCK!A:H,7,0),1)</f>
        <v>1</v>
      </c>
    </row>
    <row r="3829" spans="7:10" ht="35.450000000000003" hidden="1" customHeight="1">
      <c r="G3829" s="113"/>
      <c r="J3829" s="28">
        <f>IFERROR(VLOOKUP(TEXT(B3829,"0"),STOCK!A:H,7,0),1)</f>
        <v>1</v>
      </c>
    </row>
    <row r="3830" spans="7:10" ht="35.450000000000003" hidden="1" customHeight="1">
      <c r="G3830" s="113"/>
      <c r="J3830" s="28">
        <f>IFERROR(VLOOKUP(TEXT(B3830,"0"),STOCK!A:H,7,0),1)</f>
        <v>1</v>
      </c>
    </row>
    <row r="3831" spans="7:10" ht="35.450000000000003" hidden="1" customHeight="1">
      <c r="G3831" s="113"/>
      <c r="J3831" s="28">
        <f>IFERROR(VLOOKUP(TEXT(B3831,"0"),STOCK!A:H,7,0),1)</f>
        <v>1</v>
      </c>
    </row>
    <row r="3832" spans="7:10" ht="35.450000000000003" hidden="1" customHeight="1">
      <c r="G3832" s="113"/>
      <c r="J3832" s="28">
        <f>IFERROR(VLOOKUP(TEXT(B3832,"0"),STOCK!A:H,7,0),1)</f>
        <v>1</v>
      </c>
    </row>
    <row r="3833" spans="7:10" ht="35.450000000000003" hidden="1" customHeight="1">
      <c r="G3833" s="113"/>
      <c r="J3833" s="28">
        <f>IFERROR(VLOOKUP(TEXT(B3833,"0"),STOCK!A:H,7,0),1)</f>
        <v>1</v>
      </c>
    </row>
    <row r="3834" spans="7:10" ht="35.450000000000003" hidden="1" customHeight="1">
      <c r="G3834" s="113"/>
      <c r="J3834" s="28">
        <f>IFERROR(VLOOKUP(TEXT(B3834,"0"),STOCK!A:H,7,0),1)</f>
        <v>1</v>
      </c>
    </row>
    <row r="3835" spans="7:10" ht="35.450000000000003" hidden="1" customHeight="1">
      <c r="G3835" s="113"/>
      <c r="J3835" s="28">
        <f>IFERROR(VLOOKUP(TEXT(B3835,"0"),STOCK!A:H,7,0),1)</f>
        <v>1</v>
      </c>
    </row>
    <row r="3836" spans="7:10" ht="35.450000000000003" hidden="1" customHeight="1">
      <c r="G3836" s="113"/>
      <c r="J3836" s="28">
        <f>IFERROR(VLOOKUP(TEXT(B3836,"0"),STOCK!A:H,7,0),1)</f>
        <v>1</v>
      </c>
    </row>
    <row r="3837" spans="7:10" ht="35.450000000000003" hidden="1" customHeight="1">
      <c r="G3837" s="113"/>
      <c r="J3837" s="28">
        <f>IFERROR(VLOOKUP(TEXT(B3837,"0"),STOCK!A:H,7,0),1)</f>
        <v>1</v>
      </c>
    </row>
    <row r="3838" spans="7:10" ht="35.450000000000003" hidden="1" customHeight="1">
      <c r="G3838" s="113"/>
      <c r="J3838" s="28">
        <f>IFERROR(VLOOKUP(TEXT(B3838,"0"),STOCK!A:H,7,0),1)</f>
        <v>1</v>
      </c>
    </row>
    <row r="3839" spans="7:10" ht="35.450000000000003" hidden="1" customHeight="1">
      <c r="G3839" s="113"/>
      <c r="J3839" s="28">
        <f>IFERROR(VLOOKUP(TEXT(B3839,"0"),STOCK!A:H,7,0),1)</f>
        <v>1</v>
      </c>
    </row>
    <row r="3840" spans="7:10" ht="35.450000000000003" hidden="1" customHeight="1">
      <c r="G3840" s="113"/>
      <c r="J3840" s="28">
        <f>IFERROR(VLOOKUP(TEXT(B3840,"0"),STOCK!A:H,7,0),1)</f>
        <v>1</v>
      </c>
    </row>
    <row r="3841" spans="7:10" ht="35.450000000000003" hidden="1" customHeight="1">
      <c r="G3841" s="113"/>
      <c r="J3841" s="28">
        <f>IFERROR(VLOOKUP(TEXT(B3841,"0"),STOCK!A:H,7,0),1)</f>
        <v>1</v>
      </c>
    </row>
    <row r="3842" spans="7:10" ht="35.450000000000003" hidden="1" customHeight="1">
      <c r="G3842" s="113"/>
      <c r="J3842" s="28">
        <f>IFERROR(VLOOKUP(TEXT(B3842,"0"),STOCK!A:H,7,0),1)</f>
        <v>1</v>
      </c>
    </row>
    <row r="3843" spans="7:10" ht="35.450000000000003" hidden="1" customHeight="1">
      <c r="G3843" s="113"/>
      <c r="J3843" s="28">
        <f>IFERROR(VLOOKUP(TEXT(B3843,"0"),STOCK!A:H,7,0),1)</f>
        <v>1</v>
      </c>
    </row>
    <row r="3844" spans="7:10" ht="35.450000000000003" hidden="1" customHeight="1">
      <c r="G3844" s="113"/>
      <c r="J3844" s="28">
        <f>IFERROR(VLOOKUP(TEXT(B3844,"0"),STOCK!A:H,7,0),1)</f>
        <v>1</v>
      </c>
    </row>
    <row r="3845" spans="7:10" ht="35.450000000000003" hidden="1" customHeight="1">
      <c r="G3845" s="113"/>
      <c r="J3845" s="28">
        <f>IFERROR(VLOOKUP(TEXT(B3845,"0"),STOCK!A:H,7,0),1)</f>
        <v>1</v>
      </c>
    </row>
    <row r="3846" spans="7:10" ht="35.450000000000003" hidden="1" customHeight="1">
      <c r="G3846" s="113"/>
      <c r="J3846" s="28">
        <f>IFERROR(VLOOKUP(TEXT(B3846,"0"),STOCK!A:H,7,0),1)</f>
        <v>1</v>
      </c>
    </row>
    <row r="3847" spans="7:10" ht="35.450000000000003" hidden="1" customHeight="1">
      <c r="G3847" s="113"/>
      <c r="J3847" s="28">
        <f>IFERROR(VLOOKUP(TEXT(B3847,"0"),STOCK!A:H,7,0),1)</f>
        <v>1</v>
      </c>
    </row>
    <row r="3848" spans="7:10" ht="35.450000000000003" hidden="1" customHeight="1">
      <c r="G3848" s="113"/>
      <c r="J3848" s="28">
        <f>IFERROR(VLOOKUP(TEXT(B3848,"0"),STOCK!A:H,7,0),1)</f>
        <v>1</v>
      </c>
    </row>
    <row r="3849" spans="7:10" ht="35.450000000000003" hidden="1" customHeight="1">
      <c r="G3849" s="113"/>
      <c r="J3849" s="28">
        <f>IFERROR(VLOOKUP(TEXT(B3849,"0"),STOCK!A:H,7,0),1)</f>
        <v>1</v>
      </c>
    </row>
    <row r="3850" spans="7:10" ht="35.450000000000003" hidden="1" customHeight="1">
      <c r="G3850" s="113"/>
      <c r="J3850" s="28">
        <f>IFERROR(VLOOKUP(TEXT(B3850,"0"),STOCK!A:H,7,0),1)</f>
        <v>1</v>
      </c>
    </row>
    <row r="3851" spans="7:10" ht="35.450000000000003" hidden="1" customHeight="1">
      <c r="G3851" s="113"/>
      <c r="J3851" s="28">
        <f>IFERROR(VLOOKUP(TEXT(B3851,"0"),STOCK!A:H,7,0),1)</f>
        <v>1</v>
      </c>
    </row>
    <row r="3852" spans="7:10" ht="35.450000000000003" hidden="1" customHeight="1">
      <c r="G3852" s="113"/>
      <c r="J3852" s="28">
        <f>IFERROR(VLOOKUP(TEXT(B3852,"0"),STOCK!A:H,7,0),1)</f>
        <v>1</v>
      </c>
    </row>
    <row r="3853" spans="7:10" ht="35.450000000000003" hidden="1" customHeight="1">
      <c r="G3853" s="113"/>
      <c r="J3853" s="28">
        <f>IFERROR(VLOOKUP(TEXT(B3853,"0"),STOCK!A:H,7,0),1)</f>
        <v>1</v>
      </c>
    </row>
    <row r="3854" spans="7:10" ht="35.450000000000003" hidden="1" customHeight="1">
      <c r="G3854" s="113"/>
      <c r="J3854" s="28">
        <f>IFERROR(VLOOKUP(TEXT(B3854,"0"),STOCK!A:H,7,0),1)</f>
        <v>1</v>
      </c>
    </row>
    <row r="3855" spans="7:10" ht="35.450000000000003" hidden="1" customHeight="1">
      <c r="G3855" s="113"/>
      <c r="J3855" s="28">
        <f>IFERROR(VLOOKUP(TEXT(B3855,"0"),STOCK!A:H,7,0),1)</f>
        <v>1</v>
      </c>
    </row>
    <row r="3856" spans="7:10" ht="35.450000000000003" hidden="1" customHeight="1">
      <c r="G3856" s="113"/>
      <c r="J3856" s="28">
        <f>IFERROR(VLOOKUP(TEXT(B3856,"0"),STOCK!A:H,7,0),1)</f>
        <v>1</v>
      </c>
    </row>
    <row r="3857" spans="7:10" ht="35.450000000000003" hidden="1" customHeight="1">
      <c r="G3857" s="113"/>
      <c r="J3857" s="28">
        <f>IFERROR(VLOOKUP(TEXT(B3857,"0"),STOCK!A:H,7,0),1)</f>
        <v>1</v>
      </c>
    </row>
    <row r="3858" spans="7:10" ht="35.450000000000003" hidden="1" customHeight="1">
      <c r="G3858" s="113"/>
      <c r="J3858" s="28">
        <f>IFERROR(VLOOKUP(TEXT(B3858,"0"),STOCK!A:H,7,0),1)</f>
        <v>1</v>
      </c>
    </row>
    <row r="3859" spans="7:10" ht="35.450000000000003" hidden="1" customHeight="1">
      <c r="G3859" s="113"/>
      <c r="J3859" s="28">
        <f>IFERROR(VLOOKUP(TEXT(B3859,"0"),STOCK!A:H,7,0),1)</f>
        <v>1</v>
      </c>
    </row>
    <row r="3860" spans="7:10" ht="35.450000000000003" hidden="1" customHeight="1">
      <c r="G3860" s="113"/>
      <c r="J3860" s="28">
        <f>IFERROR(VLOOKUP(TEXT(B3860,"0"),STOCK!A:H,7,0),1)</f>
        <v>1</v>
      </c>
    </row>
    <row r="3861" spans="7:10" ht="35.450000000000003" hidden="1" customHeight="1">
      <c r="G3861" s="113"/>
      <c r="J3861" s="28">
        <f>IFERROR(VLOOKUP(TEXT(B3861,"0"),STOCK!A:H,7,0),1)</f>
        <v>1</v>
      </c>
    </row>
    <row r="3862" spans="7:10" ht="35.450000000000003" hidden="1" customHeight="1">
      <c r="G3862" s="113"/>
      <c r="J3862" s="28">
        <f>IFERROR(VLOOKUP(TEXT(B3862,"0"),STOCK!A:H,7,0),1)</f>
        <v>1</v>
      </c>
    </row>
    <row r="3863" spans="7:10" ht="35.450000000000003" hidden="1" customHeight="1">
      <c r="G3863" s="113"/>
      <c r="J3863" s="28">
        <f>IFERROR(VLOOKUP(TEXT(B3863,"0"),STOCK!A:H,7,0),1)</f>
        <v>1</v>
      </c>
    </row>
    <row r="3864" spans="7:10" ht="35.450000000000003" hidden="1" customHeight="1">
      <c r="G3864" s="113"/>
      <c r="J3864" s="28">
        <f>IFERROR(VLOOKUP(TEXT(B3864,"0"),STOCK!A:H,7,0),1)</f>
        <v>1</v>
      </c>
    </row>
    <row r="3865" spans="7:10" ht="35.450000000000003" hidden="1" customHeight="1">
      <c r="G3865" s="113"/>
      <c r="J3865" s="28">
        <f>IFERROR(VLOOKUP(TEXT(B3865,"0"),STOCK!A:H,7,0),1)</f>
        <v>1</v>
      </c>
    </row>
    <row r="3866" spans="7:10" ht="35.450000000000003" hidden="1" customHeight="1">
      <c r="G3866" s="113"/>
      <c r="J3866" s="28">
        <f>IFERROR(VLOOKUP(TEXT(B3866,"0"),STOCK!A:H,7,0),1)</f>
        <v>1</v>
      </c>
    </row>
    <row r="3867" spans="7:10" ht="35.450000000000003" hidden="1" customHeight="1">
      <c r="G3867" s="113"/>
      <c r="J3867" s="28">
        <f>IFERROR(VLOOKUP(TEXT(B3867,"0"),STOCK!A:H,7,0),1)</f>
        <v>1</v>
      </c>
    </row>
    <row r="3868" spans="7:10" ht="35.450000000000003" hidden="1" customHeight="1">
      <c r="G3868" s="113"/>
      <c r="J3868" s="28">
        <f>IFERROR(VLOOKUP(TEXT(B3868,"0"),STOCK!A:H,7,0),1)</f>
        <v>1</v>
      </c>
    </row>
    <row r="3869" spans="7:10" ht="35.450000000000003" hidden="1" customHeight="1">
      <c r="G3869" s="113"/>
      <c r="J3869" s="28">
        <f>IFERROR(VLOOKUP(TEXT(B3869,"0"),STOCK!A:H,7,0),1)</f>
        <v>1</v>
      </c>
    </row>
    <row r="3870" spans="7:10" ht="35.450000000000003" hidden="1" customHeight="1">
      <c r="G3870" s="113"/>
      <c r="J3870" s="28">
        <f>IFERROR(VLOOKUP(TEXT(B3870,"0"),STOCK!A:H,7,0),1)</f>
        <v>1</v>
      </c>
    </row>
    <row r="3871" spans="7:10" ht="35.450000000000003" hidden="1" customHeight="1">
      <c r="G3871" s="113"/>
      <c r="J3871" s="28">
        <f>IFERROR(VLOOKUP(TEXT(B3871,"0"),STOCK!A:H,7,0),1)</f>
        <v>1</v>
      </c>
    </row>
    <row r="3872" spans="7:10" ht="35.450000000000003" hidden="1" customHeight="1">
      <c r="G3872" s="113"/>
      <c r="J3872" s="28">
        <f>IFERROR(VLOOKUP(TEXT(B3872,"0"),STOCK!A:H,7,0),1)</f>
        <v>1</v>
      </c>
    </row>
    <row r="3873" spans="7:10" ht="35.450000000000003" hidden="1" customHeight="1">
      <c r="G3873" s="113"/>
      <c r="J3873" s="28">
        <f>IFERROR(VLOOKUP(TEXT(B3873,"0"),STOCK!A:H,7,0),1)</f>
        <v>1</v>
      </c>
    </row>
    <row r="3874" spans="7:10" ht="35.450000000000003" hidden="1" customHeight="1">
      <c r="G3874" s="113"/>
      <c r="J3874" s="28">
        <f>IFERROR(VLOOKUP(TEXT(B3874,"0"),STOCK!A:H,7,0),1)</f>
        <v>1</v>
      </c>
    </row>
    <row r="3875" spans="7:10" ht="35.450000000000003" hidden="1" customHeight="1">
      <c r="G3875" s="113"/>
      <c r="J3875" s="28">
        <f>IFERROR(VLOOKUP(TEXT(B3875,"0"),STOCK!A:H,7,0),1)</f>
        <v>1</v>
      </c>
    </row>
    <row r="3876" spans="7:10" ht="35.450000000000003" hidden="1" customHeight="1">
      <c r="G3876" s="113"/>
      <c r="J3876" s="28">
        <f>IFERROR(VLOOKUP(TEXT(B3876,"0"),STOCK!A:H,7,0),1)</f>
        <v>1</v>
      </c>
    </row>
    <row r="3877" spans="7:10" ht="35.450000000000003" hidden="1" customHeight="1">
      <c r="G3877" s="113"/>
      <c r="J3877" s="28">
        <f>IFERROR(VLOOKUP(TEXT(B3877,"0"),STOCK!A:H,7,0),1)</f>
        <v>1</v>
      </c>
    </row>
    <row r="3878" spans="7:10" ht="35.450000000000003" hidden="1" customHeight="1">
      <c r="G3878" s="113"/>
      <c r="J3878" s="28">
        <f>IFERROR(VLOOKUP(TEXT(B3878,"0"),STOCK!A:H,7,0),1)</f>
        <v>1</v>
      </c>
    </row>
    <row r="3879" spans="7:10" ht="35.450000000000003" hidden="1" customHeight="1">
      <c r="G3879" s="113"/>
      <c r="J3879" s="28">
        <f>IFERROR(VLOOKUP(TEXT(B3879,"0"),STOCK!A:H,7,0),1)</f>
        <v>1</v>
      </c>
    </row>
    <row r="3880" spans="7:10" ht="35.450000000000003" hidden="1" customHeight="1">
      <c r="G3880" s="113"/>
      <c r="J3880" s="28">
        <f>IFERROR(VLOOKUP(TEXT(B3880,"0"),STOCK!A:H,7,0),1)</f>
        <v>1</v>
      </c>
    </row>
    <row r="3881" spans="7:10" ht="35.450000000000003" hidden="1" customHeight="1">
      <c r="G3881" s="113"/>
      <c r="J3881" s="28">
        <f>IFERROR(VLOOKUP(TEXT(B3881,"0"),STOCK!A:H,7,0),1)</f>
        <v>1</v>
      </c>
    </row>
    <row r="3882" spans="7:10" ht="35.450000000000003" hidden="1" customHeight="1">
      <c r="G3882" s="113"/>
      <c r="J3882" s="28">
        <f>IFERROR(VLOOKUP(TEXT(B3882,"0"),STOCK!A:H,7,0),1)</f>
        <v>1</v>
      </c>
    </row>
    <row r="3883" spans="7:10" ht="35.450000000000003" hidden="1" customHeight="1">
      <c r="G3883" s="113"/>
      <c r="J3883" s="28">
        <f>IFERROR(VLOOKUP(TEXT(B3883,"0"),STOCK!A:H,7,0),1)</f>
        <v>1</v>
      </c>
    </row>
    <row r="3884" spans="7:10" ht="35.450000000000003" hidden="1" customHeight="1">
      <c r="G3884" s="113"/>
      <c r="J3884" s="28">
        <f>IFERROR(VLOOKUP(TEXT(B3884,"0"),STOCK!A:H,7,0),1)</f>
        <v>1</v>
      </c>
    </row>
    <row r="3885" spans="7:10" ht="35.450000000000003" hidden="1" customHeight="1">
      <c r="G3885" s="113"/>
      <c r="J3885" s="28">
        <f>IFERROR(VLOOKUP(TEXT(B3885,"0"),STOCK!A:H,7,0),1)</f>
        <v>1</v>
      </c>
    </row>
    <row r="3886" spans="7:10" ht="35.450000000000003" hidden="1" customHeight="1">
      <c r="G3886" s="113"/>
      <c r="J3886" s="28">
        <f>IFERROR(VLOOKUP(TEXT(B3886,"0"),STOCK!A:H,7,0),1)</f>
        <v>1</v>
      </c>
    </row>
    <row r="3887" spans="7:10" ht="35.450000000000003" hidden="1" customHeight="1">
      <c r="G3887" s="113"/>
      <c r="J3887" s="28">
        <f>IFERROR(VLOOKUP(TEXT(B3887,"0"),STOCK!A:H,7,0),1)</f>
        <v>1</v>
      </c>
    </row>
    <row r="3888" spans="7:10" ht="35.450000000000003" hidden="1" customHeight="1">
      <c r="G3888" s="113"/>
      <c r="J3888" s="28">
        <f>IFERROR(VLOOKUP(TEXT(B3888,"0"),STOCK!A:H,7,0),1)</f>
        <v>1</v>
      </c>
    </row>
    <row r="3889" spans="7:10" ht="35.450000000000003" hidden="1" customHeight="1">
      <c r="G3889" s="113"/>
      <c r="J3889" s="28">
        <f>IFERROR(VLOOKUP(TEXT(B3889,"0"),STOCK!A:H,7,0),1)</f>
        <v>1</v>
      </c>
    </row>
    <row r="3890" spans="7:10" ht="35.450000000000003" hidden="1" customHeight="1">
      <c r="G3890" s="113"/>
      <c r="J3890" s="28">
        <f>IFERROR(VLOOKUP(TEXT(B3890,"0"),STOCK!A:H,7,0),1)</f>
        <v>1</v>
      </c>
    </row>
    <row r="3891" spans="7:10" ht="35.450000000000003" hidden="1" customHeight="1">
      <c r="G3891" s="113"/>
      <c r="J3891" s="28">
        <f>IFERROR(VLOOKUP(TEXT(B3891,"0"),STOCK!A:H,7,0),1)</f>
        <v>1</v>
      </c>
    </row>
    <row r="3892" spans="7:10" ht="35.450000000000003" hidden="1" customHeight="1">
      <c r="G3892" s="113"/>
      <c r="J3892" s="28">
        <f>IFERROR(VLOOKUP(TEXT(B3892,"0"),STOCK!A:H,7,0),1)</f>
        <v>1</v>
      </c>
    </row>
    <row r="3893" spans="7:10" ht="35.450000000000003" hidden="1" customHeight="1">
      <c r="G3893" s="113"/>
      <c r="J3893" s="28">
        <f>IFERROR(VLOOKUP(TEXT(B3893,"0"),STOCK!A:H,7,0),1)</f>
        <v>1</v>
      </c>
    </row>
    <row r="3894" spans="7:10" ht="35.450000000000003" hidden="1" customHeight="1">
      <c r="G3894" s="113"/>
      <c r="J3894" s="28">
        <f>IFERROR(VLOOKUP(TEXT(B3894,"0"),STOCK!A:H,7,0),1)</f>
        <v>1</v>
      </c>
    </row>
    <row r="3895" spans="7:10" ht="35.450000000000003" hidden="1" customHeight="1">
      <c r="G3895" s="113"/>
      <c r="J3895" s="28">
        <f>IFERROR(VLOOKUP(TEXT(B3895,"0"),STOCK!A:H,7,0),1)</f>
        <v>1</v>
      </c>
    </row>
    <row r="3896" spans="7:10" ht="35.450000000000003" hidden="1" customHeight="1">
      <c r="G3896" s="113"/>
      <c r="J3896" s="28">
        <f>IFERROR(VLOOKUP(TEXT(B3896,"0"),STOCK!A:H,7,0),1)</f>
        <v>1</v>
      </c>
    </row>
    <row r="3897" spans="7:10" ht="35.450000000000003" hidden="1" customHeight="1">
      <c r="G3897" s="113"/>
      <c r="J3897" s="28">
        <f>IFERROR(VLOOKUP(TEXT(B3897,"0"),STOCK!A:H,7,0),1)</f>
        <v>1</v>
      </c>
    </row>
    <row r="3898" spans="7:10" ht="35.450000000000003" hidden="1" customHeight="1">
      <c r="G3898" s="113"/>
      <c r="J3898" s="28">
        <f>IFERROR(VLOOKUP(TEXT(B3898,"0"),STOCK!A:H,7,0),1)</f>
        <v>1</v>
      </c>
    </row>
    <row r="3899" spans="7:10" ht="35.450000000000003" hidden="1" customHeight="1">
      <c r="G3899" s="113"/>
      <c r="J3899" s="28">
        <f>IFERROR(VLOOKUP(TEXT(B3899,"0"),STOCK!A:H,7,0),1)</f>
        <v>1</v>
      </c>
    </row>
    <row r="3900" spans="7:10" ht="35.450000000000003" hidden="1" customHeight="1">
      <c r="G3900" s="113"/>
      <c r="J3900" s="28">
        <f>IFERROR(VLOOKUP(TEXT(B3900,"0"),STOCK!A:H,7,0),1)</f>
        <v>1</v>
      </c>
    </row>
    <row r="3901" spans="7:10" ht="35.450000000000003" hidden="1" customHeight="1">
      <c r="G3901" s="113"/>
      <c r="J3901" s="28">
        <f>IFERROR(VLOOKUP(TEXT(B3901,"0"),STOCK!A:H,7,0),1)</f>
        <v>1</v>
      </c>
    </row>
    <row r="3902" spans="7:10" ht="35.450000000000003" hidden="1" customHeight="1">
      <c r="G3902" s="113"/>
      <c r="J3902" s="28">
        <f>IFERROR(VLOOKUP(TEXT(B3902,"0"),STOCK!A:H,7,0),1)</f>
        <v>1</v>
      </c>
    </row>
    <row r="3903" spans="7:10" ht="35.450000000000003" hidden="1" customHeight="1">
      <c r="G3903" s="113"/>
      <c r="J3903" s="28">
        <f>IFERROR(VLOOKUP(TEXT(B3903,"0"),STOCK!A:H,7,0),1)</f>
        <v>1</v>
      </c>
    </row>
    <row r="3904" spans="7:10" ht="35.450000000000003" hidden="1" customHeight="1">
      <c r="G3904" s="113"/>
      <c r="J3904" s="28">
        <f>IFERROR(VLOOKUP(TEXT(B3904,"0"),STOCK!A:H,7,0),1)</f>
        <v>1</v>
      </c>
    </row>
    <row r="3905" spans="7:10" ht="35.450000000000003" hidden="1" customHeight="1">
      <c r="G3905" s="113"/>
      <c r="J3905" s="28">
        <f>IFERROR(VLOOKUP(TEXT(B3905,"0"),STOCK!A:H,7,0),1)</f>
        <v>1</v>
      </c>
    </row>
    <row r="3906" spans="7:10" ht="35.450000000000003" hidden="1" customHeight="1">
      <c r="G3906" s="113"/>
      <c r="J3906" s="28">
        <f>IFERROR(VLOOKUP(TEXT(B3906,"0"),STOCK!A:H,7,0),1)</f>
        <v>1</v>
      </c>
    </row>
    <row r="3907" spans="7:10" ht="35.450000000000003" hidden="1" customHeight="1">
      <c r="G3907" s="113"/>
      <c r="J3907" s="28">
        <f>IFERROR(VLOOKUP(TEXT(B3907,"0"),STOCK!A:H,7,0),1)</f>
        <v>1</v>
      </c>
    </row>
    <row r="3908" spans="7:10" ht="35.450000000000003" hidden="1" customHeight="1">
      <c r="G3908" s="113"/>
      <c r="J3908" s="28">
        <f>IFERROR(VLOOKUP(TEXT(B3908,"0"),STOCK!A:H,7,0),1)</f>
        <v>1</v>
      </c>
    </row>
    <row r="3909" spans="7:10" ht="35.450000000000003" hidden="1" customHeight="1">
      <c r="G3909" s="113"/>
      <c r="J3909" s="28">
        <f>IFERROR(VLOOKUP(TEXT(B3909,"0"),STOCK!A:H,7,0),1)</f>
        <v>1</v>
      </c>
    </row>
    <row r="3910" spans="7:10" ht="35.450000000000003" hidden="1" customHeight="1">
      <c r="G3910" s="113"/>
      <c r="J3910" s="28">
        <f>IFERROR(VLOOKUP(TEXT(B3910,"0"),STOCK!A:H,7,0),1)</f>
        <v>1</v>
      </c>
    </row>
    <row r="3911" spans="7:10" ht="35.450000000000003" hidden="1" customHeight="1">
      <c r="G3911" s="113"/>
      <c r="J3911" s="28">
        <f>IFERROR(VLOOKUP(TEXT(B3911,"0"),STOCK!A:H,7,0),1)</f>
        <v>1</v>
      </c>
    </row>
    <row r="3912" spans="7:10" ht="35.450000000000003" hidden="1" customHeight="1">
      <c r="G3912" s="113"/>
      <c r="J3912" s="28">
        <f>IFERROR(VLOOKUP(TEXT(B3912,"0"),STOCK!A:H,7,0),1)</f>
        <v>1</v>
      </c>
    </row>
    <row r="3913" spans="7:10" ht="35.450000000000003" hidden="1" customHeight="1">
      <c r="G3913" s="113"/>
      <c r="J3913" s="28">
        <f>IFERROR(VLOOKUP(TEXT(B3913,"0"),STOCK!A:H,7,0),1)</f>
        <v>1</v>
      </c>
    </row>
    <row r="3914" spans="7:10" ht="35.450000000000003" hidden="1" customHeight="1">
      <c r="G3914" s="113"/>
      <c r="J3914" s="28">
        <f>IFERROR(VLOOKUP(TEXT(B3914,"0"),STOCK!A:H,7,0),1)</f>
        <v>1</v>
      </c>
    </row>
    <row r="3915" spans="7:10" ht="35.450000000000003" hidden="1" customHeight="1">
      <c r="G3915" s="113"/>
      <c r="J3915" s="28">
        <f>IFERROR(VLOOKUP(TEXT(B3915,"0"),STOCK!A:H,7,0),1)</f>
        <v>1</v>
      </c>
    </row>
    <row r="3916" spans="7:10" ht="35.450000000000003" hidden="1" customHeight="1">
      <c r="G3916" s="113"/>
      <c r="J3916" s="28">
        <f>IFERROR(VLOOKUP(TEXT(B3916,"0"),STOCK!A:H,7,0),1)</f>
        <v>1</v>
      </c>
    </row>
    <row r="3917" spans="7:10" ht="35.450000000000003" hidden="1" customHeight="1">
      <c r="G3917" s="113"/>
      <c r="J3917" s="28">
        <f>IFERROR(VLOOKUP(TEXT(B3917,"0"),STOCK!A:H,7,0),1)</f>
        <v>1</v>
      </c>
    </row>
    <row r="3918" spans="7:10" ht="35.450000000000003" hidden="1" customHeight="1">
      <c r="G3918" s="113"/>
      <c r="J3918" s="28">
        <f>IFERROR(VLOOKUP(TEXT(B3918,"0"),STOCK!A:H,7,0),1)</f>
        <v>1</v>
      </c>
    </row>
    <row r="3919" spans="7:10" ht="35.450000000000003" hidden="1" customHeight="1">
      <c r="G3919" s="113"/>
      <c r="J3919" s="28">
        <f>IFERROR(VLOOKUP(TEXT(B3919,"0"),STOCK!A:H,7,0),1)</f>
        <v>1</v>
      </c>
    </row>
    <row r="3920" spans="7:10" ht="35.450000000000003" hidden="1" customHeight="1">
      <c r="G3920" s="113"/>
      <c r="J3920" s="28">
        <f>IFERROR(VLOOKUP(TEXT(B3920,"0"),STOCK!A:H,7,0),1)</f>
        <v>1</v>
      </c>
    </row>
    <row r="3921" spans="7:10" ht="35.450000000000003" hidden="1" customHeight="1">
      <c r="G3921" s="113"/>
      <c r="J3921" s="28">
        <f>IFERROR(VLOOKUP(TEXT(B3921,"0"),STOCK!A:H,7,0),1)</f>
        <v>1</v>
      </c>
    </row>
    <row r="3922" spans="7:10" ht="35.450000000000003" hidden="1" customHeight="1">
      <c r="G3922" s="113"/>
      <c r="J3922" s="28">
        <f>IFERROR(VLOOKUP(TEXT(B3922,"0"),STOCK!A:H,7,0),1)</f>
        <v>1</v>
      </c>
    </row>
    <row r="3923" spans="7:10" ht="35.450000000000003" hidden="1" customHeight="1">
      <c r="G3923" s="113"/>
      <c r="J3923" s="28">
        <f>IFERROR(VLOOKUP(TEXT(B3923,"0"),STOCK!A:H,7,0),1)</f>
        <v>1</v>
      </c>
    </row>
    <row r="3924" spans="7:10" ht="35.450000000000003" hidden="1" customHeight="1">
      <c r="G3924" s="113"/>
      <c r="J3924" s="28">
        <f>IFERROR(VLOOKUP(TEXT(B3924,"0"),STOCK!A:H,7,0),1)</f>
        <v>1</v>
      </c>
    </row>
    <row r="3925" spans="7:10" ht="35.450000000000003" hidden="1" customHeight="1">
      <c r="G3925" s="113"/>
      <c r="J3925" s="28">
        <f>IFERROR(VLOOKUP(TEXT(B3925,"0"),STOCK!A:H,7,0),1)</f>
        <v>1</v>
      </c>
    </row>
    <row r="3926" spans="7:10" ht="35.450000000000003" hidden="1" customHeight="1">
      <c r="G3926" s="113"/>
      <c r="J3926" s="28">
        <f>IFERROR(VLOOKUP(TEXT(B3926,"0"),STOCK!A:H,7,0),1)</f>
        <v>1</v>
      </c>
    </row>
    <row r="3927" spans="7:10" ht="35.450000000000003" hidden="1" customHeight="1">
      <c r="G3927" s="113"/>
      <c r="J3927" s="28">
        <f>IFERROR(VLOOKUP(TEXT(B3927,"0"),STOCK!A:H,7,0),1)</f>
        <v>1</v>
      </c>
    </row>
    <row r="3928" spans="7:10" ht="35.450000000000003" hidden="1" customHeight="1">
      <c r="G3928" s="113"/>
      <c r="J3928" s="28">
        <f>IFERROR(VLOOKUP(TEXT(B3928,"0"),STOCK!A:H,7,0),1)</f>
        <v>1</v>
      </c>
    </row>
    <row r="3929" spans="7:10" ht="35.450000000000003" hidden="1" customHeight="1">
      <c r="G3929" s="113"/>
      <c r="J3929" s="28">
        <f>IFERROR(VLOOKUP(TEXT(B3929,"0"),STOCK!A:H,7,0),1)</f>
        <v>1</v>
      </c>
    </row>
    <row r="3930" spans="7:10" ht="35.450000000000003" hidden="1" customHeight="1">
      <c r="G3930" s="113"/>
      <c r="J3930" s="28">
        <f>IFERROR(VLOOKUP(TEXT(B3930,"0"),STOCK!A:H,7,0),1)</f>
        <v>1</v>
      </c>
    </row>
    <row r="3931" spans="7:10" ht="35.450000000000003" hidden="1" customHeight="1">
      <c r="G3931" s="113"/>
      <c r="J3931" s="28">
        <f>IFERROR(VLOOKUP(TEXT(B3931,"0"),STOCK!A:H,7,0),1)</f>
        <v>1</v>
      </c>
    </row>
    <row r="3932" spans="7:10" ht="35.450000000000003" hidden="1" customHeight="1">
      <c r="G3932" s="113"/>
      <c r="J3932" s="28">
        <f>IFERROR(VLOOKUP(TEXT(B3932,"0"),STOCK!A:H,7,0),1)</f>
        <v>1</v>
      </c>
    </row>
    <row r="3933" spans="7:10" ht="35.450000000000003" hidden="1" customHeight="1">
      <c r="G3933" s="113"/>
      <c r="J3933" s="28">
        <f>IFERROR(VLOOKUP(TEXT(B3933,"0"),STOCK!A:H,7,0),1)</f>
        <v>1</v>
      </c>
    </row>
    <row r="3934" spans="7:10" ht="35.450000000000003" hidden="1" customHeight="1">
      <c r="G3934" s="113"/>
      <c r="J3934" s="28">
        <f>IFERROR(VLOOKUP(TEXT(B3934,"0"),STOCK!A:H,7,0),1)</f>
        <v>1</v>
      </c>
    </row>
    <row r="3935" spans="7:10" ht="35.450000000000003" hidden="1" customHeight="1">
      <c r="G3935" s="113"/>
      <c r="J3935" s="28">
        <f>IFERROR(VLOOKUP(TEXT(B3935,"0"),STOCK!A:H,7,0),1)</f>
        <v>1</v>
      </c>
    </row>
    <row r="3936" spans="7:10" ht="35.450000000000003" hidden="1" customHeight="1">
      <c r="G3936" s="113"/>
      <c r="J3936" s="28">
        <f>IFERROR(VLOOKUP(TEXT(B3936,"0"),STOCK!A:H,7,0),1)</f>
        <v>1</v>
      </c>
    </row>
    <row r="3937" spans="7:10" ht="35.450000000000003" hidden="1" customHeight="1">
      <c r="G3937" s="113"/>
      <c r="J3937" s="28">
        <f>IFERROR(VLOOKUP(TEXT(B3937,"0"),STOCK!A:H,7,0),1)</f>
        <v>1</v>
      </c>
    </row>
    <row r="3938" spans="7:10" ht="35.450000000000003" hidden="1" customHeight="1">
      <c r="G3938" s="113"/>
      <c r="J3938" s="28">
        <f>IFERROR(VLOOKUP(TEXT(B3938,"0"),STOCK!A:H,7,0),1)</f>
        <v>1</v>
      </c>
    </row>
    <row r="3939" spans="7:10" ht="35.450000000000003" hidden="1" customHeight="1">
      <c r="G3939" s="113"/>
      <c r="J3939" s="28">
        <f>IFERROR(VLOOKUP(TEXT(B3939,"0"),STOCK!A:H,7,0),1)</f>
        <v>1</v>
      </c>
    </row>
    <row r="3940" spans="7:10" ht="35.450000000000003" hidden="1" customHeight="1">
      <c r="G3940" s="113"/>
      <c r="J3940" s="28">
        <f>IFERROR(VLOOKUP(TEXT(B3940,"0"),STOCK!A:H,7,0),1)</f>
        <v>1</v>
      </c>
    </row>
    <row r="3941" spans="7:10" ht="35.450000000000003" hidden="1" customHeight="1">
      <c r="G3941" s="113"/>
      <c r="J3941" s="28">
        <f>IFERROR(VLOOKUP(TEXT(B3941,"0"),STOCK!A:H,7,0),1)</f>
        <v>1</v>
      </c>
    </row>
    <row r="3942" spans="7:10" ht="35.450000000000003" hidden="1" customHeight="1">
      <c r="G3942" s="113"/>
      <c r="J3942" s="28">
        <f>IFERROR(VLOOKUP(TEXT(B3942,"0"),STOCK!A:H,7,0),1)</f>
        <v>1</v>
      </c>
    </row>
    <row r="3943" spans="7:10" ht="35.450000000000003" hidden="1" customHeight="1">
      <c r="G3943" s="113"/>
      <c r="J3943" s="28">
        <f>IFERROR(VLOOKUP(TEXT(B3943,"0"),STOCK!A:H,7,0),1)</f>
        <v>1</v>
      </c>
    </row>
    <row r="3944" spans="7:10" ht="35.450000000000003" hidden="1" customHeight="1">
      <c r="G3944" s="113"/>
      <c r="J3944" s="28">
        <f>IFERROR(VLOOKUP(TEXT(B3944,"0"),STOCK!A:H,7,0),1)</f>
        <v>1</v>
      </c>
    </row>
    <row r="3945" spans="7:10" ht="35.450000000000003" hidden="1" customHeight="1">
      <c r="G3945" s="113"/>
      <c r="J3945" s="28">
        <f>IFERROR(VLOOKUP(TEXT(B3945,"0"),STOCK!A:H,7,0),1)</f>
        <v>1</v>
      </c>
    </row>
    <row r="3946" spans="7:10" ht="35.450000000000003" hidden="1" customHeight="1">
      <c r="G3946" s="113"/>
      <c r="J3946" s="28">
        <f>IFERROR(VLOOKUP(TEXT(B3946,"0"),STOCK!A:H,7,0),1)</f>
        <v>1</v>
      </c>
    </row>
    <row r="3947" spans="7:10" ht="35.450000000000003" hidden="1" customHeight="1">
      <c r="G3947" s="113"/>
      <c r="J3947" s="28">
        <f>IFERROR(VLOOKUP(TEXT(B3947,"0"),STOCK!A:H,7,0),1)</f>
        <v>1</v>
      </c>
    </row>
    <row r="3948" spans="7:10" ht="35.450000000000003" hidden="1" customHeight="1">
      <c r="G3948" s="113"/>
      <c r="J3948" s="28">
        <f>IFERROR(VLOOKUP(TEXT(B3948,"0"),STOCK!A:H,7,0),1)</f>
        <v>1</v>
      </c>
    </row>
    <row r="3949" spans="7:10" ht="35.450000000000003" hidden="1" customHeight="1">
      <c r="G3949" s="113"/>
      <c r="J3949" s="28">
        <f>IFERROR(VLOOKUP(TEXT(B3949,"0"),STOCK!A:H,7,0),1)</f>
        <v>1</v>
      </c>
    </row>
    <row r="3950" spans="7:10" ht="35.450000000000003" hidden="1" customHeight="1">
      <c r="G3950" s="113"/>
      <c r="J3950" s="28">
        <f>IFERROR(VLOOKUP(TEXT(B3950,"0"),STOCK!A:H,7,0),1)</f>
        <v>1</v>
      </c>
    </row>
    <row r="3951" spans="7:10" ht="35.450000000000003" hidden="1" customHeight="1">
      <c r="G3951" s="113"/>
      <c r="J3951" s="28">
        <f>IFERROR(VLOOKUP(TEXT(B3951,"0"),STOCK!A:H,7,0),1)</f>
        <v>1</v>
      </c>
    </row>
    <row r="3952" spans="7:10" ht="35.450000000000003" hidden="1" customHeight="1">
      <c r="G3952" s="113"/>
      <c r="J3952" s="28">
        <f>IFERROR(VLOOKUP(TEXT(B3952,"0"),STOCK!A:H,7,0),1)</f>
        <v>1</v>
      </c>
    </row>
    <row r="3953" spans="7:10" ht="35.450000000000003" hidden="1" customHeight="1">
      <c r="G3953" s="113"/>
      <c r="J3953" s="28">
        <f>IFERROR(VLOOKUP(TEXT(B3953,"0"),STOCK!A:H,7,0),1)</f>
        <v>1</v>
      </c>
    </row>
    <row r="3954" spans="7:10" ht="35.450000000000003" hidden="1" customHeight="1">
      <c r="G3954" s="113"/>
      <c r="J3954" s="28">
        <f>IFERROR(VLOOKUP(TEXT(B3954,"0"),STOCK!A:H,7,0),1)</f>
        <v>1</v>
      </c>
    </row>
    <row r="3955" spans="7:10" ht="35.450000000000003" hidden="1" customHeight="1">
      <c r="G3955" s="113"/>
      <c r="J3955" s="28">
        <f>IFERROR(VLOOKUP(TEXT(B3955,"0"),STOCK!A:H,7,0),1)</f>
        <v>1</v>
      </c>
    </row>
    <row r="3956" spans="7:10" ht="35.450000000000003" hidden="1" customHeight="1">
      <c r="G3956" s="113"/>
      <c r="J3956" s="28">
        <f>IFERROR(VLOOKUP(TEXT(B3956,"0"),STOCK!A:H,7,0),1)</f>
        <v>1</v>
      </c>
    </row>
    <row r="3957" spans="7:10" ht="35.450000000000003" hidden="1" customHeight="1">
      <c r="G3957" s="113"/>
      <c r="J3957" s="28">
        <f>IFERROR(VLOOKUP(TEXT(B3957,"0"),STOCK!A:H,7,0),1)</f>
        <v>1</v>
      </c>
    </row>
    <row r="3958" spans="7:10" ht="35.450000000000003" hidden="1" customHeight="1">
      <c r="G3958" s="113"/>
      <c r="J3958" s="28">
        <f>IFERROR(VLOOKUP(TEXT(B3958,"0"),STOCK!A:H,7,0),1)</f>
        <v>1</v>
      </c>
    </row>
    <row r="3959" spans="7:10" ht="35.450000000000003" hidden="1" customHeight="1">
      <c r="G3959" s="113"/>
      <c r="J3959" s="28">
        <f>IFERROR(VLOOKUP(TEXT(B3959,"0"),STOCK!A:H,7,0),1)</f>
        <v>1</v>
      </c>
    </row>
    <row r="3960" spans="7:10" ht="35.450000000000003" hidden="1" customHeight="1">
      <c r="G3960" s="113"/>
      <c r="J3960" s="28">
        <f>IFERROR(VLOOKUP(TEXT(B3960,"0"),STOCK!A:H,7,0),1)</f>
        <v>1</v>
      </c>
    </row>
    <row r="3961" spans="7:10" ht="35.450000000000003" hidden="1" customHeight="1">
      <c r="G3961" s="113"/>
      <c r="J3961" s="28">
        <f>IFERROR(VLOOKUP(TEXT(B3961,"0"),STOCK!A:H,7,0),1)</f>
        <v>1</v>
      </c>
    </row>
    <row r="3962" spans="7:10" ht="35.450000000000003" hidden="1" customHeight="1">
      <c r="G3962" s="113"/>
      <c r="J3962" s="28">
        <f>IFERROR(VLOOKUP(TEXT(B3962,"0"),STOCK!A:H,7,0),1)</f>
        <v>1</v>
      </c>
    </row>
    <row r="3963" spans="7:10" ht="35.450000000000003" hidden="1" customHeight="1">
      <c r="G3963" s="113"/>
      <c r="J3963" s="28">
        <f>IFERROR(VLOOKUP(TEXT(B3963,"0"),STOCK!A:H,7,0),1)</f>
        <v>1</v>
      </c>
    </row>
    <row r="3964" spans="7:10" ht="35.450000000000003" hidden="1" customHeight="1">
      <c r="G3964" s="113"/>
      <c r="J3964" s="28">
        <f>IFERROR(VLOOKUP(TEXT(B3964,"0"),STOCK!A:H,7,0),1)</f>
        <v>1</v>
      </c>
    </row>
    <row r="3965" spans="7:10" ht="35.450000000000003" hidden="1" customHeight="1">
      <c r="G3965" s="113"/>
      <c r="J3965" s="28">
        <f>IFERROR(VLOOKUP(TEXT(B3965,"0"),STOCK!A:H,7,0),1)</f>
        <v>1</v>
      </c>
    </row>
    <row r="3966" spans="7:10" ht="35.450000000000003" hidden="1" customHeight="1">
      <c r="G3966" s="113"/>
      <c r="J3966" s="28">
        <f>IFERROR(VLOOKUP(TEXT(B3966,"0"),STOCK!A:H,7,0),1)</f>
        <v>1</v>
      </c>
    </row>
    <row r="3967" spans="7:10" ht="35.450000000000003" hidden="1" customHeight="1">
      <c r="G3967" s="113"/>
      <c r="J3967" s="28">
        <f>IFERROR(VLOOKUP(TEXT(B3967,"0"),STOCK!A:H,7,0),1)</f>
        <v>1</v>
      </c>
    </row>
    <row r="3968" spans="7:10" ht="35.450000000000003" hidden="1" customHeight="1">
      <c r="G3968" s="113"/>
      <c r="J3968" s="28">
        <f>IFERROR(VLOOKUP(TEXT(B3968,"0"),STOCK!A:H,7,0),1)</f>
        <v>1</v>
      </c>
    </row>
    <row r="3969" spans="7:10" ht="35.450000000000003" hidden="1" customHeight="1">
      <c r="G3969" s="113"/>
      <c r="J3969" s="28">
        <f>IFERROR(VLOOKUP(TEXT(B3969,"0"),STOCK!A:H,7,0),1)</f>
        <v>1</v>
      </c>
    </row>
    <row r="3970" spans="7:10" ht="35.450000000000003" hidden="1" customHeight="1">
      <c r="G3970" s="113"/>
      <c r="J3970" s="28">
        <f>IFERROR(VLOOKUP(TEXT(B3970,"0"),STOCK!A:H,7,0),1)</f>
        <v>1</v>
      </c>
    </row>
    <row r="3971" spans="7:10" ht="35.450000000000003" hidden="1" customHeight="1">
      <c r="G3971" s="113"/>
      <c r="J3971" s="28">
        <f>IFERROR(VLOOKUP(TEXT(B3971,"0"),STOCK!A:H,7,0),1)</f>
        <v>1</v>
      </c>
    </row>
    <row r="3972" spans="7:10" ht="35.450000000000003" hidden="1" customHeight="1">
      <c r="G3972" s="113"/>
      <c r="J3972" s="28">
        <f>IFERROR(VLOOKUP(TEXT(B3972,"0"),STOCK!A:H,7,0),1)</f>
        <v>1</v>
      </c>
    </row>
    <row r="3973" spans="7:10" ht="35.450000000000003" hidden="1" customHeight="1">
      <c r="G3973" s="113"/>
      <c r="J3973" s="28">
        <f>IFERROR(VLOOKUP(TEXT(B3973,"0"),STOCK!A:H,7,0),1)</f>
        <v>1</v>
      </c>
    </row>
    <row r="3974" spans="7:10" ht="35.450000000000003" hidden="1" customHeight="1">
      <c r="G3974" s="113"/>
      <c r="J3974" s="28">
        <f>IFERROR(VLOOKUP(TEXT(B3974,"0"),STOCK!A:H,7,0),1)</f>
        <v>1</v>
      </c>
    </row>
    <row r="3975" spans="7:10" ht="35.450000000000003" hidden="1" customHeight="1">
      <c r="G3975" s="113"/>
      <c r="J3975" s="28">
        <f>IFERROR(VLOOKUP(TEXT(B3975,"0"),STOCK!A:H,7,0),1)</f>
        <v>1</v>
      </c>
    </row>
    <row r="3976" spans="7:10" ht="35.450000000000003" hidden="1" customHeight="1">
      <c r="G3976" s="113"/>
      <c r="J3976" s="28">
        <f>IFERROR(VLOOKUP(TEXT(B3976,"0"),STOCK!A:H,7,0),1)</f>
        <v>1</v>
      </c>
    </row>
    <row r="3977" spans="7:10" ht="35.450000000000003" hidden="1" customHeight="1">
      <c r="G3977" s="113"/>
      <c r="J3977" s="28">
        <f>IFERROR(VLOOKUP(TEXT(B3977,"0"),STOCK!A:H,7,0),1)</f>
        <v>1</v>
      </c>
    </row>
    <row r="3978" spans="7:10" ht="35.450000000000003" hidden="1" customHeight="1">
      <c r="G3978" s="113"/>
      <c r="J3978" s="28">
        <f>IFERROR(VLOOKUP(TEXT(B3978,"0"),STOCK!A:H,7,0),1)</f>
        <v>1</v>
      </c>
    </row>
    <row r="3979" spans="7:10" ht="35.450000000000003" hidden="1" customHeight="1">
      <c r="G3979" s="113"/>
      <c r="J3979" s="28">
        <f>IFERROR(VLOOKUP(TEXT(B3979,"0"),STOCK!A:H,7,0),1)</f>
        <v>1</v>
      </c>
    </row>
    <row r="3980" spans="7:10" ht="35.450000000000003" hidden="1" customHeight="1">
      <c r="G3980" s="113"/>
      <c r="J3980" s="28">
        <f>IFERROR(VLOOKUP(TEXT(B3980,"0"),STOCK!A:H,7,0),1)</f>
        <v>1</v>
      </c>
    </row>
    <row r="3981" spans="7:10" ht="35.450000000000003" hidden="1" customHeight="1">
      <c r="G3981" s="113"/>
      <c r="J3981" s="28">
        <f>IFERROR(VLOOKUP(TEXT(B3981,"0"),STOCK!A:H,7,0),1)</f>
        <v>1</v>
      </c>
    </row>
    <row r="3982" spans="7:10" ht="35.450000000000003" hidden="1" customHeight="1">
      <c r="G3982" s="113"/>
      <c r="J3982" s="28">
        <f>IFERROR(VLOOKUP(TEXT(B3982,"0"),STOCK!A:H,7,0),1)</f>
        <v>1</v>
      </c>
    </row>
    <row r="3983" spans="7:10" ht="35.450000000000003" hidden="1" customHeight="1">
      <c r="G3983" s="113"/>
      <c r="J3983" s="28">
        <f>IFERROR(VLOOKUP(TEXT(B3983,"0"),STOCK!A:H,7,0),1)</f>
        <v>1</v>
      </c>
    </row>
    <row r="3984" spans="7:10" ht="35.450000000000003" hidden="1" customHeight="1">
      <c r="G3984" s="113"/>
      <c r="J3984" s="28">
        <f>IFERROR(VLOOKUP(TEXT(B3984,"0"),STOCK!A:H,7,0),1)</f>
        <v>1</v>
      </c>
    </row>
    <row r="3985" spans="7:10" ht="35.450000000000003" hidden="1" customHeight="1">
      <c r="G3985" s="113"/>
      <c r="J3985" s="28">
        <f>IFERROR(VLOOKUP(TEXT(B3985,"0"),STOCK!A:H,7,0),1)</f>
        <v>1</v>
      </c>
    </row>
    <row r="3986" spans="7:10" ht="35.450000000000003" hidden="1" customHeight="1">
      <c r="G3986" s="113"/>
      <c r="J3986" s="28">
        <f>IFERROR(VLOOKUP(TEXT(B3986,"0"),STOCK!A:H,7,0),1)</f>
        <v>1</v>
      </c>
    </row>
    <row r="3987" spans="7:10" ht="35.450000000000003" hidden="1" customHeight="1">
      <c r="G3987" s="113"/>
      <c r="J3987" s="28">
        <f>IFERROR(VLOOKUP(TEXT(B3987,"0"),STOCK!A:H,7,0),1)</f>
        <v>1</v>
      </c>
    </row>
    <row r="3988" spans="7:10" ht="35.450000000000003" hidden="1" customHeight="1">
      <c r="G3988" s="113"/>
      <c r="J3988" s="28">
        <f>IFERROR(VLOOKUP(TEXT(B3988,"0"),STOCK!A:H,7,0),1)</f>
        <v>1</v>
      </c>
    </row>
    <row r="3989" spans="7:10" ht="35.450000000000003" hidden="1" customHeight="1">
      <c r="G3989" s="113"/>
      <c r="J3989" s="28">
        <f>IFERROR(VLOOKUP(TEXT(B3989,"0"),STOCK!A:H,7,0),1)</f>
        <v>1</v>
      </c>
    </row>
    <row r="3990" spans="7:10" ht="35.450000000000003" hidden="1" customHeight="1">
      <c r="G3990" s="113"/>
      <c r="J3990" s="28">
        <f>IFERROR(VLOOKUP(TEXT(B3990,"0"),STOCK!A:H,7,0),1)</f>
        <v>1</v>
      </c>
    </row>
    <row r="3991" spans="7:10" ht="35.450000000000003" hidden="1" customHeight="1">
      <c r="G3991" s="113"/>
      <c r="J3991" s="28">
        <f>IFERROR(VLOOKUP(TEXT(B3991,"0"),STOCK!A:H,7,0),1)</f>
        <v>1</v>
      </c>
    </row>
    <row r="3992" spans="7:10" ht="35.450000000000003" hidden="1" customHeight="1">
      <c r="G3992" s="113"/>
      <c r="J3992" s="28">
        <f>IFERROR(VLOOKUP(TEXT(B3992,"0"),STOCK!A:H,7,0),1)</f>
        <v>1</v>
      </c>
    </row>
    <row r="3993" spans="7:10" ht="35.450000000000003" hidden="1" customHeight="1">
      <c r="G3993" s="113"/>
      <c r="J3993" s="28">
        <f>IFERROR(VLOOKUP(TEXT(B3993,"0"),STOCK!A:H,7,0),1)</f>
        <v>1</v>
      </c>
    </row>
    <row r="3994" spans="7:10" ht="35.450000000000003" hidden="1" customHeight="1">
      <c r="G3994" s="113"/>
      <c r="J3994" s="28">
        <f>IFERROR(VLOOKUP(TEXT(B3994,"0"),STOCK!A:H,7,0),1)</f>
        <v>1</v>
      </c>
    </row>
    <row r="3995" spans="7:10" ht="35.450000000000003" hidden="1" customHeight="1">
      <c r="G3995" s="113"/>
      <c r="J3995" s="28">
        <f>IFERROR(VLOOKUP(TEXT(B3995,"0"),STOCK!A:H,7,0),1)</f>
        <v>1</v>
      </c>
    </row>
    <row r="3996" spans="7:10" ht="35.450000000000003" hidden="1" customHeight="1">
      <c r="G3996" s="113"/>
      <c r="J3996" s="28">
        <f>IFERROR(VLOOKUP(TEXT(B3996,"0"),STOCK!A:H,7,0),1)</f>
        <v>1</v>
      </c>
    </row>
    <row r="3997" spans="7:10" ht="35.450000000000003" hidden="1" customHeight="1">
      <c r="G3997" s="113"/>
      <c r="J3997" s="28">
        <f>IFERROR(VLOOKUP(TEXT(B3997,"0"),STOCK!A:H,7,0),1)</f>
        <v>1</v>
      </c>
    </row>
    <row r="3998" spans="7:10" ht="35.450000000000003" hidden="1" customHeight="1">
      <c r="G3998" s="113"/>
      <c r="J3998" s="28">
        <f>IFERROR(VLOOKUP(TEXT(B3998,"0"),STOCK!A:H,7,0),1)</f>
        <v>1</v>
      </c>
    </row>
    <row r="3999" spans="7:10" ht="35.450000000000003" hidden="1" customHeight="1">
      <c r="G3999" s="113"/>
      <c r="J3999" s="28">
        <f>IFERROR(VLOOKUP(TEXT(B3999,"0"),STOCK!A:H,7,0),1)</f>
        <v>1</v>
      </c>
    </row>
    <row r="4000" spans="7:10" ht="35.450000000000003" hidden="1" customHeight="1">
      <c r="G4000" s="113"/>
      <c r="J4000" s="28">
        <f>IFERROR(VLOOKUP(TEXT(B4000,"0"),STOCK!A:H,7,0),1)</f>
        <v>1</v>
      </c>
    </row>
    <row r="4001" spans="7:10" ht="35.450000000000003" hidden="1" customHeight="1">
      <c r="G4001" s="113"/>
      <c r="J4001" s="28">
        <f>IFERROR(VLOOKUP(TEXT(B4001,"0"),STOCK!A:H,7,0),1)</f>
        <v>1</v>
      </c>
    </row>
    <row r="4002" spans="7:10" ht="35.450000000000003" hidden="1" customHeight="1">
      <c r="G4002" s="113"/>
      <c r="J4002" s="28">
        <f>IFERROR(VLOOKUP(TEXT(B4002,"0"),STOCK!A:H,7,0),1)</f>
        <v>1</v>
      </c>
    </row>
    <row r="4003" spans="7:10" ht="35.450000000000003" hidden="1" customHeight="1">
      <c r="G4003" s="113"/>
      <c r="J4003" s="28">
        <f>IFERROR(VLOOKUP(TEXT(B4003,"0"),STOCK!A:H,7,0),1)</f>
        <v>1</v>
      </c>
    </row>
    <row r="4004" spans="7:10" ht="35.450000000000003" hidden="1" customHeight="1">
      <c r="G4004" s="113"/>
      <c r="J4004" s="28">
        <f>IFERROR(VLOOKUP(TEXT(B4004,"0"),STOCK!A:H,7,0),1)</f>
        <v>1</v>
      </c>
    </row>
    <row r="4005" spans="7:10" ht="35.450000000000003" hidden="1" customHeight="1">
      <c r="G4005" s="113"/>
      <c r="J4005" s="28">
        <f>IFERROR(VLOOKUP(TEXT(B4005,"0"),STOCK!A:H,7,0),1)</f>
        <v>1</v>
      </c>
    </row>
    <row r="4006" spans="7:10" ht="35.450000000000003" hidden="1" customHeight="1">
      <c r="G4006" s="113"/>
      <c r="J4006" s="28">
        <f>IFERROR(VLOOKUP(TEXT(B4006,"0"),STOCK!A:H,7,0),1)</f>
        <v>1</v>
      </c>
    </row>
    <row r="4007" spans="7:10" ht="35.450000000000003" hidden="1" customHeight="1">
      <c r="G4007" s="113"/>
      <c r="J4007" s="28">
        <f>IFERROR(VLOOKUP(TEXT(B4007,"0"),STOCK!A:H,7,0),1)</f>
        <v>1</v>
      </c>
    </row>
    <row r="4008" spans="7:10" ht="35.450000000000003" hidden="1" customHeight="1">
      <c r="G4008" s="113"/>
      <c r="J4008" s="28">
        <f>IFERROR(VLOOKUP(TEXT(B4008,"0"),STOCK!A:H,7,0),1)</f>
        <v>1</v>
      </c>
    </row>
    <row r="4009" spans="7:10" ht="35.450000000000003" hidden="1" customHeight="1">
      <c r="G4009" s="113"/>
      <c r="J4009" s="28">
        <f>IFERROR(VLOOKUP(TEXT(B4009,"0"),STOCK!A:H,7,0),1)</f>
        <v>1</v>
      </c>
    </row>
    <row r="4010" spans="7:10" ht="35.450000000000003" hidden="1" customHeight="1">
      <c r="G4010" s="113"/>
      <c r="J4010" s="28">
        <f>IFERROR(VLOOKUP(TEXT(B4010,"0"),STOCK!A:H,7,0),1)</f>
        <v>1</v>
      </c>
    </row>
    <row r="4011" spans="7:10" ht="35.450000000000003" hidden="1" customHeight="1">
      <c r="G4011" s="113"/>
      <c r="J4011" s="28">
        <f>IFERROR(VLOOKUP(TEXT(B4011,"0"),STOCK!A:H,7,0),1)</f>
        <v>1</v>
      </c>
    </row>
    <row r="4012" spans="7:10" ht="35.450000000000003" hidden="1" customHeight="1">
      <c r="G4012" s="113"/>
      <c r="J4012" s="28">
        <f>IFERROR(VLOOKUP(TEXT(B4012,"0"),STOCK!A:H,7,0),1)</f>
        <v>1</v>
      </c>
    </row>
    <row r="4013" spans="7:10" ht="35.450000000000003" hidden="1" customHeight="1">
      <c r="G4013" s="113"/>
      <c r="J4013" s="28">
        <f>IFERROR(VLOOKUP(TEXT(B4013,"0"),STOCK!A:H,7,0),1)</f>
        <v>1</v>
      </c>
    </row>
    <row r="4014" spans="7:10" ht="35.450000000000003" hidden="1" customHeight="1">
      <c r="G4014" s="113"/>
      <c r="J4014" s="28">
        <f>IFERROR(VLOOKUP(TEXT(B4014,"0"),STOCK!A:H,7,0),1)</f>
        <v>1</v>
      </c>
    </row>
    <row r="4015" spans="7:10" ht="35.450000000000003" hidden="1" customHeight="1">
      <c r="G4015" s="113"/>
      <c r="J4015" s="28">
        <f>IFERROR(VLOOKUP(TEXT(B4015,"0"),STOCK!A:H,7,0),1)</f>
        <v>1</v>
      </c>
    </row>
    <row r="4016" spans="7:10" ht="35.450000000000003" hidden="1" customHeight="1">
      <c r="G4016" s="113"/>
      <c r="J4016" s="28">
        <f>IFERROR(VLOOKUP(TEXT(B4016,"0"),STOCK!A:H,7,0),1)</f>
        <v>1</v>
      </c>
    </row>
    <row r="4017" spans="7:10" ht="35.450000000000003" hidden="1" customHeight="1">
      <c r="G4017" s="113"/>
      <c r="J4017" s="28">
        <f>IFERROR(VLOOKUP(TEXT(B4017,"0"),STOCK!A:H,7,0),1)</f>
        <v>1</v>
      </c>
    </row>
    <row r="4018" spans="7:10" ht="35.450000000000003" hidden="1" customHeight="1">
      <c r="G4018" s="113"/>
      <c r="J4018" s="28">
        <f>IFERROR(VLOOKUP(TEXT(B4018,"0"),STOCK!A:H,7,0),1)</f>
        <v>1</v>
      </c>
    </row>
    <row r="4019" spans="7:10" ht="35.450000000000003" hidden="1" customHeight="1">
      <c r="G4019" s="113"/>
      <c r="J4019" s="28">
        <f>IFERROR(VLOOKUP(TEXT(B4019,"0"),STOCK!A:H,7,0),1)</f>
        <v>1</v>
      </c>
    </row>
    <row r="4020" spans="7:10" ht="35.450000000000003" hidden="1" customHeight="1">
      <c r="G4020" s="113"/>
      <c r="J4020" s="28">
        <f>IFERROR(VLOOKUP(TEXT(B4020,"0"),STOCK!A:H,7,0),1)</f>
        <v>1</v>
      </c>
    </row>
    <row r="4021" spans="7:10" ht="35.450000000000003" hidden="1" customHeight="1">
      <c r="G4021" s="113"/>
      <c r="J4021" s="28">
        <f>IFERROR(VLOOKUP(TEXT(B4021,"0"),STOCK!A:H,7,0),1)</f>
        <v>1</v>
      </c>
    </row>
    <row r="4022" spans="7:10" ht="35.450000000000003" hidden="1" customHeight="1">
      <c r="G4022" s="113"/>
      <c r="J4022" s="28">
        <f>IFERROR(VLOOKUP(TEXT(B4022,"0"),STOCK!A:H,7,0),1)</f>
        <v>1</v>
      </c>
    </row>
    <row r="4023" spans="7:10" ht="35.450000000000003" hidden="1" customHeight="1">
      <c r="G4023" s="113"/>
      <c r="J4023" s="28">
        <f>IFERROR(VLOOKUP(TEXT(B4023,"0"),STOCK!A:H,7,0),1)</f>
        <v>1</v>
      </c>
    </row>
    <row r="4024" spans="7:10" ht="35.450000000000003" hidden="1" customHeight="1">
      <c r="G4024" s="113"/>
      <c r="J4024" s="28">
        <f>IFERROR(VLOOKUP(TEXT(B4024,"0"),STOCK!A:H,7,0),1)</f>
        <v>1</v>
      </c>
    </row>
    <row r="4025" spans="7:10" ht="35.450000000000003" hidden="1" customHeight="1">
      <c r="G4025" s="113"/>
      <c r="J4025" s="28">
        <f>IFERROR(VLOOKUP(TEXT(B4025,"0"),STOCK!A:H,7,0),1)</f>
        <v>1</v>
      </c>
    </row>
    <row r="4026" spans="7:10" ht="35.450000000000003" hidden="1" customHeight="1">
      <c r="G4026" s="113"/>
      <c r="J4026" s="28">
        <f>IFERROR(VLOOKUP(TEXT(B4026,"0"),STOCK!A:H,7,0),1)</f>
        <v>1</v>
      </c>
    </row>
    <row r="4027" spans="7:10" ht="35.450000000000003" hidden="1" customHeight="1">
      <c r="G4027" s="113"/>
      <c r="J4027" s="28">
        <f>IFERROR(VLOOKUP(TEXT(B4027,"0"),STOCK!A:H,7,0),1)</f>
        <v>1</v>
      </c>
    </row>
    <row r="4028" spans="7:10" ht="35.450000000000003" hidden="1" customHeight="1">
      <c r="G4028" s="113"/>
      <c r="J4028" s="28">
        <f>IFERROR(VLOOKUP(TEXT(B4028,"0"),STOCK!A:H,7,0),1)</f>
        <v>1</v>
      </c>
    </row>
    <row r="4029" spans="7:10" ht="35.450000000000003" hidden="1" customHeight="1">
      <c r="G4029" s="113"/>
      <c r="J4029" s="28">
        <f>IFERROR(VLOOKUP(TEXT(B4029,"0"),STOCK!A:H,7,0),1)</f>
        <v>1</v>
      </c>
    </row>
    <row r="4030" spans="7:10" ht="35.450000000000003" hidden="1" customHeight="1">
      <c r="G4030" s="113"/>
      <c r="J4030" s="28">
        <f>IFERROR(VLOOKUP(TEXT(B4030,"0"),STOCK!A:H,7,0),1)</f>
        <v>1</v>
      </c>
    </row>
    <row r="4031" spans="7:10" ht="35.450000000000003" hidden="1" customHeight="1">
      <c r="G4031" s="113"/>
      <c r="J4031" s="28">
        <f>IFERROR(VLOOKUP(TEXT(B4031,"0"),STOCK!A:H,7,0),1)</f>
        <v>1</v>
      </c>
    </row>
    <row r="4032" spans="7:10" ht="35.450000000000003" hidden="1" customHeight="1">
      <c r="G4032" s="113"/>
      <c r="J4032" s="28">
        <f>IFERROR(VLOOKUP(TEXT(B4032,"0"),STOCK!A:H,7,0),1)</f>
        <v>1</v>
      </c>
    </row>
    <row r="4033" spans="7:10" ht="35.450000000000003" hidden="1" customHeight="1">
      <c r="G4033" s="113"/>
      <c r="J4033" s="28">
        <f>IFERROR(VLOOKUP(TEXT(B4033,"0"),STOCK!A:H,7,0),1)</f>
        <v>1</v>
      </c>
    </row>
    <row r="4034" spans="7:10" ht="35.450000000000003" hidden="1" customHeight="1">
      <c r="G4034" s="113"/>
      <c r="J4034" s="28">
        <f>IFERROR(VLOOKUP(TEXT(B4034,"0"),STOCK!A:H,7,0),1)</f>
        <v>1</v>
      </c>
    </row>
    <row r="4035" spans="7:10" ht="35.450000000000003" hidden="1" customHeight="1">
      <c r="G4035" s="113"/>
      <c r="J4035" s="28">
        <f>IFERROR(VLOOKUP(TEXT(B4035,"0"),STOCK!A:H,7,0),1)</f>
        <v>1</v>
      </c>
    </row>
    <row r="4036" spans="7:10" ht="35.450000000000003" hidden="1" customHeight="1">
      <c r="G4036" s="113"/>
      <c r="J4036" s="28">
        <f>IFERROR(VLOOKUP(TEXT(B4036,"0"),STOCK!A:H,7,0),1)</f>
        <v>1</v>
      </c>
    </row>
    <row r="4037" spans="7:10" ht="35.450000000000003" hidden="1" customHeight="1">
      <c r="G4037" s="113"/>
      <c r="J4037" s="28">
        <f>IFERROR(VLOOKUP(TEXT(B4037,"0"),STOCK!A:H,7,0),1)</f>
        <v>1</v>
      </c>
    </row>
    <row r="4038" spans="7:10" ht="35.450000000000003" hidden="1" customHeight="1">
      <c r="G4038" s="113"/>
      <c r="J4038" s="28">
        <f>IFERROR(VLOOKUP(TEXT(B4038,"0"),STOCK!A:H,7,0),1)</f>
        <v>1</v>
      </c>
    </row>
    <row r="4039" spans="7:10" ht="35.450000000000003" hidden="1" customHeight="1">
      <c r="G4039" s="113"/>
      <c r="J4039" s="28">
        <f>IFERROR(VLOOKUP(TEXT(B4039,"0"),STOCK!A:H,7,0),1)</f>
        <v>1</v>
      </c>
    </row>
    <row r="4040" spans="7:10" ht="35.450000000000003" hidden="1" customHeight="1">
      <c r="G4040" s="113"/>
      <c r="J4040" s="28">
        <f>IFERROR(VLOOKUP(TEXT(B4040,"0"),STOCK!A:H,7,0),1)</f>
        <v>1</v>
      </c>
    </row>
    <row r="4041" spans="7:10" ht="35.450000000000003" hidden="1" customHeight="1">
      <c r="G4041" s="113"/>
      <c r="J4041" s="28">
        <f>IFERROR(VLOOKUP(TEXT(B4041,"0"),STOCK!A:H,7,0),1)</f>
        <v>1</v>
      </c>
    </row>
    <row r="4042" spans="7:10" ht="35.450000000000003" hidden="1" customHeight="1">
      <c r="G4042" s="113"/>
      <c r="J4042" s="28">
        <f>IFERROR(VLOOKUP(TEXT(B4042,"0"),STOCK!A:H,7,0),1)</f>
        <v>1</v>
      </c>
    </row>
    <row r="4043" spans="7:10" ht="35.450000000000003" hidden="1" customHeight="1">
      <c r="G4043" s="113"/>
      <c r="J4043" s="28">
        <f>IFERROR(VLOOKUP(TEXT(B4043,"0"),STOCK!A:H,7,0),1)</f>
        <v>1</v>
      </c>
    </row>
    <row r="4044" spans="7:10" ht="35.450000000000003" hidden="1" customHeight="1">
      <c r="G4044" s="113"/>
      <c r="J4044" s="28">
        <f>IFERROR(VLOOKUP(TEXT(B4044,"0"),STOCK!A:H,7,0),1)</f>
        <v>1</v>
      </c>
    </row>
    <row r="4045" spans="7:10" ht="35.450000000000003" hidden="1" customHeight="1">
      <c r="G4045" s="113"/>
      <c r="J4045" s="28">
        <f>IFERROR(VLOOKUP(TEXT(B4045,"0"),STOCK!A:H,7,0),1)</f>
        <v>1</v>
      </c>
    </row>
    <row r="4046" spans="7:10" ht="35.450000000000003" hidden="1" customHeight="1">
      <c r="G4046" s="113"/>
      <c r="J4046" s="28">
        <f>IFERROR(VLOOKUP(TEXT(B4046,"0"),STOCK!A:H,7,0),1)</f>
        <v>1</v>
      </c>
    </row>
    <row r="4047" spans="7:10" ht="35.450000000000003" hidden="1" customHeight="1">
      <c r="G4047" s="113"/>
      <c r="J4047" s="28">
        <f>IFERROR(VLOOKUP(TEXT(B4047,"0"),STOCK!A:H,7,0),1)</f>
        <v>1</v>
      </c>
    </row>
    <row r="4048" spans="7:10" ht="35.450000000000003" hidden="1" customHeight="1">
      <c r="G4048" s="113"/>
      <c r="J4048" s="28">
        <f>IFERROR(VLOOKUP(TEXT(B4048,"0"),STOCK!A:H,7,0),1)</f>
        <v>1</v>
      </c>
    </row>
    <row r="4049" spans="7:10" ht="35.450000000000003" hidden="1" customHeight="1">
      <c r="G4049" s="113"/>
      <c r="J4049" s="28">
        <f>IFERROR(VLOOKUP(TEXT(B4049,"0"),STOCK!A:H,7,0),1)</f>
        <v>1</v>
      </c>
    </row>
    <row r="4050" spans="7:10" ht="35.450000000000003" hidden="1" customHeight="1">
      <c r="G4050" s="113"/>
      <c r="J4050" s="28">
        <f>IFERROR(VLOOKUP(TEXT(B4050,"0"),STOCK!A:H,7,0),1)</f>
        <v>1</v>
      </c>
    </row>
    <row r="4051" spans="7:10" ht="35.450000000000003" hidden="1" customHeight="1">
      <c r="G4051" s="113"/>
      <c r="J4051" s="28">
        <f>IFERROR(VLOOKUP(TEXT(B4051,"0"),STOCK!A:H,7,0),1)</f>
        <v>1</v>
      </c>
    </row>
    <row r="4052" spans="7:10" ht="35.450000000000003" hidden="1" customHeight="1">
      <c r="G4052" s="113"/>
      <c r="J4052" s="28">
        <f>IFERROR(VLOOKUP(TEXT(B4052,"0"),STOCK!A:H,7,0),1)</f>
        <v>1</v>
      </c>
    </row>
    <row r="4053" spans="7:10" ht="35.450000000000003" hidden="1" customHeight="1">
      <c r="G4053" s="113"/>
      <c r="J4053" s="28">
        <f>IFERROR(VLOOKUP(TEXT(B4053,"0"),STOCK!A:H,7,0),1)</f>
        <v>1</v>
      </c>
    </row>
    <row r="4054" spans="7:10" ht="35.450000000000003" hidden="1" customHeight="1">
      <c r="G4054" s="113"/>
      <c r="J4054" s="28">
        <f>IFERROR(VLOOKUP(TEXT(B4054,"0"),STOCK!A:H,7,0),1)</f>
        <v>1</v>
      </c>
    </row>
    <row r="4055" spans="7:10" ht="35.450000000000003" hidden="1" customHeight="1">
      <c r="G4055" s="113"/>
      <c r="J4055" s="28">
        <f>IFERROR(VLOOKUP(TEXT(B4055,"0"),STOCK!A:H,7,0),1)</f>
        <v>1</v>
      </c>
    </row>
    <row r="4056" spans="7:10" ht="35.450000000000003" hidden="1" customHeight="1">
      <c r="G4056" s="113"/>
      <c r="J4056" s="28">
        <f>IFERROR(VLOOKUP(TEXT(B4056,"0"),STOCK!A:H,7,0),1)</f>
        <v>1</v>
      </c>
    </row>
    <row r="4057" spans="7:10" ht="35.450000000000003" hidden="1" customHeight="1">
      <c r="G4057" s="113"/>
      <c r="J4057" s="28">
        <f>IFERROR(VLOOKUP(TEXT(B4057,"0"),STOCK!A:H,7,0),1)</f>
        <v>1</v>
      </c>
    </row>
    <row r="4058" spans="7:10" ht="35.450000000000003" hidden="1" customHeight="1">
      <c r="G4058" s="113"/>
      <c r="J4058" s="28">
        <f>IFERROR(VLOOKUP(TEXT(B4058,"0"),STOCK!A:H,7,0),1)</f>
        <v>1</v>
      </c>
    </row>
    <row r="4059" spans="7:10" ht="35.450000000000003" hidden="1" customHeight="1">
      <c r="G4059" s="113"/>
      <c r="J4059" s="28">
        <f>IFERROR(VLOOKUP(TEXT(B4059,"0"),STOCK!A:H,7,0),1)</f>
        <v>1</v>
      </c>
    </row>
    <row r="4060" spans="7:10" ht="35.450000000000003" hidden="1" customHeight="1">
      <c r="G4060" s="113"/>
      <c r="J4060" s="28">
        <f>IFERROR(VLOOKUP(TEXT(B4060,"0"),STOCK!A:H,7,0),1)</f>
        <v>1</v>
      </c>
    </row>
    <row r="4061" spans="7:10" ht="35.450000000000003" hidden="1" customHeight="1">
      <c r="G4061" s="113"/>
      <c r="J4061" s="28">
        <f>IFERROR(VLOOKUP(TEXT(B4061,"0"),STOCK!A:H,7,0),1)</f>
        <v>1</v>
      </c>
    </row>
    <row r="4062" spans="7:10" ht="35.450000000000003" hidden="1" customHeight="1">
      <c r="G4062" s="113"/>
      <c r="J4062" s="28">
        <f>IFERROR(VLOOKUP(TEXT(B4062,"0"),STOCK!A:H,7,0),1)</f>
        <v>1</v>
      </c>
    </row>
    <row r="4063" spans="7:10" ht="35.450000000000003" hidden="1" customHeight="1">
      <c r="G4063" s="113"/>
      <c r="J4063" s="28">
        <f>IFERROR(VLOOKUP(TEXT(B4063,"0"),STOCK!A:H,7,0),1)</f>
        <v>1</v>
      </c>
    </row>
    <row r="4064" spans="7:10" ht="35.450000000000003" hidden="1" customHeight="1">
      <c r="G4064" s="113"/>
      <c r="J4064" s="28">
        <f>IFERROR(VLOOKUP(TEXT(B4064,"0"),STOCK!A:H,7,0),1)</f>
        <v>1</v>
      </c>
    </row>
    <row r="4065" spans="7:10" ht="35.450000000000003" hidden="1" customHeight="1">
      <c r="G4065" s="113"/>
      <c r="J4065" s="28">
        <f>IFERROR(VLOOKUP(TEXT(B4065,"0"),STOCK!A:H,7,0),1)</f>
        <v>1</v>
      </c>
    </row>
    <row r="4066" spans="7:10" ht="35.450000000000003" hidden="1" customHeight="1">
      <c r="G4066" s="113"/>
      <c r="J4066" s="28">
        <f>IFERROR(VLOOKUP(TEXT(B4066,"0"),STOCK!A:H,7,0),1)</f>
        <v>1</v>
      </c>
    </row>
    <row r="4067" spans="7:10" ht="35.450000000000003" hidden="1" customHeight="1">
      <c r="G4067" s="113"/>
      <c r="J4067" s="28">
        <f>IFERROR(VLOOKUP(TEXT(B4067,"0"),STOCK!A:H,7,0),1)</f>
        <v>1</v>
      </c>
    </row>
    <row r="4068" spans="7:10" ht="35.450000000000003" hidden="1" customHeight="1">
      <c r="G4068" s="113"/>
      <c r="J4068" s="28">
        <f>IFERROR(VLOOKUP(TEXT(B4068,"0"),STOCK!A:H,7,0),1)</f>
        <v>1</v>
      </c>
    </row>
    <row r="4069" spans="7:10" ht="35.450000000000003" hidden="1" customHeight="1">
      <c r="G4069" s="113"/>
      <c r="J4069" s="28">
        <f>IFERROR(VLOOKUP(TEXT(B4069,"0"),STOCK!A:H,7,0),1)</f>
        <v>1</v>
      </c>
    </row>
    <row r="4070" spans="7:10" ht="35.450000000000003" hidden="1" customHeight="1">
      <c r="G4070" s="113"/>
      <c r="J4070" s="28">
        <f>IFERROR(VLOOKUP(TEXT(B4070,"0"),STOCK!A:H,7,0),1)</f>
        <v>1</v>
      </c>
    </row>
    <row r="4071" spans="7:10" ht="35.450000000000003" hidden="1" customHeight="1">
      <c r="G4071" s="113"/>
      <c r="J4071" s="28">
        <f>IFERROR(VLOOKUP(TEXT(B4071,"0"),STOCK!A:H,7,0),1)</f>
        <v>1</v>
      </c>
    </row>
    <row r="4072" spans="7:10" ht="35.450000000000003" hidden="1" customHeight="1">
      <c r="G4072" s="113"/>
      <c r="J4072" s="28">
        <f>IFERROR(VLOOKUP(TEXT(B4072,"0"),STOCK!A:H,7,0),1)</f>
        <v>1</v>
      </c>
    </row>
    <row r="4073" spans="7:10" ht="35.450000000000003" hidden="1" customHeight="1">
      <c r="G4073" s="113"/>
      <c r="J4073" s="28">
        <f>IFERROR(VLOOKUP(TEXT(B4073,"0"),STOCK!A:H,7,0),1)</f>
        <v>1</v>
      </c>
    </row>
    <row r="4074" spans="7:10" ht="35.450000000000003" hidden="1" customHeight="1">
      <c r="G4074" s="113"/>
      <c r="J4074" s="28">
        <f>IFERROR(VLOOKUP(TEXT(B4074,"0"),STOCK!A:H,7,0),1)</f>
        <v>1</v>
      </c>
    </row>
    <row r="4075" spans="7:10" ht="35.450000000000003" hidden="1" customHeight="1">
      <c r="G4075" s="113"/>
      <c r="J4075" s="28">
        <f>IFERROR(VLOOKUP(TEXT(B4075,"0"),STOCK!A:H,7,0),1)</f>
        <v>1</v>
      </c>
    </row>
    <row r="4076" spans="7:10" ht="35.450000000000003" hidden="1" customHeight="1">
      <c r="G4076" s="113"/>
      <c r="J4076" s="28">
        <f>IFERROR(VLOOKUP(TEXT(B4076,"0"),STOCK!A:H,7,0),1)</f>
        <v>1</v>
      </c>
    </row>
    <row r="4077" spans="7:10" ht="35.450000000000003" hidden="1" customHeight="1">
      <c r="G4077" s="113"/>
      <c r="J4077" s="28">
        <f>IFERROR(VLOOKUP(TEXT(B4077,"0"),STOCK!A:H,7,0),1)</f>
        <v>1</v>
      </c>
    </row>
    <row r="4078" spans="7:10" ht="35.450000000000003" hidden="1" customHeight="1">
      <c r="G4078" s="113"/>
      <c r="J4078" s="28">
        <f>IFERROR(VLOOKUP(TEXT(B4078,"0"),STOCK!A:H,7,0),1)</f>
        <v>1</v>
      </c>
    </row>
    <row r="4079" spans="7:10" ht="35.450000000000003" hidden="1" customHeight="1">
      <c r="G4079" s="113"/>
      <c r="J4079" s="28">
        <f>IFERROR(VLOOKUP(TEXT(B4079,"0"),STOCK!A:H,7,0),1)</f>
        <v>1</v>
      </c>
    </row>
    <row r="4080" spans="7:10" ht="35.450000000000003" hidden="1" customHeight="1">
      <c r="G4080" s="113"/>
      <c r="J4080" s="28">
        <f>IFERROR(VLOOKUP(TEXT(B4080,"0"),STOCK!A:H,7,0),1)</f>
        <v>1</v>
      </c>
    </row>
    <row r="4081" spans="7:10" ht="35.450000000000003" hidden="1" customHeight="1">
      <c r="G4081" s="113"/>
      <c r="J4081" s="28">
        <f>IFERROR(VLOOKUP(TEXT(B4081,"0"),STOCK!A:H,7,0),1)</f>
        <v>1</v>
      </c>
    </row>
    <row r="4082" spans="7:10" ht="35.450000000000003" hidden="1" customHeight="1">
      <c r="G4082" s="113"/>
      <c r="J4082" s="28">
        <f>IFERROR(VLOOKUP(TEXT(B4082,"0"),STOCK!A:H,7,0),1)</f>
        <v>1</v>
      </c>
    </row>
    <row r="4083" spans="7:10" ht="35.450000000000003" hidden="1" customHeight="1">
      <c r="G4083" s="113"/>
      <c r="J4083" s="28">
        <f>IFERROR(VLOOKUP(TEXT(B4083,"0"),STOCK!A:H,7,0),1)</f>
        <v>1</v>
      </c>
    </row>
    <row r="4084" spans="7:10" ht="35.450000000000003" hidden="1" customHeight="1">
      <c r="G4084" s="113"/>
      <c r="J4084" s="28">
        <f>IFERROR(VLOOKUP(TEXT(B4084,"0"),STOCK!A:H,7,0),1)</f>
        <v>1</v>
      </c>
    </row>
    <row r="4085" spans="7:10" ht="35.450000000000003" hidden="1" customHeight="1">
      <c r="G4085" s="113"/>
      <c r="J4085" s="28">
        <f>IFERROR(VLOOKUP(TEXT(B4085,"0"),STOCK!A:H,7,0),1)</f>
        <v>1</v>
      </c>
    </row>
    <row r="4086" spans="7:10" ht="35.450000000000003" hidden="1" customHeight="1">
      <c r="G4086" s="113"/>
      <c r="J4086" s="28">
        <f>IFERROR(VLOOKUP(TEXT(B4086,"0"),STOCK!A:H,7,0),1)</f>
        <v>1</v>
      </c>
    </row>
    <row r="4087" spans="7:10" ht="35.450000000000003" hidden="1" customHeight="1">
      <c r="G4087" s="113"/>
      <c r="J4087" s="28">
        <f>IFERROR(VLOOKUP(TEXT(B4087,"0"),STOCK!A:H,7,0),1)</f>
        <v>1</v>
      </c>
    </row>
    <row r="4088" spans="7:10" ht="35.450000000000003" hidden="1" customHeight="1">
      <c r="G4088" s="113"/>
      <c r="J4088" s="28">
        <f>IFERROR(VLOOKUP(TEXT(B4088,"0"),STOCK!A:H,7,0),1)</f>
        <v>1</v>
      </c>
    </row>
    <row r="4089" spans="7:10" ht="35.450000000000003" hidden="1" customHeight="1">
      <c r="G4089" s="113"/>
      <c r="J4089" s="28">
        <f>IFERROR(VLOOKUP(TEXT(B4089,"0"),STOCK!A:H,7,0),1)</f>
        <v>1</v>
      </c>
    </row>
    <row r="4090" spans="7:10" ht="35.450000000000003" hidden="1" customHeight="1">
      <c r="G4090" s="113"/>
      <c r="J4090" s="28">
        <f>IFERROR(VLOOKUP(TEXT(B4090,"0"),STOCK!A:H,7,0),1)</f>
        <v>1</v>
      </c>
    </row>
    <row r="4091" spans="7:10" ht="35.450000000000003" hidden="1" customHeight="1">
      <c r="G4091" s="113"/>
      <c r="J4091" s="28">
        <f>IFERROR(VLOOKUP(TEXT(B4091,"0"),STOCK!A:H,7,0),1)</f>
        <v>1</v>
      </c>
    </row>
    <row r="4092" spans="7:10" ht="35.450000000000003" hidden="1" customHeight="1">
      <c r="G4092" s="113"/>
      <c r="J4092" s="28">
        <f>IFERROR(VLOOKUP(TEXT(B4092,"0"),STOCK!A:H,7,0),1)</f>
        <v>1</v>
      </c>
    </row>
    <row r="4093" spans="7:10" ht="35.450000000000003" hidden="1" customHeight="1">
      <c r="G4093" s="113"/>
      <c r="J4093" s="28">
        <f>IFERROR(VLOOKUP(TEXT(B4093,"0"),STOCK!A:H,7,0),1)</f>
        <v>1</v>
      </c>
    </row>
    <row r="4094" spans="7:10" ht="35.450000000000003" hidden="1" customHeight="1">
      <c r="G4094" s="113"/>
      <c r="J4094" s="28">
        <f>IFERROR(VLOOKUP(TEXT(B4094,"0"),STOCK!A:H,7,0),1)</f>
        <v>1</v>
      </c>
    </row>
    <row r="4095" spans="7:10" ht="35.450000000000003" hidden="1" customHeight="1">
      <c r="G4095" s="113"/>
      <c r="J4095" s="28">
        <f>IFERROR(VLOOKUP(TEXT(B4095,"0"),STOCK!A:H,7,0),1)</f>
        <v>1</v>
      </c>
    </row>
    <row r="4096" spans="7:10" ht="35.450000000000003" hidden="1" customHeight="1">
      <c r="G4096" s="113"/>
      <c r="J4096" s="28">
        <f>IFERROR(VLOOKUP(TEXT(B4096,"0"),STOCK!A:H,7,0),1)</f>
        <v>1</v>
      </c>
    </row>
    <row r="4097" spans="7:10" ht="35.450000000000003" hidden="1" customHeight="1">
      <c r="G4097" s="113"/>
      <c r="J4097" s="28">
        <f>IFERROR(VLOOKUP(TEXT(B4097,"0"),STOCK!A:H,7,0),1)</f>
        <v>1</v>
      </c>
    </row>
    <row r="4098" spans="7:10" ht="35.450000000000003" hidden="1" customHeight="1">
      <c r="G4098" s="113"/>
      <c r="J4098" s="28">
        <f>IFERROR(VLOOKUP(TEXT(B4098,"0"),STOCK!A:H,7,0),1)</f>
        <v>1</v>
      </c>
    </row>
    <row r="4099" spans="7:10" ht="35.450000000000003" hidden="1" customHeight="1">
      <c r="G4099" s="113"/>
      <c r="J4099" s="28">
        <f>IFERROR(VLOOKUP(TEXT(B4099,"0"),STOCK!A:H,7,0),1)</f>
        <v>1</v>
      </c>
    </row>
    <row r="4100" spans="7:10" ht="35.450000000000003" hidden="1" customHeight="1">
      <c r="G4100" s="113"/>
      <c r="J4100" s="28">
        <f>IFERROR(VLOOKUP(TEXT(B4100,"0"),STOCK!A:H,7,0),1)</f>
        <v>1</v>
      </c>
    </row>
    <row r="4101" spans="7:10" ht="35.450000000000003" hidden="1" customHeight="1">
      <c r="G4101" s="113"/>
      <c r="J4101" s="28">
        <f>IFERROR(VLOOKUP(TEXT(B4101,"0"),STOCK!A:H,7,0),1)</f>
        <v>1</v>
      </c>
    </row>
    <row r="4102" spans="7:10" ht="35.450000000000003" hidden="1" customHeight="1">
      <c r="G4102" s="113"/>
      <c r="J4102" s="28">
        <f>IFERROR(VLOOKUP(TEXT(B4102,"0"),STOCK!A:H,7,0),1)</f>
        <v>1</v>
      </c>
    </row>
    <row r="4103" spans="7:10" ht="35.450000000000003" hidden="1" customHeight="1">
      <c r="G4103" s="113"/>
      <c r="J4103" s="28">
        <f>IFERROR(VLOOKUP(TEXT(B4103,"0"),STOCK!A:H,7,0),1)</f>
        <v>1</v>
      </c>
    </row>
    <row r="4104" spans="7:10" ht="35.450000000000003" hidden="1" customHeight="1">
      <c r="G4104" s="113"/>
      <c r="J4104" s="28">
        <f>IFERROR(VLOOKUP(TEXT(B4104,"0"),STOCK!A:H,7,0),1)</f>
        <v>1</v>
      </c>
    </row>
    <row r="4105" spans="7:10" ht="35.450000000000003" hidden="1" customHeight="1">
      <c r="G4105" s="113"/>
      <c r="J4105" s="28">
        <f>IFERROR(VLOOKUP(TEXT(B4105,"0"),STOCK!A:H,7,0),1)</f>
        <v>1</v>
      </c>
    </row>
    <row r="4106" spans="7:10" ht="35.450000000000003" hidden="1" customHeight="1">
      <c r="G4106" s="113"/>
      <c r="J4106" s="28">
        <f>IFERROR(VLOOKUP(TEXT(B4106,"0"),STOCK!A:H,7,0),1)</f>
        <v>1</v>
      </c>
    </row>
    <row r="4107" spans="7:10" ht="35.450000000000003" hidden="1" customHeight="1">
      <c r="G4107" s="113"/>
      <c r="J4107" s="28">
        <f>IFERROR(VLOOKUP(TEXT(B4107,"0"),STOCK!A:H,7,0),1)</f>
        <v>1</v>
      </c>
    </row>
    <row r="4108" spans="7:10" ht="35.450000000000003" hidden="1" customHeight="1">
      <c r="G4108" s="113"/>
      <c r="J4108" s="28">
        <f>IFERROR(VLOOKUP(TEXT(B4108,"0"),STOCK!A:H,7,0),1)</f>
        <v>1</v>
      </c>
    </row>
    <row r="4109" spans="7:10" ht="35.450000000000003" hidden="1" customHeight="1">
      <c r="G4109" s="113"/>
      <c r="J4109" s="28">
        <f>IFERROR(VLOOKUP(TEXT(B4109,"0"),STOCK!A:H,7,0),1)</f>
        <v>1</v>
      </c>
    </row>
    <row r="4110" spans="7:10" ht="35.450000000000003" hidden="1" customHeight="1">
      <c r="G4110" s="113"/>
      <c r="J4110" s="28">
        <f>IFERROR(VLOOKUP(TEXT(B4110,"0"),STOCK!A:H,7,0),1)</f>
        <v>1</v>
      </c>
    </row>
    <row r="4111" spans="7:10" ht="35.450000000000003" hidden="1" customHeight="1">
      <c r="G4111" s="113"/>
      <c r="J4111" s="28">
        <f>IFERROR(VLOOKUP(TEXT(B4111,"0"),STOCK!A:H,7,0),1)</f>
        <v>1</v>
      </c>
    </row>
    <row r="4112" spans="7:10" ht="35.450000000000003" hidden="1" customHeight="1">
      <c r="G4112" s="113"/>
      <c r="J4112" s="28">
        <f>IFERROR(VLOOKUP(TEXT(B4112,"0"),STOCK!A:H,7,0),1)</f>
        <v>1</v>
      </c>
    </row>
    <row r="4113" spans="7:10" ht="35.450000000000003" hidden="1" customHeight="1">
      <c r="G4113" s="113"/>
      <c r="J4113" s="28">
        <f>IFERROR(VLOOKUP(TEXT(B4113,"0"),STOCK!A:H,7,0),1)</f>
        <v>1</v>
      </c>
    </row>
    <row r="4114" spans="7:10" ht="35.450000000000003" hidden="1" customHeight="1">
      <c r="G4114" s="113"/>
      <c r="J4114" s="28">
        <f>IFERROR(VLOOKUP(TEXT(B4114,"0"),STOCK!A:H,7,0),1)</f>
        <v>1</v>
      </c>
    </row>
    <row r="4115" spans="7:10" ht="35.450000000000003" hidden="1" customHeight="1">
      <c r="G4115" s="113"/>
      <c r="J4115" s="28">
        <f>IFERROR(VLOOKUP(TEXT(B4115,"0"),STOCK!A:H,7,0),1)</f>
        <v>1</v>
      </c>
    </row>
    <row r="4116" spans="7:10" ht="35.450000000000003" hidden="1" customHeight="1">
      <c r="G4116" s="113"/>
      <c r="J4116" s="28">
        <f>IFERROR(VLOOKUP(TEXT(B4116,"0"),STOCK!A:H,7,0),1)</f>
        <v>1</v>
      </c>
    </row>
    <row r="4117" spans="7:10" ht="35.450000000000003" hidden="1" customHeight="1">
      <c r="G4117" s="113"/>
      <c r="J4117" s="28">
        <f>IFERROR(VLOOKUP(TEXT(B4117,"0"),STOCK!A:H,7,0),1)</f>
        <v>1</v>
      </c>
    </row>
    <row r="4118" spans="7:10" ht="35.450000000000003" hidden="1" customHeight="1">
      <c r="G4118" s="113"/>
      <c r="J4118" s="28">
        <f>IFERROR(VLOOKUP(TEXT(B4118,"0"),STOCK!A:H,7,0),1)</f>
        <v>1</v>
      </c>
    </row>
    <row r="4119" spans="7:10" ht="35.450000000000003" hidden="1" customHeight="1">
      <c r="G4119" s="113"/>
      <c r="J4119" s="28">
        <f>IFERROR(VLOOKUP(TEXT(B4119,"0"),STOCK!A:H,7,0),1)</f>
        <v>1</v>
      </c>
    </row>
    <row r="4120" spans="7:10" ht="35.450000000000003" hidden="1" customHeight="1">
      <c r="G4120" s="113"/>
      <c r="J4120" s="28">
        <f>IFERROR(VLOOKUP(TEXT(B4120,"0"),STOCK!A:H,7,0),1)</f>
        <v>1</v>
      </c>
    </row>
    <row r="4121" spans="7:10" ht="35.450000000000003" hidden="1" customHeight="1">
      <c r="G4121" s="113"/>
      <c r="J4121" s="28">
        <f>IFERROR(VLOOKUP(TEXT(B4121,"0"),STOCK!A:H,7,0),1)</f>
        <v>1</v>
      </c>
    </row>
    <row r="4122" spans="7:10" ht="35.450000000000003" hidden="1" customHeight="1">
      <c r="G4122" s="113"/>
      <c r="J4122" s="28">
        <f>IFERROR(VLOOKUP(TEXT(B4122,"0"),STOCK!A:H,7,0),1)</f>
        <v>1</v>
      </c>
    </row>
    <row r="4123" spans="7:10" ht="35.450000000000003" hidden="1" customHeight="1">
      <c r="G4123" s="113"/>
      <c r="J4123" s="28">
        <f>IFERROR(VLOOKUP(TEXT(B4123,"0"),STOCK!A:H,7,0),1)</f>
        <v>1</v>
      </c>
    </row>
    <row r="4124" spans="7:10" ht="35.450000000000003" hidden="1" customHeight="1">
      <c r="G4124" s="113"/>
      <c r="J4124" s="28">
        <f>IFERROR(VLOOKUP(TEXT(B4124,"0"),STOCK!A:H,7,0),1)</f>
        <v>1</v>
      </c>
    </row>
    <row r="4125" spans="7:10" ht="35.450000000000003" hidden="1" customHeight="1">
      <c r="G4125" s="113"/>
      <c r="J4125" s="28">
        <f>IFERROR(VLOOKUP(TEXT(B4125,"0"),STOCK!A:H,7,0),1)</f>
        <v>1</v>
      </c>
    </row>
    <row r="4126" spans="7:10" ht="35.450000000000003" hidden="1" customHeight="1">
      <c r="G4126" s="113"/>
      <c r="J4126" s="28">
        <f>IFERROR(VLOOKUP(TEXT(B4126,"0"),STOCK!A:H,7,0),1)</f>
        <v>1</v>
      </c>
    </row>
    <row r="4127" spans="7:10" ht="35.450000000000003" hidden="1" customHeight="1">
      <c r="G4127" s="113"/>
      <c r="J4127" s="28">
        <f>IFERROR(VLOOKUP(TEXT(B4127,"0"),STOCK!A:H,7,0),1)</f>
        <v>1</v>
      </c>
    </row>
    <row r="4128" spans="7:10" ht="35.450000000000003" hidden="1" customHeight="1">
      <c r="G4128" s="113"/>
      <c r="J4128" s="28">
        <f>IFERROR(VLOOKUP(TEXT(B4128,"0"),STOCK!A:H,7,0),1)</f>
        <v>1</v>
      </c>
    </row>
    <row r="4129" spans="7:10" ht="35.450000000000003" hidden="1" customHeight="1">
      <c r="G4129" s="113"/>
      <c r="J4129" s="28">
        <f>IFERROR(VLOOKUP(TEXT(B4129,"0"),STOCK!A:H,7,0),1)</f>
        <v>1</v>
      </c>
    </row>
    <row r="4130" spans="7:10" ht="35.450000000000003" hidden="1" customHeight="1">
      <c r="G4130" s="113"/>
      <c r="J4130" s="28">
        <f>IFERROR(VLOOKUP(TEXT(B4130,"0"),STOCK!A:H,7,0),1)</f>
        <v>1</v>
      </c>
    </row>
    <row r="4131" spans="7:10" ht="35.450000000000003" hidden="1" customHeight="1">
      <c r="G4131" s="113"/>
      <c r="J4131" s="28">
        <f>IFERROR(VLOOKUP(TEXT(B4131,"0"),STOCK!A:H,7,0),1)</f>
        <v>1</v>
      </c>
    </row>
    <row r="4132" spans="7:10" ht="35.450000000000003" hidden="1" customHeight="1">
      <c r="G4132" s="113"/>
      <c r="J4132" s="28">
        <f>IFERROR(VLOOKUP(TEXT(B4132,"0"),STOCK!A:H,7,0),1)</f>
        <v>1</v>
      </c>
    </row>
    <row r="4133" spans="7:10" ht="35.450000000000003" hidden="1" customHeight="1">
      <c r="G4133" s="113"/>
      <c r="J4133" s="28">
        <f>IFERROR(VLOOKUP(TEXT(B4133,"0"),STOCK!A:H,7,0),1)</f>
        <v>1</v>
      </c>
    </row>
    <row r="4134" spans="7:10" ht="35.450000000000003" hidden="1" customHeight="1">
      <c r="G4134" s="113"/>
      <c r="J4134" s="28">
        <f>IFERROR(VLOOKUP(TEXT(B4134,"0"),STOCK!A:H,7,0),1)</f>
        <v>1</v>
      </c>
    </row>
    <row r="4135" spans="7:10" ht="35.450000000000003" hidden="1" customHeight="1">
      <c r="G4135" s="113"/>
      <c r="J4135" s="28">
        <f>IFERROR(VLOOKUP(TEXT(B4135,"0"),STOCK!A:H,7,0),1)</f>
        <v>1</v>
      </c>
    </row>
    <row r="4136" spans="7:10" ht="35.450000000000003" hidden="1" customHeight="1">
      <c r="G4136" s="113"/>
      <c r="J4136" s="28">
        <f>IFERROR(VLOOKUP(TEXT(B4136,"0"),STOCK!A:H,7,0),1)</f>
        <v>1</v>
      </c>
    </row>
    <row r="4137" spans="7:10" ht="35.450000000000003" hidden="1" customHeight="1">
      <c r="G4137" s="113"/>
      <c r="J4137" s="28">
        <f>IFERROR(VLOOKUP(TEXT(B4137,"0"),STOCK!A:H,7,0),1)</f>
        <v>1</v>
      </c>
    </row>
    <row r="4138" spans="7:10" ht="35.450000000000003" hidden="1" customHeight="1">
      <c r="G4138" s="113"/>
      <c r="J4138" s="28">
        <f>IFERROR(VLOOKUP(TEXT(B4138,"0"),STOCK!A:H,7,0),1)</f>
        <v>1</v>
      </c>
    </row>
    <row r="4139" spans="7:10" ht="35.450000000000003" hidden="1" customHeight="1">
      <c r="G4139" s="113"/>
      <c r="J4139" s="28">
        <f>IFERROR(VLOOKUP(TEXT(B4139,"0"),STOCK!A:H,7,0),1)</f>
        <v>1</v>
      </c>
    </row>
    <row r="4140" spans="7:10" ht="35.450000000000003" hidden="1" customHeight="1">
      <c r="G4140" s="113"/>
      <c r="J4140" s="28">
        <f>IFERROR(VLOOKUP(TEXT(B4140,"0"),STOCK!A:H,7,0),1)</f>
        <v>1</v>
      </c>
    </row>
    <row r="4141" spans="7:10" ht="35.450000000000003" hidden="1" customHeight="1">
      <c r="G4141" s="113"/>
      <c r="J4141" s="28">
        <f>IFERROR(VLOOKUP(TEXT(B4141,"0"),STOCK!A:H,7,0),1)</f>
        <v>1</v>
      </c>
    </row>
    <row r="4142" spans="7:10" ht="35.450000000000003" hidden="1" customHeight="1">
      <c r="G4142" s="113"/>
      <c r="J4142" s="28">
        <f>IFERROR(VLOOKUP(TEXT(B4142,"0"),STOCK!A:H,7,0),1)</f>
        <v>1</v>
      </c>
    </row>
    <row r="4143" spans="7:10" ht="35.450000000000003" hidden="1" customHeight="1">
      <c r="G4143" s="113"/>
      <c r="J4143" s="28">
        <f>IFERROR(VLOOKUP(TEXT(B4143,"0"),STOCK!A:H,7,0),1)</f>
        <v>1</v>
      </c>
    </row>
    <row r="4144" spans="7:10" ht="35.450000000000003" hidden="1" customHeight="1">
      <c r="G4144" s="113"/>
      <c r="J4144" s="28">
        <f>IFERROR(VLOOKUP(TEXT(B4144,"0"),STOCK!A:H,7,0),1)</f>
        <v>1</v>
      </c>
    </row>
    <row r="4145" spans="7:10" ht="35.450000000000003" hidden="1" customHeight="1">
      <c r="G4145" s="113"/>
      <c r="J4145" s="28">
        <f>IFERROR(VLOOKUP(TEXT(B4145,"0"),STOCK!A:H,7,0),1)</f>
        <v>1</v>
      </c>
    </row>
    <row r="4146" spans="7:10" ht="35.450000000000003" hidden="1" customHeight="1">
      <c r="G4146" s="113"/>
      <c r="J4146" s="28">
        <f>IFERROR(VLOOKUP(TEXT(B4146,"0"),STOCK!A:H,7,0),1)</f>
        <v>1</v>
      </c>
    </row>
    <row r="4147" spans="7:10" ht="35.450000000000003" hidden="1" customHeight="1">
      <c r="G4147" s="113"/>
      <c r="J4147" s="28">
        <f>IFERROR(VLOOKUP(TEXT(B4147,"0"),STOCK!A:H,7,0),1)</f>
        <v>1</v>
      </c>
    </row>
    <row r="4148" spans="7:10" ht="35.450000000000003" hidden="1" customHeight="1">
      <c r="G4148" s="113"/>
      <c r="J4148" s="28">
        <f>IFERROR(VLOOKUP(TEXT(B4148,"0"),STOCK!A:H,7,0),1)</f>
        <v>1</v>
      </c>
    </row>
    <row r="4149" spans="7:10" ht="35.450000000000003" hidden="1" customHeight="1">
      <c r="G4149" s="113"/>
      <c r="J4149" s="28">
        <f>IFERROR(VLOOKUP(TEXT(B4149,"0"),STOCK!A:H,7,0),1)</f>
        <v>1</v>
      </c>
    </row>
    <row r="4150" spans="7:10" ht="35.450000000000003" hidden="1" customHeight="1">
      <c r="G4150" s="113"/>
      <c r="J4150" s="28">
        <f>IFERROR(VLOOKUP(TEXT(B4150,"0"),STOCK!A:H,7,0),1)</f>
        <v>1</v>
      </c>
    </row>
    <row r="4151" spans="7:10" ht="35.450000000000003" hidden="1" customHeight="1">
      <c r="G4151" s="113"/>
      <c r="J4151" s="28">
        <f>IFERROR(VLOOKUP(TEXT(B4151,"0"),STOCK!A:H,7,0),1)</f>
        <v>1</v>
      </c>
    </row>
    <row r="4152" spans="7:10" ht="35.450000000000003" hidden="1" customHeight="1">
      <c r="G4152" s="113"/>
      <c r="J4152" s="28">
        <f>IFERROR(VLOOKUP(TEXT(B4152,"0"),STOCK!A:H,7,0),1)</f>
        <v>1</v>
      </c>
    </row>
    <row r="4153" spans="7:10" ht="35.450000000000003" hidden="1" customHeight="1">
      <c r="G4153" s="113"/>
      <c r="J4153" s="28">
        <f>IFERROR(VLOOKUP(TEXT(B4153,"0"),STOCK!A:H,7,0),1)</f>
        <v>1</v>
      </c>
    </row>
    <row r="4154" spans="7:10" ht="35.450000000000003" hidden="1" customHeight="1">
      <c r="G4154" s="113"/>
      <c r="J4154" s="28">
        <f>IFERROR(VLOOKUP(TEXT(B4154,"0"),STOCK!A:H,7,0),1)</f>
        <v>1</v>
      </c>
    </row>
    <row r="4155" spans="7:10" ht="35.450000000000003" hidden="1" customHeight="1">
      <c r="G4155" s="113"/>
      <c r="J4155" s="28">
        <f>IFERROR(VLOOKUP(TEXT(B4155,"0"),STOCK!A:H,7,0),1)</f>
        <v>1</v>
      </c>
    </row>
    <row r="4156" spans="7:10" ht="35.450000000000003" hidden="1" customHeight="1">
      <c r="G4156" s="113"/>
      <c r="J4156" s="28">
        <f>IFERROR(VLOOKUP(TEXT(B4156,"0"),STOCK!A:H,7,0),1)</f>
        <v>1</v>
      </c>
    </row>
    <row r="4157" spans="7:10" ht="35.450000000000003" hidden="1" customHeight="1">
      <c r="G4157" s="113"/>
      <c r="J4157" s="28">
        <f>IFERROR(VLOOKUP(TEXT(B4157,"0"),STOCK!A:H,7,0),1)</f>
        <v>1</v>
      </c>
    </row>
    <row r="4158" spans="7:10" ht="35.450000000000003" hidden="1" customHeight="1">
      <c r="G4158" s="113"/>
      <c r="J4158" s="28">
        <f>IFERROR(VLOOKUP(TEXT(B4158,"0"),STOCK!A:H,7,0),1)</f>
        <v>1</v>
      </c>
    </row>
    <row r="4159" spans="7:10" ht="35.450000000000003" hidden="1" customHeight="1">
      <c r="G4159" s="113"/>
      <c r="J4159" s="28">
        <f>IFERROR(VLOOKUP(TEXT(B4159,"0"),STOCK!A:H,7,0),1)</f>
        <v>1</v>
      </c>
    </row>
    <row r="4160" spans="7:10" ht="35.450000000000003" hidden="1" customHeight="1">
      <c r="G4160" s="113"/>
      <c r="J4160" s="28">
        <f>IFERROR(VLOOKUP(TEXT(B4160,"0"),STOCK!A:H,7,0),1)</f>
        <v>1</v>
      </c>
    </row>
    <row r="4161" spans="7:10" ht="35.450000000000003" hidden="1" customHeight="1">
      <c r="G4161" s="113"/>
      <c r="J4161" s="28">
        <f>IFERROR(VLOOKUP(TEXT(B4161,"0"),STOCK!A:H,7,0),1)</f>
        <v>1</v>
      </c>
    </row>
    <row r="4162" spans="7:10" ht="35.450000000000003" hidden="1" customHeight="1">
      <c r="G4162" s="113"/>
      <c r="J4162" s="28">
        <f>IFERROR(VLOOKUP(TEXT(B4162,"0"),STOCK!A:H,7,0),1)</f>
        <v>1</v>
      </c>
    </row>
    <row r="4163" spans="7:10" ht="35.450000000000003" hidden="1" customHeight="1">
      <c r="G4163" s="113"/>
      <c r="J4163" s="28">
        <f>IFERROR(VLOOKUP(TEXT(B4163,"0"),STOCK!A:H,7,0),1)</f>
        <v>1</v>
      </c>
    </row>
    <row r="4164" spans="7:10" ht="35.450000000000003" hidden="1" customHeight="1">
      <c r="G4164" s="113"/>
      <c r="J4164" s="28">
        <f>IFERROR(VLOOKUP(TEXT(B4164,"0"),STOCK!A:H,7,0),1)</f>
        <v>1</v>
      </c>
    </row>
    <row r="4165" spans="7:10" ht="35.450000000000003" hidden="1" customHeight="1">
      <c r="G4165" s="113"/>
      <c r="J4165" s="28">
        <f>IFERROR(VLOOKUP(TEXT(B4165,"0"),STOCK!A:H,7,0),1)</f>
        <v>1</v>
      </c>
    </row>
    <row r="4166" spans="7:10" ht="35.450000000000003" hidden="1" customHeight="1">
      <c r="G4166" s="113"/>
      <c r="J4166" s="28">
        <f>IFERROR(VLOOKUP(TEXT(B4166,"0"),STOCK!A:H,7,0),1)</f>
        <v>1</v>
      </c>
    </row>
    <row r="4167" spans="7:10" ht="35.450000000000003" hidden="1" customHeight="1">
      <c r="G4167" s="113"/>
      <c r="J4167" s="28">
        <f>IFERROR(VLOOKUP(TEXT(B4167,"0"),STOCK!A:H,7,0),1)</f>
        <v>1</v>
      </c>
    </row>
    <row r="4168" spans="7:10" ht="35.450000000000003" hidden="1" customHeight="1">
      <c r="G4168" s="113"/>
      <c r="J4168" s="28">
        <f>IFERROR(VLOOKUP(TEXT(B4168,"0"),STOCK!A:H,7,0),1)</f>
        <v>1</v>
      </c>
    </row>
    <row r="4169" spans="7:10" ht="35.450000000000003" hidden="1" customHeight="1">
      <c r="G4169" s="113"/>
      <c r="J4169" s="28">
        <f>IFERROR(VLOOKUP(TEXT(B4169,"0"),STOCK!A:H,7,0),1)</f>
        <v>1</v>
      </c>
    </row>
    <row r="4170" spans="7:10" ht="35.450000000000003" hidden="1" customHeight="1">
      <c r="G4170" s="113"/>
      <c r="J4170" s="28">
        <f>IFERROR(VLOOKUP(TEXT(B4170,"0"),STOCK!A:H,7,0),1)</f>
        <v>1</v>
      </c>
    </row>
    <row r="4171" spans="7:10" ht="35.450000000000003" hidden="1" customHeight="1">
      <c r="G4171" s="113"/>
      <c r="J4171" s="28">
        <f>IFERROR(VLOOKUP(TEXT(B4171,"0"),STOCK!A:H,7,0),1)</f>
        <v>1</v>
      </c>
    </row>
    <row r="4172" spans="7:10" ht="35.450000000000003" hidden="1" customHeight="1">
      <c r="G4172" s="113"/>
      <c r="J4172" s="28">
        <f>IFERROR(VLOOKUP(TEXT(B4172,"0"),STOCK!A:H,7,0),1)</f>
        <v>1</v>
      </c>
    </row>
    <row r="4173" spans="7:10" ht="35.450000000000003" hidden="1" customHeight="1">
      <c r="G4173" s="113"/>
      <c r="J4173" s="28">
        <f>IFERROR(VLOOKUP(TEXT(B4173,"0"),STOCK!A:H,7,0),1)</f>
        <v>1</v>
      </c>
    </row>
    <row r="4174" spans="7:10" ht="35.450000000000003" hidden="1" customHeight="1">
      <c r="G4174" s="113"/>
      <c r="J4174" s="28">
        <f>IFERROR(VLOOKUP(TEXT(B4174,"0"),STOCK!A:H,7,0),1)</f>
        <v>1</v>
      </c>
    </row>
    <row r="4175" spans="7:10" ht="35.450000000000003" hidden="1" customHeight="1">
      <c r="G4175" s="113"/>
      <c r="J4175" s="28">
        <f>IFERROR(VLOOKUP(TEXT(B4175,"0"),STOCK!A:H,7,0),1)</f>
        <v>1</v>
      </c>
    </row>
    <row r="4176" spans="7:10" ht="35.450000000000003" hidden="1" customHeight="1">
      <c r="G4176" s="113"/>
      <c r="J4176" s="28">
        <f>IFERROR(VLOOKUP(TEXT(B4176,"0"),STOCK!A:H,7,0),1)</f>
        <v>1</v>
      </c>
    </row>
    <row r="4177" spans="7:10" ht="35.450000000000003" hidden="1" customHeight="1">
      <c r="G4177" s="113"/>
      <c r="J4177" s="28">
        <f>IFERROR(VLOOKUP(TEXT(B4177,"0"),STOCK!A:H,7,0),1)</f>
        <v>1</v>
      </c>
    </row>
    <row r="4178" spans="7:10" ht="35.450000000000003" hidden="1" customHeight="1">
      <c r="G4178" s="113"/>
      <c r="J4178" s="28">
        <f>IFERROR(VLOOKUP(TEXT(B4178,"0"),STOCK!A:H,7,0),1)</f>
        <v>1</v>
      </c>
    </row>
    <row r="4179" spans="7:10" ht="35.450000000000003" hidden="1" customHeight="1">
      <c r="G4179" s="113"/>
      <c r="J4179" s="28">
        <f>IFERROR(VLOOKUP(TEXT(B4179,"0"),STOCK!A:H,7,0),1)</f>
        <v>1</v>
      </c>
    </row>
    <row r="4180" spans="7:10" ht="35.450000000000003" hidden="1" customHeight="1">
      <c r="G4180" s="113"/>
      <c r="J4180" s="28">
        <f>IFERROR(VLOOKUP(TEXT(B4180,"0"),STOCK!A:H,7,0),1)</f>
        <v>1</v>
      </c>
    </row>
    <row r="4181" spans="7:10" ht="35.450000000000003" hidden="1" customHeight="1">
      <c r="G4181" s="113"/>
      <c r="J4181" s="28">
        <f>IFERROR(VLOOKUP(TEXT(B4181,"0"),STOCK!A:H,7,0),1)</f>
        <v>1</v>
      </c>
    </row>
    <row r="4182" spans="7:10" ht="35.450000000000003" hidden="1" customHeight="1">
      <c r="G4182" s="113"/>
      <c r="J4182" s="28">
        <f>IFERROR(VLOOKUP(TEXT(B4182,"0"),STOCK!A:H,7,0),1)</f>
        <v>1</v>
      </c>
    </row>
    <row r="4183" spans="7:10" ht="35.450000000000003" hidden="1" customHeight="1">
      <c r="G4183" s="113"/>
      <c r="J4183" s="28">
        <f>IFERROR(VLOOKUP(TEXT(B4183,"0"),STOCK!A:H,7,0),1)</f>
        <v>1</v>
      </c>
    </row>
    <row r="4184" spans="7:10" ht="35.450000000000003" hidden="1" customHeight="1">
      <c r="G4184" s="113"/>
      <c r="J4184" s="28">
        <f>IFERROR(VLOOKUP(TEXT(B4184,"0"),STOCK!A:H,7,0),1)</f>
        <v>1</v>
      </c>
    </row>
    <row r="4185" spans="7:10" ht="35.450000000000003" hidden="1" customHeight="1">
      <c r="G4185" s="113"/>
      <c r="J4185" s="28">
        <f>IFERROR(VLOOKUP(TEXT(B4185,"0"),STOCK!A:H,7,0),1)</f>
        <v>1</v>
      </c>
    </row>
    <row r="4186" spans="7:10" ht="35.450000000000003" hidden="1" customHeight="1">
      <c r="G4186" s="113"/>
      <c r="J4186" s="28">
        <f>IFERROR(VLOOKUP(TEXT(B4186,"0"),STOCK!A:H,7,0),1)</f>
        <v>1</v>
      </c>
    </row>
    <row r="4187" spans="7:10" ht="35.450000000000003" hidden="1" customHeight="1">
      <c r="G4187" s="113"/>
      <c r="J4187" s="28">
        <f>IFERROR(VLOOKUP(TEXT(B4187,"0"),STOCK!A:H,7,0),1)</f>
        <v>1</v>
      </c>
    </row>
    <row r="4188" spans="7:10" ht="35.450000000000003" hidden="1" customHeight="1">
      <c r="G4188" s="113"/>
      <c r="J4188" s="28">
        <f>IFERROR(VLOOKUP(TEXT(B4188,"0"),STOCK!A:H,7,0),1)</f>
        <v>1</v>
      </c>
    </row>
    <row r="4189" spans="7:10" ht="35.450000000000003" hidden="1" customHeight="1">
      <c r="G4189" s="113"/>
      <c r="J4189" s="28">
        <f>IFERROR(VLOOKUP(TEXT(B4189,"0"),STOCK!A:H,7,0),1)</f>
        <v>1</v>
      </c>
    </row>
    <row r="4190" spans="7:10" ht="35.450000000000003" hidden="1" customHeight="1">
      <c r="G4190" s="113"/>
      <c r="J4190" s="28">
        <f>IFERROR(VLOOKUP(TEXT(B4190,"0"),STOCK!A:H,7,0),1)</f>
        <v>1</v>
      </c>
    </row>
    <row r="4191" spans="7:10" ht="35.450000000000003" hidden="1" customHeight="1">
      <c r="G4191" s="113"/>
      <c r="J4191" s="28">
        <f>IFERROR(VLOOKUP(TEXT(B4191,"0"),STOCK!A:H,7,0),1)</f>
        <v>1</v>
      </c>
    </row>
    <row r="4192" spans="7:10" ht="35.450000000000003" hidden="1" customHeight="1">
      <c r="G4192" s="113"/>
      <c r="J4192" s="28">
        <f>IFERROR(VLOOKUP(TEXT(B4192,"0"),STOCK!A:H,7,0),1)</f>
        <v>1</v>
      </c>
    </row>
    <row r="4193" spans="7:10" ht="35.450000000000003" hidden="1" customHeight="1">
      <c r="G4193" s="113"/>
      <c r="J4193" s="28">
        <f>IFERROR(VLOOKUP(TEXT(B4193,"0"),STOCK!A:H,7,0),1)</f>
        <v>1</v>
      </c>
    </row>
    <row r="4194" spans="7:10" ht="35.450000000000003" hidden="1" customHeight="1">
      <c r="G4194" s="113"/>
      <c r="J4194" s="28">
        <f>IFERROR(VLOOKUP(TEXT(B4194,"0"),STOCK!A:H,7,0),1)</f>
        <v>1</v>
      </c>
    </row>
    <row r="4195" spans="7:10" ht="35.450000000000003" hidden="1" customHeight="1">
      <c r="G4195" s="113"/>
      <c r="J4195" s="28">
        <f>IFERROR(VLOOKUP(TEXT(B4195,"0"),STOCK!A:H,7,0),1)</f>
        <v>1</v>
      </c>
    </row>
    <row r="4196" spans="7:10" ht="35.450000000000003" hidden="1" customHeight="1">
      <c r="G4196" s="113"/>
      <c r="J4196" s="28">
        <f>IFERROR(VLOOKUP(TEXT(B4196,"0"),STOCK!A:H,7,0),1)</f>
        <v>1</v>
      </c>
    </row>
    <row r="4197" spans="7:10" ht="35.450000000000003" hidden="1" customHeight="1">
      <c r="G4197" s="113"/>
      <c r="J4197" s="28">
        <f>IFERROR(VLOOKUP(TEXT(B4197,"0"),STOCK!A:H,7,0),1)</f>
        <v>1</v>
      </c>
    </row>
    <row r="4198" spans="7:10" ht="35.450000000000003" hidden="1" customHeight="1">
      <c r="G4198" s="113"/>
      <c r="J4198" s="28">
        <f>IFERROR(VLOOKUP(TEXT(B4198,"0"),STOCK!A:H,7,0),1)</f>
        <v>1</v>
      </c>
    </row>
    <row r="4199" spans="7:10" ht="35.450000000000003" hidden="1" customHeight="1">
      <c r="G4199" s="113"/>
      <c r="J4199" s="28">
        <f>IFERROR(VLOOKUP(TEXT(B4199,"0"),STOCK!A:H,7,0),1)</f>
        <v>1</v>
      </c>
    </row>
    <row r="4200" spans="7:10" ht="35.450000000000003" hidden="1" customHeight="1">
      <c r="G4200" s="113"/>
      <c r="J4200" s="28">
        <f>IFERROR(VLOOKUP(TEXT(B4200,"0"),STOCK!A:H,7,0),1)</f>
        <v>1</v>
      </c>
    </row>
    <row r="4201" spans="7:10" ht="35.450000000000003" hidden="1" customHeight="1">
      <c r="G4201" s="113"/>
      <c r="J4201" s="28">
        <f>IFERROR(VLOOKUP(TEXT(B4201,"0"),STOCK!A:H,7,0),1)</f>
        <v>1</v>
      </c>
    </row>
    <row r="4202" spans="7:10" ht="35.450000000000003" hidden="1" customHeight="1">
      <c r="G4202" s="113"/>
      <c r="J4202" s="28">
        <f>IFERROR(VLOOKUP(TEXT(B4202,"0"),STOCK!A:H,7,0),1)</f>
        <v>1</v>
      </c>
    </row>
    <row r="4203" spans="7:10" ht="35.450000000000003" hidden="1" customHeight="1">
      <c r="G4203" s="113"/>
      <c r="J4203" s="28">
        <f>IFERROR(VLOOKUP(TEXT(B4203,"0"),STOCK!A:H,7,0),1)</f>
        <v>1</v>
      </c>
    </row>
    <row r="4204" spans="7:10" ht="35.450000000000003" hidden="1" customHeight="1">
      <c r="G4204" s="113"/>
      <c r="J4204" s="28">
        <f>IFERROR(VLOOKUP(TEXT(B4204,"0"),STOCK!A:H,7,0),1)</f>
        <v>1</v>
      </c>
    </row>
    <row r="4205" spans="7:10" ht="35.450000000000003" hidden="1" customHeight="1">
      <c r="G4205" s="113"/>
      <c r="J4205" s="28">
        <f>IFERROR(VLOOKUP(TEXT(B4205,"0"),STOCK!A:H,7,0),1)</f>
        <v>1</v>
      </c>
    </row>
    <row r="4206" spans="7:10" ht="35.450000000000003" hidden="1" customHeight="1">
      <c r="G4206" s="113"/>
      <c r="J4206" s="28">
        <f>IFERROR(VLOOKUP(TEXT(B4206,"0"),STOCK!A:H,7,0),1)</f>
        <v>1</v>
      </c>
    </row>
    <row r="4207" spans="7:10" ht="35.450000000000003" hidden="1" customHeight="1">
      <c r="G4207" s="113"/>
      <c r="J4207" s="28">
        <f>IFERROR(VLOOKUP(TEXT(B4207,"0"),STOCK!A:H,7,0),1)</f>
        <v>1</v>
      </c>
    </row>
    <row r="4208" spans="7:10" ht="35.450000000000003" hidden="1" customHeight="1">
      <c r="G4208" s="113"/>
      <c r="J4208" s="28">
        <f>IFERROR(VLOOKUP(TEXT(B4208,"0"),STOCK!A:H,7,0),1)</f>
        <v>1</v>
      </c>
    </row>
    <row r="4209" spans="7:10" ht="35.450000000000003" hidden="1" customHeight="1">
      <c r="G4209" s="113"/>
      <c r="J4209" s="28">
        <f>IFERROR(VLOOKUP(TEXT(B4209,"0"),STOCK!A:H,7,0),1)</f>
        <v>1</v>
      </c>
    </row>
    <row r="4210" spans="7:10" ht="35.450000000000003" hidden="1" customHeight="1">
      <c r="G4210" s="113"/>
      <c r="J4210" s="28">
        <f>IFERROR(VLOOKUP(TEXT(B4210,"0"),STOCK!A:H,7,0),1)</f>
        <v>1</v>
      </c>
    </row>
    <row r="4211" spans="7:10" ht="35.450000000000003" hidden="1" customHeight="1">
      <c r="G4211" s="113"/>
      <c r="J4211" s="28">
        <f>IFERROR(VLOOKUP(TEXT(B4211,"0"),STOCK!A:H,7,0),1)</f>
        <v>1</v>
      </c>
    </row>
    <row r="4212" spans="7:10" ht="35.450000000000003" hidden="1" customHeight="1">
      <c r="G4212" s="113"/>
      <c r="J4212" s="28">
        <f>IFERROR(VLOOKUP(TEXT(B4212,"0"),STOCK!A:H,7,0),1)</f>
        <v>1</v>
      </c>
    </row>
    <row r="4213" spans="7:10" ht="35.450000000000003" hidden="1" customHeight="1">
      <c r="G4213" s="113"/>
      <c r="J4213" s="28">
        <f>IFERROR(VLOOKUP(TEXT(B4213,"0"),STOCK!A:H,7,0),1)</f>
        <v>1</v>
      </c>
    </row>
    <row r="4214" spans="7:10" ht="35.450000000000003" hidden="1" customHeight="1">
      <c r="G4214" s="113"/>
      <c r="J4214" s="28">
        <f>IFERROR(VLOOKUP(TEXT(B4214,"0"),STOCK!A:H,7,0),1)</f>
        <v>1</v>
      </c>
    </row>
    <row r="4215" spans="7:10" ht="35.450000000000003" hidden="1" customHeight="1">
      <c r="G4215" s="113"/>
      <c r="J4215" s="28">
        <f>IFERROR(VLOOKUP(TEXT(B4215,"0"),STOCK!A:H,7,0),1)</f>
        <v>1</v>
      </c>
    </row>
    <row r="4216" spans="7:10" ht="35.450000000000003" hidden="1" customHeight="1">
      <c r="G4216" s="113"/>
      <c r="J4216" s="28">
        <f>IFERROR(VLOOKUP(TEXT(B4216,"0"),STOCK!A:H,7,0),1)</f>
        <v>1</v>
      </c>
    </row>
    <row r="4217" spans="7:10" ht="35.450000000000003" hidden="1" customHeight="1">
      <c r="G4217" s="113"/>
      <c r="J4217" s="28">
        <f>IFERROR(VLOOKUP(TEXT(B4217,"0"),STOCK!A:H,7,0),1)</f>
        <v>1</v>
      </c>
    </row>
    <row r="4218" spans="7:10" ht="35.450000000000003" hidden="1" customHeight="1">
      <c r="G4218" s="113"/>
      <c r="J4218" s="28">
        <f>IFERROR(VLOOKUP(TEXT(B4218,"0"),STOCK!A:H,7,0),1)</f>
        <v>1</v>
      </c>
    </row>
    <row r="4219" spans="7:10" ht="35.450000000000003" hidden="1" customHeight="1">
      <c r="G4219" s="113"/>
      <c r="J4219" s="28">
        <f>IFERROR(VLOOKUP(TEXT(B4219,"0"),STOCK!A:H,7,0),1)</f>
        <v>1</v>
      </c>
    </row>
    <row r="4220" spans="7:10" ht="35.450000000000003" hidden="1" customHeight="1">
      <c r="G4220" s="113"/>
      <c r="J4220" s="28">
        <f>IFERROR(VLOOKUP(TEXT(B4220,"0"),STOCK!A:H,7,0),1)</f>
        <v>1</v>
      </c>
    </row>
    <row r="4221" spans="7:10" ht="35.450000000000003" hidden="1" customHeight="1">
      <c r="G4221" s="113"/>
      <c r="J4221" s="28">
        <f>IFERROR(VLOOKUP(TEXT(B4221,"0"),STOCK!A:H,7,0),1)</f>
        <v>1</v>
      </c>
    </row>
    <row r="4222" spans="7:10" ht="35.450000000000003" hidden="1" customHeight="1">
      <c r="G4222" s="113"/>
      <c r="J4222" s="28">
        <f>IFERROR(VLOOKUP(TEXT(B4222,"0"),STOCK!A:H,7,0),1)</f>
        <v>1</v>
      </c>
    </row>
    <row r="4223" spans="7:10" ht="35.450000000000003" hidden="1" customHeight="1">
      <c r="G4223" s="113"/>
      <c r="J4223" s="28">
        <f>IFERROR(VLOOKUP(TEXT(B4223,"0"),STOCK!A:H,7,0),1)</f>
        <v>1</v>
      </c>
    </row>
    <row r="4224" spans="7:10" ht="35.450000000000003" hidden="1" customHeight="1">
      <c r="G4224" s="113"/>
      <c r="J4224" s="28">
        <f>IFERROR(VLOOKUP(TEXT(B4224,"0"),STOCK!A:H,7,0),1)</f>
        <v>1</v>
      </c>
    </row>
    <row r="4225" spans="7:10" ht="35.450000000000003" hidden="1" customHeight="1">
      <c r="G4225" s="113"/>
      <c r="J4225" s="28">
        <f>IFERROR(VLOOKUP(TEXT(B4225,"0"),STOCK!A:H,7,0),1)</f>
        <v>1</v>
      </c>
    </row>
    <row r="4226" spans="7:10" ht="35.450000000000003" hidden="1" customHeight="1">
      <c r="G4226" s="113"/>
      <c r="J4226" s="28">
        <f>IFERROR(VLOOKUP(TEXT(B4226,"0"),STOCK!A:H,7,0),1)</f>
        <v>1</v>
      </c>
    </row>
    <row r="4227" spans="7:10" ht="35.450000000000003" hidden="1" customHeight="1">
      <c r="G4227" s="113"/>
      <c r="J4227" s="28">
        <f>IFERROR(VLOOKUP(TEXT(B4227,"0"),STOCK!A:H,7,0),1)</f>
        <v>1</v>
      </c>
    </row>
    <row r="4228" spans="7:10" ht="35.450000000000003" hidden="1" customHeight="1">
      <c r="G4228" s="113"/>
      <c r="J4228" s="28">
        <f>IFERROR(VLOOKUP(TEXT(B4228,"0"),STOCK!A:H,7,0),1)</f>
        <v>1</v>
      </c>
    </row>
    <row r="4229" spans="7:10" ht="35.450000000000003" hidden="1" customHeight="1">
      <c r="G4229" s="113"/>
      <c r="J4229" s="28">
        <f>IFERROR(VLOOKUP(TEXT(B4229,"0"),STOCK!A:H,7,0),1)</f>
        <v>1</v>
      </c>
    </row>
    <row r="4230" spans="7:10" ht="35.450000000000003" hidden="1" customHeight="1">
      <c r="G4230" s="113"/>
      <c r="J4230" s="28">
        <f>IFERROR(VLOOKUP(TEXT(B4230,"0"),STOCK!A:H,7,0),1)</f>
        <v>1</v>
      </c>
    </row>
    <row r="4231" spans="7:10" ht="35.450000000000003" hidden="1" customHeight="1">
      <c r="G4231" s="113"/>
      <c r="J4231" s="28">
        <f>IFERROR(VLOOKUP(TEXT(B4231,"0"),STOCK!A:H,7,0),1)</f>
        <v>1</v>
      </c>
    </row>
    <row r="4232" spans="7:10" ht="35.450000000000003" hidden="1" customHeight="1">
      <c r="G4232" s="113"/>
      <c r="J4232" s="28">
        <f>IFERROR(VLOOKUP(TEXT(B4232,"0"),STOCK!A:H,7,0),1)</f>
        <v>1</v>
      </c>
    </row>
    <row r="4233" spans="7:10" ht="35.450000000000003" hidden="1" customHeight="1">
      <c r="G4233" s="113"/>
      <c r="J4233" s="28">
        <f>IFERROR(VLOOKUP(TEXT(B4233,"0"),STOCK!A:H,7,0),1)</f>
        <v>1</v>
      </c>
    </row>
    <row r="4234" spans="7:10" ht="35.450000000000003" hidden="1" customHeight="1">
      <c r="G4234" s="113"/>
      <c r="J4234" s="28">
        <f>IFERROR(VLOOKUP(TEXT(B4234,"0"),STOCK!A:H,7,0),1)</f>
        <v>1</v>
      </c>
    </row>
    <row r="4235" spans="7:10" ht="35.450000000000003" hidden="1" customHeight="1">
      <c r="G4235" s="113"/>
      <c r="J4235" s="28">
        <f>IFERROR(VLOOKUP(TEXT(B4235,"0"),STOCK!A:H,7,0),1)</f>
        <v>1</v>
      </c>
    </row>
    <row r="4236" spans="7:10" ht="35.450000000000003" hidden="1" customHeight="1">
      <c r="G4236" s="113"/>
      <c r="J4236" s="28">
        <f>IFERROR(VLOOKUP(TEXT(B4236,"0"),STOCK!A:H,7,0),1)</f>
        <v>1</v>
      </c>
    </row>
    <row r="4237" spans="7:10" ht="35.450000000000003" hidden="1" customHeight="1">
      <c r="G4237" s="113"/>
      <c r="J4237" s="28">
        <f>IFERROR(VLOOKUP(TEXT(B4237,"0"),STOCK!A:H,7,0),1)</f>
        <v>1</v>
      </c>
    </row>
    <row r="4238" spans="7:10" ht="35.450000000000003" hidden="1" customHeight="1">
      <c r="G4238" s="113"/>
      <c r="J4238" s="28">
        <f>IFERROR(VLOOKUP(TEXT(B4238,"0"),STOCK!A:H,7,0),1)</f>
        <v>1</v>
      </c>
    </row>
    <row r="4239" spans="7:10" ht="35.450000000000003" hidden="1" customHeight="1">
      <c r="G4239" s="113"/>
      <c r="J4239" s="28">
        <f>IFERROR(VLOOKUP(TEXT(B4239,"0"),STOCK!A:H,7,0),1)</f>
        <v>1</v>
      </c>
    </row>
    <row r="4240" spans="7:10" ht="35.450000000000003" hidden="1" customHeight="1">
      <c r="G4240" s="113"/>
      <c r="J4240" s="28">
        <f>IFERROR(VLOOKUP(TEXT(B4240,"0"),STOCK!A:H,7,0),1)</f>
        <v>1</v>
      </c>
    </row>
    <row r="4241" spans="7:10" ht="35.450000000000003" hidden="1" customHeight="1">
      <c r="G4241" s="113"/>
      <c r="J4241" s="28">
        <f>IFERROR(VLOOKUP(TEXT(B4241,"0"),STOCK!A:H,7,0),1)</f>
        <v>1</v>
      </c>
    </row>
    <row r="4242" spans="7:10" ht="35.450000000000003" hidden="1" customHeight="1">
      <c r="G4242" s="113"/>
      <c r="J4242" s="28">
        <f>IFERROR(VLOOKUP(TEXT(B4242,"0"),STOCK!A:H,7,0),1)</f>
        <v>1</v>
      </c>
    </row>
    <row r="4243" spans="7:10" ht="35.450000000000003" hidden="1" customHeight="1">
      <c r="G4243" s="113"/>
      <c r="J4243" s="28">
        <f>IFERROR(VLOOKUP(TEXT(B4243,"0"),STOCK!A:H,7,0),1)</f>
        <v>1</v>
      </c>
    </row>
    <row r="4244" spans="7:10" ht="35.450000000000003" hidden="1" customHeight="1">
      <c r="G4244" s="113"/>
      <c r="J4244" s="28">
        <f>IFERROR(VLOOKUP(TEXT(B4244,"0"),STOCK!A:H,7,0),1)</f>
        <v>1</v>
      </c>
    </row>
    <row r="4245" spans="7:10" ht="35.450000000000003" hidden="1" customHeight="1">
      <c r="G4245" s="113"/>
      <c r="J4245" s="28">
        <f>IFERROR(VLOOKUP(TEXT(B4245,"0"),STOCK!A:H,7,0),1)</f>
        <v>1</v>
      </c>
    </row>
    <row r="4246" spans="7:10" ht="35.450000000000003" hidden="1" customHeight="1">
      <c r="G4246" s="113"/>
      <c r="J4246" s="28">
        <f>IFERROR(VLOOKUP(TEXT(B4246,"0"),STOCK!A:H,7,0),1)</f>
        <v>1</v>
      </c>
    </row>
    <row r="4247" spans="7:10" ht="35.450000000000003" hidden="1" customHeight="1">
      <c r="G4247" s="113"/>
      <c r="J4247" s="28">
        <f>IFERROR(VLOOKUP(TEXT(B4247,"0"),STOCK!A:H,7,0),1)</f>
        <v>1</v>
      </c>
    </row>
    <row r="4248" spans="7:10" ht="35.450000000000003" hidden="1" customHeight="1">
      <c r="G4248" s="113"/>
      <c r="J4248" s="28">
        <f>IFERROR(VLOOKUP(TEXT(B4248,"0"),STOCK!A:H,7,0),1)</f>
        <v>1</v>
      </c>
    </row>
    <row r="4249" spans="7:10" ht="35.450000000000003" hidden="1" customHeight="1">
      <c r="G4249" s="113"/>
      <c r="J4249" s="28">
        <f>IFERROR(VLOOKUP(TEXT(B4249,"0"),STOCK!A:H,7,0),1)</f>
        <v>1</v>
      </c>
    </row>
    <row r="4250" spans="7:10" ht="35.450000000000003" hidden="1" customHeight="1">
      <c r="G4250" s="113"/>
      <c r="J4250" s="28">
        <f>IFERROR(VLOOKUP(TEXT(B4250,"0"),STOCK!A:H,7,0),1)</f>
        <v>1</v>
      </c>
    </row>
    <row r="4251" spans="7:10" ht="35.450000000000003" hidden="1" customHeight="1">
      <c r="G4251" s="113"/>
      <c r="J4251" s="28">
        <f>IFERROR(VLOOKUP(TEXT(B4251,"0"),STOCK!A:H,7,0),1)</f>
        <v>1</v>
      </c>
    </row>
    <row r="4252" spans="7:10" ht="35.450000000000003" hidden="1" customHeight="1">
      <c r="G4252" s="113"/>
      <c r="J4252" s="28">
        <f>IFERROR(VLOOKUP(TEXT(B4252,"0"),STOCK!A:H,7,0),1)</f>
        <v>1</v>
      </c>
    </row>
    <row r="4253" spans="7:10" ht="35.450000000000003" hidden="1" customHeight="1">
      <c r="G4253" s="113"/>
      <c r="J4253" s="28">
        <f>IFERROR(VLOOKUP(TEXT(B4253,"0"),STOCK!A:H,7,0),1)</f>
        <v>1</v>
      </c>
    </row>
    <row r="4254" spans="7:10" ht="35.450000000000003" hidden="1" customHeight="1">
      <c r="G4254" s="113"/>
      <c r="J4254" s="28">
        <f>IFERROR(VLOOKUP(TEXT(B4254,"0"),STOCK!A:H,7,0),1)</f>
        <v>1</v>
      </c>
    </row>
    <row r="4255" spans="7:10" ht="35.450000000000003" hidden="1" customHeight="1">
      <c r="G4255" s="113"/>
      <c r="J4255" s="28">
        <f>IFERROR(VLOOKUP(TEXT(B4255,"0"),STOCK!A:H,7,0),1)</f>
        <v>1</v>
      </c>
    </row>
    <row r="4256" spans="7:10" ht="35.450000000000003" hidden="1" customHeight="1">
      <c r="G4256" s="113"/>
      <c r="J4256" s="28">
        <f>IFERROR(VLOOKUP(TEXT(B4256,"0"),STOCK!A:H,7,0),1)</f>
        <v>1</v>
      </c>
    </row>
    <row r="4257" spans="7:10" ht="35.450000000000003" hidden="1" customHeight="1">
      <c r="G4257" s="113"/>
      <c r="J4257" s="28">
        <f>IFERROR(VLOOKUP(TEXT(B4257,"0"),STOCK!A:H,7,0),1)</f>
        <v>1</v>
      </c>
    </row>
    <row r="4258" spans="7:10" ht="35.450000000000003" hidden="1" customHeight="1">
      <c r="G4258" s="113"/>
      <c r="J4258" s="28">
        <f>IFERROR(VLOOKUP(TEXT(B4258,"0"),STOCK!A:H,7,0),1)</f>
        <v>1</v>
      </c>
    </row>
    <row r="4259" spans="7:10" ht="35.450000000000003" hidden="1" customHeight="1">
      <c r="G4259" s="113"/>
      <c r="J4259" s="28">
        <f>IFERROR(VLOOKUP(TEXT(B4259,"0"),STOCK!A:H,7,0),1)</f>
        <v>1</v>
      </c>
    </row>
    <row r="4260" spans="7:10" ht="35.450000000000003" hidden="1" customHeight="1">
      <c r="G4260" s="113"/>
      <c r="J4260" s="28">
        <f>IFERROR(VLOOKUP(TEXT(B4260,"0"),STOCK!A:H,7,0),1)</f>
        <v>1</v>
      </c>
    </row>
    <row r="4261" spans="7:10" ht="35.450000000000003" hidden="1" customHeight="1">
      <c r="G4261" s="113"/>
      <c r="J4261" s="28">
        <f>IFERROR(VLOOKUP(TEXT(B4261,"0"),STOCK!A:H,7,0),1)</f>
        <v>1</v>
      </c>
    </row>
    <row r="4262" spans="7:10" ht="35.450000000000003" hidden="1" customHeight="1">
      <c r="G4262" s="113"/>
      <c r="J4262" s="28">
        <f>IFERROR(VLOOKUP(TEXT(B4262,"0"),STOCK!A:H,7,0),1)</f>
        <v>1</v>
      </c>
    </row>
    <row r="4263" spans="7:10" ht="35.450000000000003" hidden="1" customHeight="1">
      <c r="G4263" s="113"/>
      <c r="J4263" s="28">
        <f>IFERROR(VLOOKUP(TEXT(B4263,"0"),STOCK!A:H,7,0),1)</f>
        <v>1</v>
      </c>
    </row>
    <row r="4264" spans="7:10" ht="35.450000000000003" hidden="1" customHeight="1">
      <c r="G4264" s="113"/>
      <c r="J4264" s="28">
        <f>IFERROR(VLOOKUP(TEXT(B4264,"0"),STOCK!A:H,7,0),1)</f>
        <v>1</v>
      </c>
    </row>
    <row r="4265" spans="7:10" ht="35.450000000000003" hidden="1" customHeight="1">
      <c r="G4265" s="113"/>
      <c r="J4265" s="28">
        <f>IFERROR(VLOOKUP(TEXT(B4265,"0"),STOCK!A:H,7,0),1)</f>
        <v>1</v>
      </c>
    </row>
    <row r="4266" spans="7:10" ht="35.450000000000003" hidden="1" customHeight="1">
      <c r="G4266" s="113"/>
      <c r="J4266" s="28">
        <f>IFERROR(VLOOKUP(TEXT(B4266,"0"),STOCK!A:H,7,0),1)</f>
        <v>1</v>
      </c>
    </row>
    <row r="4267" spans="7:10" ht="35.450000000000003" hidden="1" customHeight="1">
      <c r="G4267" s="113"/>
      <c r="J4267" s="28">
        <f>IFERROR(VLOOKUP(TEXT(B4267,"0"),STOCK!A:H,7,0),1)</f>
        <v>1</v>
      </c>
    </row>
    <row r="4268" spans="7:10" ht="35.450000000000003" hidden="1" customHeight="1">
      <c r="G4268" s="113"/>
      <c r="J4268" s="28">
        <f>IFERROR(VLOOKUP(TEXT(B4268,"0"),STOCK!A:H,7,0),1)</f>
        <v>1</v>
      </c>
    </row>
    <row r="4269" spans="7:10" ht="35.450000000000003" hidden="1" customHeight="1">
      <c r="G4269" s="113"/>
      <c r="J4269" s="28">
        <f>IFERROR(VLOOKUP(TEXT(B4269,"0"),STOCK!A:H,7,0),1)</f>
        <v>1</v>
      </c>
    </row>
    <row r="4270" spans="7:10" ht="35.450000000000003" hidden="1" customHeight="1">
      <c r="G4270" s="113"/>
      <c r="J4270" s="28">
        <f>IFERROR(VLOOKUP(TEXT(B4270,"0"),STOCK!A:H,7,0),1)</f>
        <v>1</v>
      </c>
    </row>
    <row r="4271" spans="7:10" ht="35.450000000000003" hidden="1" customHeight="1">
      <c r="G4271" s="113"/>
      <c r="J4271" s="28">
        <f>IFERROR(VLOOKUP(TEXT(B4271,"0"),STOCK!A:H,7,0),1)</f>
        <v>1</v>
      </c>
    </row>
    <row r="4272" spans="7:10" ht="35.450000000000003" hidden="1" customHeight="1">
      <c r="G4272" s="113"/>
      <c r="J4272" s="28">
        <f>IFERROR(VLOOKUP(TEXT(B4272,"0"),STOCK!A:H,7,0),1)</f>
        <v>1</v>
      </c>
    </row>
    <row r="4273" spans="7:10" ht="35.450000000000003" hidden="1" customHeight="1">
      <c r="G4273" s="113"/>
      <c r="J4273" s="28">
        <f>IFERROR(VLOOKUP(TEXT(B4273,"0"),STOCK!A:H,7,0),1)</f>
        <v>1</v>
      </c>
    </row>
    <row r="4274" spans="7:10" ht="35.450000000000003" hidden="1" customHeight="1">
      <c r="G4274" s="113"/>
      <c r="J4274" s="28">
        <f>IFERROR(VLOOKUP(TEXT(B4274,"0"),STOCK!A:H,7,0),1)</f>
        <v>1</v>
      </c>
    </row>
    <row r="4275" spans="7:10" ht="35.450000000000003" hidden="1" customHeight="1">
      <c r="G4275" s="113"/>
      <c r="J4275" s="28">
        <f>IFERROR(VLOOKUP(TEXT(B4275,"0"),STOCK!A:H,7,0),1)</f>
        <v>1</v>
      </c>
    </row>
    <row r="4276" spans="7:10" ht="35.450000000000003" hidden="1" customHeight="1">
      <c r="G4276" s="113"/>
      <c r="J4276" s="28">
        <f>IFERROR(VLOOKUP(TEXT(B4276,"0"),STOCK!A:H,7,0),1)</f>
        <v>1</v>
      </c>
    </row>
    <row r="4277" spans="7:10" ht="35.450000000000003" hidden="1" customHeight="1">
      <c r="G4277" s="113"/>
      <c r="J4277" s="28">
        <f>IFERROR(VLOOKUP(TEXT(B4277,"0"),STOCK!A:H,7,0),1)</f>
        <v>1</v>
      </c>
    </row>
    <row r="4278" spans="7:10" ht="35.450000000000003" hidden="1" customHeight="1">
      <c r="G4278" s="113"/>
      <c r="J4278" s="28">
        <f>IFERROR(VLOOKUP(TEXT(B4278,"0"),STOCK!A:H,7,0),1)</f>
        <v>1</v>
      </c>
    </row>
    <row r="4279" spans="7:10" ht="35.450000000000003" hidden="1" customHeight="1">
      <c r="G4279" s="113"/>
      <c r="J4279" s="28">
        <f>IFERROR(VLOOKUP(TEXT(B4279,"0"),STOCK!A:H,7,0),1)</f>
        <v>1</v>
      </c>
    </row>
    <row r="4280" spans="7:10" ht="35.450000000000003" hidden="1" customHeight="1">
      <c r="G4280" s="113"/>
      <c r="J4280" s="28">
        <f>IFERROR(VLOOKUP(TEXT(B4280,"0"),STOCK!A:H,7,0),1)</f>
        <v>1</v>
      </c>
    </row>
    <row r="4281" spans="7:10" ht="35.450000000000003" hidden="1" customHeight="1">
      <c r="G4281" s="113"/>
      <c r="J4281" s="28">
        <f>IFERROR(VLOOKUP(TEXT(B4281,"0"),STOCK!A:H,7,0),1)</f>
        <v>1</v>
      </c>
    </row>
    <row r="4282" spans="7:10" ht="35.450000000000003" hidden="1" customHeight="1">
      <c r="G4282" s="113"/>
      <c r="J4282" s="28">
        <f>IFERROR(VLOOKUP(TEXT(B4282,"0"),STOCK!A:H,7,0),1)</f>
        <v>1</v>
      </c>
    </row>
    <row r="4283" spans="7:10" ht="35.450000000000003" hidden="1" customHeight="1">
      <c r="G4283" s="113"/>
      <c r="J4283" s="28">
        <f>IFERROR(VLOOKUP(TEXT(B4283,"0"),STOCK!A:H,7,0),1)</f>
        <v>1</v>
      </c>
    </row>
    <row r="4284" spans="7:10" ht="35.450000000000003" hidden="1" customHeight="1">
      <c r="G4284" s="113"/>
      <c r="J4284" s="28">
        <f>IFERROR(VLOOKUP(TEXT(B4284,"0"),STOCK!A:H,7,0),1)</f>
        <v>1</v>
      </c>
    </row>
    <row r="4285" spans="7:10" ht="35.450000000000003" hidden="1" customHeight="1">
      <c r="G4285" s="113"/>
      <c r="J4285" s="28">
        <f>IFERROR(VLOOKUP(TEXT(B4285,"0"),STOCK!A:H,7,0),1)</f>
        <v>1</v>
      </c>
    </row>
    <row r="4286" spans="7:10" ht="35.450000000000003" hidden="1" customHeight="1">
      <c r="G4286" s="113"/>
      <c r="J4286" s="28">
        <f>IFERROR(VLOOKUP(TEXT(B4286,"0"),STOCK!A:H,7,0),1)</f>
        <v>1</v>
      </c>
    </row>
    <row r="4287" spans="7:10" ht="35.450000000000003" hidden="1" customHeight="1">
      <c r="G4287" s="113"/>
      <c r="J4287" s="28">
        <f>IFERROR(VLOOKUP(TEXT(B4287,"0"),STOCK!A:H,7,0),1)</f>
        <v>1</v>
      </c>
    </row>
    <row r="4288" spans="7:10" ht="35.450000000000003" hidden="1" customHeight="1">
      <c r="G4288" s="113"/>
      <c r="J4288" s="28">
        <f>IFERROR(VLOOKUP(TEXT(B4288,"0"),STOCK!A:H,7,0),1)</f>
        <v>1</v>
      </c>
    </row>
    <row r="4289" spans="7:10" ht="35.450000000000003" hidden="1" customHeight="1">
      <c r="G4289" s="113"/>
      <c r="J4289" s="28">
        <f>IFERROR(VLOOKUP(TEXT(B4289,"0"),STOCK!A:H,7,0),1)</f>
        <v>1</v>
      </c>
    </row>
    <row r="4290" spans="7:10" ht="35.450000000000003" hidden="1" customHeight="1">
      <c r="G4290" s="113"/>
      <c r="J4290" s="28">
        <f>IFERROR(VLOOKUP(TEXT(B4290,"0"),STOCK!A:H,7,0),1)</f>
        <v>1</v>
      </c>
    </row>
    <row r="4291" spans="7:10" ht="35.450000000000003" hidden="1" customHeight="1">
      <c r="G4291" s="113"/>
      <c r="J4291" s="28">
        <f>IFERROR(VLOOKUP(TEXT(B4291,"0"),STOCK!A:H,7,0),1)</f>
        <v>1</v>
      </c>
    </row>
    <row r="4292" spans="7:10" ht="35.450000000000003" hidden="1" customHeight="1">
      <c r="G4292" s="113"/>
      <c r="J4292" s="28">
        <f>IFERROR(VLOOKUP(TEXT(B4292,"0"),STOCK!A:H,7,0),1)</f>
        <v>1</v>
      </c>
    </row>
    <row r="4293" spans="7:10" ht="35.450000000000003" hidden="1" customHeight="1">
      <c r="G4293" s="113"/>
      <c r="J4293" s="28">
        <f>IFERROR(VLOOKUP(TEXT(B4293,"0"),STOCK!A:H,7,0),1)</f>
        <v>1</v>
      </c>
    </row>
    <row r="4294" spans="7:10" ht="35.450000000000003" hidden="1" customHeight="1">
      <c r="G4294" s="113"/>
      <c r="J4294" s="28">
        <f>IFERROR(VLOOKUP(TEXT(B4294,"0"),STOCK!A:H,7,0),1)</f>
        <v>1</v>
      </c>
    </row>
    <row r="4295" spans="7:10" ht="35.450000000000003" hidden="1" customHeight="1">
      <c r="G4295" s="113"/>
      <c r="J4295" s="28">
        <f>IFERROR(VLOOKUP(TEXT(B4295,"0"),STOCK!A:H,7,0),1)</f>
        <v>1</v>
      </c>
    </row>
    <row r="4296" spans="7:10" ht="35.450000000000003" hidden="1" customHeight="1">
      <c r="G4296" s="113"/>
      <c r="J4296" s="28">
        <f>IFERROR(VLOOKUP(TEXT(B4296,"0"),STOCK!A:H,7,0),1)</f>
        <v>1</v>
      </c>
    </row>
    <row r="4297" spans="7:10" ht="35.450000000000003" hidden="1" customHeight="1">
      <c r="G4297" s="113"/>
      <c r="J4297" s="28">
        <f>IFERROR(VLOOKUP(TEXT(B4297,"0"),STOCK!A:H,7,0),1)</f>
        <v>1</v>
      </c>
    </row>
    <row r="4298" spans="7:10" ht="35.450000000000003" hidden="1" customHeight="1">
      <c r="G4298" s="113"/>
      <c r="J4298" s="28">
        <f>IFERROR(VLOOKUP(TEXT(B4298,"0"),STOCK!A:H,7,0),1)</f>
        <v>1</v>
      </c>
    </row>
    <row r="4299" spans="7:10" ht="35.450000000000003" hidden="1" customHeight="1">
      <c r="G4299" s="113"/>
      <c r="J4299" s="28">
        <f>IFERROR(VLOOKUP(TEXT(B4299,"0"),STOCK!A:H,7,0),1)</f>
        <v>1</v>
      </c>
    </row>
    <row r="4300" spans="7:10" ht="35.450000000000003" hidden="1" customHeight="1">
      <c r="G4300" s="113"/>
      <c r="J4300" s="28">
        <f>IFERROR(VLOOKUP(TEXT(B4300,"0"),STOCK!A:H,7,0),1)</f>
        <v>1</v>
      </c>
    </row>
    <row r="4301" spans="7:10" ht="35.450000000000003" hidden="1" customHeight="1">
      <c r="G4301" s="113"/>
      <c r="J4301" s="28">
        <f>IFERROR(VLOOKUP(TEXT(B4301,"0"),STOCK!A:H,7,0),1)</f>
        <v>1</v>
      </c>
    </row>
    <row r="4302" spans="7:10" ht="35.450000000000003" hidden="1" customHeight="1">
      <c r="G4302" s="113"/>
      <c r="J4302" s="28">
        <f>IFERROR(VLOOKUP(TEXT(B4302,"0"),STOCK!A:H,7,0),1)</f>
        <v>1</v>
      </c>
    </row>
    <row r="4303" spans="7:10" ht="35.450000000000003" hidden="1" customHeight="1">
      <c r="G4303" s="113"/>
      <c r="J4303" s="28">
        <f>IFERROR(VLOOKUP(TEXT(B4303,"0"),STOCK!A:H,7,0),1)</f>
        <v>1</v>
      </c>
    </row>
    <row r="4304" spans="7:10" ht="35.450000000000003" hidden="1" customHeight="1">
      <c r="G4304" s="113"/>
      <c r="J4304" s="28">
        <f>IFERROR(VLOOKUP(TEXT(B4304,"0"),STOCK!A:H,7,0),1)</f>
        <v>1</v>
      </c>
    </row>
    <row r="4305" spans="7:10" ht="35.450000000000003" hidden="1" customHeight="1">
      <c r="G4305" s="113"/>
      <c r="J4305" s="28">
        <f>IFERROR(VLOOKUP(TEXT(B4305,"0"),STOCK!A:H,7,0),1)</f>
        <v>1</v>
      </c>
    </row>
    <row r="4306" spans="7:10" ht="35.450000000000003" hidden="1" customHeight="1">
      <c r="G4306" s="113"/>
      <c r="J4306" s="28">
        <f>IFERROR(VLOOKUP(TEXT(B4306,"0"),STOCK!A:H,7,0),1)</f>
        <v>1</v>
      </c>
    </row>
    <row r="4307" spans="7:10" ht="35.450000000000003" hidden="1" customHeight="1">
      <c r="G4307" s="113"/>
      <c r="J4307" s="28">
        <f>IFERROR(VLOOKUP(TEXT(B4307,"0"),STOCK!A:H,7,0),1)</f>
        <v>1</v>
      </c>
    </row>
    <row r="4308" spans="7:10" ht="35.450000000000003" hidden="1" customHeight="1">
      <c r="G4308" s="113"/>
      <c r="J4308" s="28">
        <f>IFERROR(VLOOKUP(TEXT(B4308,"0"),STOCK!A:H,7,0),1)</f>
        <v>1</v>
      </c>
    </row>
    <row r="4309" spans="7:10" ht="35.450000000000003" hidden="1" customHeight="1">
      <c r="G4309" s="113"/>
      <c r="J4309" s="28">
        <f>IFERROR(VLOOKUP(TEXT(B4309,"0"),STOCK!A:H,7,0),1)</f>
        <v>1</v>
      </c>
    </row>
    <row r="4310" spans="7:10" ht="35.450000000000003" hidden="1" customHeight="1">
      <c r="G4310" s="113"/>
      <c r="J4310" s="28">
        <f>IFERROR(VLOOKUP(TEXT(B4310,"0"),STOCK!A:H,7,0),1)</f>
        <v>1</v>
      </c>
    </row>
    <row r="4311" spans="7:10" ht="35.450000000000003" hidden="1" customHeight="1">
      <c r="G4311" s="113"/>
      <c r="J4311" s="28">
        <f>IFERROR(VLOOKUP(TEXT(B4311,"0"),STOCK!A:H,7,0),1)</f>
        <v>1</v>
      </c>
    </row>
    <row r="4312" spans="7:10" ht="35.450000000000003" hidden="1" customHeight="1">
      <c r="G4312" s="113"/>
      <c r="J4312" s="28">
        <f>IFERROR(VLOOKUP(TEXT(B4312,"0"),STOCK!A:H,7,0),1)</f>
        <v>1</v>
      </c>
    </row>
    <row r="4313" spans="7:10" ht="35.450000000000003" hidden="1" customHeight="1">
      <c r="G4313" s="113"/>
      <c r="J4313" s="28">
        <f>IFERROR(VLOOKUP(TEXT(B4313,"0"),STOCK!A:H,7,0),1)</f>
        <v>1</v>
      </c>
    </row>
    <row r="4314" spans="7:10" ht="35.450000000000003" hidden="1" customHeight="1">
      <c r="G4314" s="113"/>
      <c r="J4314" s="28">
        <f>IFERROR(VLOOKUP(TEXT(B4314,"0"),STOCK!A:H,7,0),1)</f>
        <v>1</v>
      </c>
    </row>
    <row r="4315" spans="7:10" ht="35.450000000000003" hidden="1" customHeight="1">
      <c r="G4315" s="113"/>
      <c r="J4315" s="28">
        <f>IFERROR(VLOOKUP(TEXT(B4315,"0"),STOCK!A:H,7,0),1)</f>
        <v>1</v>
      </c>
    </row>
    <row r="4316" spans="7:10" ht="35.450000000000003" hidden="1" customHeight="1">
      <c r="G4316" s="113"/>
      <c r="J4316" s="28">
        <f>IFERROR(VLOOKUP(TEXT(B4316,"0"),STOCK!A:H,7,0),1)</f>
        <v>1</v>
      </c>
    </row>
    <row r="4317" spans="7:10" ht="35.450000000000003" hidden="1" customHeight="1">
      <c r="G4317" s="113"/>
      <c r="J4317" s="28">
        <f>IFERROR(VLOOKUP(TEXT(B4317,"0"),STOCK!A:H,7,0),1)</f>
        <v>1</v>
      </c>
    </row>
    <row r="4318" spans="7:10" ht="35.450000000000003" hidden="1" customHeight="1">
      <c r="G4318" s="113"/>
      <c r="J4318" s="28">
        <f>IFERROR(VLOOKUP(TEXT(B4318,"0"),STOCK!A:H,7,0),1)</f>
        <v>1</v>
      </c>
    </row>
    <row r="4319" spans="7:10" ht="35.450000000000003" hidden="1" customHeight="1">
      <c r="G4319" s="113"/>
      <c r="J4319" s="28">
        <f>IFERROR(VLOOKUP(TEXT(B4319,"0"),STOCK!A:H,7,0),1)</f>
        <v>1</v>
      </c>
    </row>
    <row r="4320" spans="7:10" ht="35.450000000000003" hidden="1" customHeight="1">
      <c r="G4320" s="113"/>
      <c r="J4320" s="28">
        <f>IFERROR(VLOOKUP(TEXT(B4320,"0"),STOCK!A:H,7,0),1)</f>
        <v>1</v>
      </c>
    </row>
    <row r="4321" spans="7:10" ht="35.450000000000003" hidden="1" customHeight="1">
      <c r="G4321" s="113"/>
      <c r="J4321" s="28">
        <f>IFERROR(VLOOKUP(TEXT(B4321,"0"),STOCK!A:H,7,0),1)</f>
        <v>1</v>
      </c>
    </row>
    <row r="4322" spans="7:10" ht="35.450000000000003" hidden="1" customHeight="1">
      <c r="G4322" s="113"/>
      <c r="J4322" s="28">
        <f>IFERROR(VLOOKUP(TEXT(B4322,"0"),STOCK!A:H,7,0),1)</f>
        <v>1</v>
      </c>
    </row>
    <row r="4323" spans="7:10" ht="35.450000000000003" hidden="1" customHeight="1">
      <c r="G4323" s="113"/>
      <c r="J4323" s="28">
        <f>IFERROR(VLOOKUP(TEXT(B4323,"0"),STOCK!A:H,7,0),1)</f>
        <v>1</v>
      </c>
    </row>
    <row r="4324" spans="7:10" ht="35.450000000000003" hidden="1" customHeight="1">
      <c r="G4324" s="113"/>
      <c r="J4324" s="28">
        <f>IFERROR(VLOOKUP(TEXT(B4324,"0"),STOCK!A:H,7,0),1)</f>
        <v>1</v>
      </c>
    </row>
    <row r="4325" spans="7:10" ht="35.450000000000003" hidden="1" customHeight="1">
      <c r="G4325" s="113"/>
      <c r="J4325" s="28">
        <f>IFERROR(VLOOKUP(TEXT(B4325,"0"),STOCK!A:H,7,0),1)</f>
        <v>1</v>
      </c>
    </row>
    <row r="4326" spans="7:10" ht="35.450000000000003" hidden="1" customHeight="1">
      <c r="G4326" s="113"/>
      <c r="J4326" s="28">
        <f>IFERROR(VLOOKUP(TEXT(B4326,"0"),STOCK!A:H,7,0),1)</f>
        <v>1</v>
      </c>
    </row>
    <row r="4327" spans="7:10" ht="35.450000000000003" hidden="1" customHeight="1">
      <c r="G4327" s="113"/>
      <c r="J4327" s="28">
        <f>IFERROR(VLOOKUP(TEXT(B4327,"0"),STOCK!A:H,7,0),1)</f>
        <v>1</v>
      </c>
    </row>
    <row r="4328" spans="7:10" ht="35.450000000000003" hidden="1" customHeight="1">
      <c r="G4328" s="113"/>
      <c r="J4328" s="28">
        <f>IFERROR(VLOOKUP(TEXT(B4328,"0"),STOCK!A:H,7,0),1)</f>
        <v>1</v>
      </c>
    </row>
    <row r="4329" spans="7:10" ht="35.450000000000003" hidden="1" customHeight="1">
      <c r="G4329" s="113"/>
      <c r="J4329" s="28">
        <f>IFERROR(VLOOKUP(TEXT(B4329,"0"),STOCK!A:H,7,0),1)</f>
        <v>1</v>
      </c>
    </row>
    <row r="4330" spans="7:10" ht="35.450000000000003" hidden="1" customHeight="1">
      <c r="G4330" s="113"/>
      <c r="J4330" s="28">
        <f>IFERROR(VLOOKUP(TEXT(B4330,"0"),STOCK!A:H,7,0),1)</f>
        <v>1</v>
      </c>
    </row>
    <row r="4331" spans="7:10" ht="35.450000000000003" hidden="1" customHeight="1">
      <c r="G4331" s="113"/>
      <c r="J4331" s="28">
        <f>IFERROR(VLOOKUP(TEXT(B4331,"0"),STOCK!A:H,7,0),1)</f>
        <v>1</v>
      </c>
    </row>
    <row r="4332" spans="7:10" ht="35.450000000000003" hidden="1" customHeight="1">
      <c r="G4332" s="113"/>
      <c r="J4332" s="28">
        <f>IFERROR(VLOOKUP(TEXT(B4332,"0"),STOCK!A:H,7,0),1)</f>
        <v>1</v>
      </c>
    </row>
    <row r="4333" spans="7:10" ht="35.450000000000003" hidden="1" customHeight="1">
      <c r="G4333" s="113"/>
      <c r="J4333" s="28">
        <f>IFERROR(VLOOKUP(TEXT(B4333,"0"),STOCK!A:H,7,0),1)</f>
        <v>1</v>
      </c>
    </row>
    <row r="4334" spans="7:10" ht="35.450000000000003" hidden="1" customHeight="1">
      <c r="G4334" s="113"/>
      <c r="J4334" s="28">
        <f>IFERROR(VLOOKUP(TEXT(B4334,"0"),STOCK!A:H,7,0),1)</f>
        <v>1</v>
      </c>
    </row>
    <row r="4335" spans="7:10" ht="35.450000000000003" hidden="1" customHeight="1">
      <c r="G4335" s="113"/>
      <c r="J4335" s="28">
        <f>IFERROR(VLOOKUP(TEXT(B4335,"0"),STOCK!A:H,7,0),1)</f>
        <v>1</v>
      </c>
    </row>
    <row r="4336" spans="7:10" ht="35.450000000000003" hidden="1" customHeight="1">
      <c r="G4336" s="113"/>
      <c r="J4336" s="28">
        <f>IFERROR(VLOOKUP(TEXT(B4336,"0"),STOCK!A:H,7,0),1)</f>
        <v>1</v>
      </c>
    </row>
    <row r="4337" spans="7:10" ht="35.450000000000003" hidden="1" customHeight="1">
      <c r="G4337" s="113"/>
      <c r="J4337" s="28">
        <f>IFERROR(VLOOKUP(TEXT(B4337,"0"),STOCK!A:H,7,0),1)</f>
        <v>1</v>
      </c>
    </row>
    <row r="4338" spans="7:10" ht="35.450000000000003" hidden="1" customHeight="1">
      <c r="G4338" s="113"/>
      <c r="J4338" s="28">
        <f>IFERROR(VLOOKUP(TEXT(B4338,"0"),STOCK!A:H,7,0),1)</f>
        <v>1</v>
      </c>
    </row>
    <row r="4339" spans="7:10" ht="35.450000000000003" hidden="1" customHeight="1">
      <c r="G4339" s="113"/>
      <c r="J4339" s="28">
        <f>IFERROR(VLOOKUP(TEXT(B4339,"0"),STOCK!A:H,7,0),1)</f>
        <v>1</v>
      </c>
    </row>
    <row r="4340" spans="7:10" ht="35.450000000000003" hidden="1" customHeight="1">
      <c r="G4340" s="113"/>
      <c r="J4340" s="28">
        <f>IFERROR(VLOOKUP(TEXT(B4340,"0"),STOCK!A:H,7,0),1)</f>
        <v>1</v>
      </c>
    </row>
    <row r="4341" spans="7:10" ht="35.450000000000003" hidden="1" customHeight="1">
      <c r="G4341" s="113"/>
      <c r="J4341" s="28">
        <f>IFERROR(VLOOKUP(TEXT(B4341,"0"),STOCK!A:H,7,0),1)</f>
        <v>1</v>
      </c>
    </row>
    <row r="4342" spans="7:10" ht="35.450000000000003" hidden="1" customHeight="1">
      <c r="G4342" s="113"/>
      <c r="J4342" s="28">
        <f>IFERROR(VLOOKUP(TEXT(B4342,"0"),STOCK!A:H,7,0),1)</f>
        <v>1</v>
      </c>
    </row>
    <row r="4343" spans="7:10" ht="35.450000000000003" hidden="1" customHeight="1">
      <c r="G4343" s="113"/>
      <c r="J4343" s="28">
        <f>IFERROR(VLOOKUP(TEXT(B4343,"0"),STOCK!A:H,7,0),1)</f>
        <v>1</v>
      </c>
    </row>
    <row r="4344" spans="7:10" ht="35.450000000000003" hidden="1" customHeight="1">
      <c r="G4344" s="113"/>
      <c r="J4344" s="28">
        <f>IFERROR(VLOOKUP(TEXT(B4344,"0"),STOCK!A:H,7,0),1)</f>
        <v>1</v>
      </c>
    </row>
    <row r="4345" spans="7:10" ht="35.450000000000003" hidden="1" customHeight="1">
      <c r="G4345" s="113"/>
      <c r="J4345" s="28">
        <f>IFERROR(VLOOKUP(TEXT(B4345,"0"),STOCK!A:H,7,0),1)</f>
        <v>1</v>
      </c>
    </row>
    <row r="4346" spans="7:10" ht="35.450000000000003" hidden="1" customHeight="1">
      <c r="G4346" s="113"/>
      <c r="J4346" s="28">
        <f>IFERROR(VLOOKUP(TEXT(B4346,"0"),STOCK!A:H,7,0),1)</f>
        <v>1</v>
      </c>
    </row>
    <row r="4347" spans="7:10" ht="35.450000000000003" hidden="1" customHeight="1">
      <c r="G4347" s="113"/>
      <c r="J4347" s="28">
        <f>IFERROR(VLOOKUP(TEXT(B4347,"0"),STOCK!A:H,7,0),1)</f>
        <v>1</v>
      </c>
    </row>
    <row r="4348" spans="7:10" ht="35.450000000000003" hidden="1" customHeight="1">
      <c r="G4348" s="113"/>
      <c r="J4348" s="28">
        <f>IFERROR(VLOOKUP(TEXT(B4348,"0"),STOCK!A:H,7,0),1)</f>
        <v>1</v>
      </c>
    </row>
    <row r="4349" spans="7:10" ht="35.450000000000003" hidden="1" customHeight="1">
      <c r="G4349" s="113"/>
      <c r="J4349" s="28">
        <f>IFERROR(VLOOKUP(TEXT(B4349,"0"),STOCK!A:H,7,0),1)</f>
        <v>1</v>
      </c>
    </row>
    <row r="4350" spans="7:10" ht="35.450000000000003" hidden="1" customHeight="1">
      <c r="G4350" s="113"/>
      <c r="J4350" s="28">
        <f>IFERROR(VLOOKUP(TEXT(B4350,"0"),STOCK!A:H,7,0),1)</f>
        <v>1</v>
      </c>
    </row>
    <row r="4351" spans="7:10" ht="35.450000000000003" hidden="1" customHeight="1">
      <c r="G4351" s="113"/>
      <c r="J4351" s="28">
        <f>IFERROR(VLOOKUP(TEXT(B4351,"0"),STOCK!A:H,7,0),1)</f>
        <v>1</v>
      </c>
    </row>
    <row r="4352" spans="7:10" ht="35.450000000000003" hidden="1" customHeight="1">
      <c r="G4352" s="113"/>
      <c r="J4352" s="28">
        <f>IFERROR(VLOOKUP(TEXT(B4352,"0"),STOCK!A:H,7,0),1)</f>
        <v>1</v>
      </c>
    </row>
    <row r="4353" spans="7:10" ht="35.450000000000003" hidden="1" customHeight="1">
      <c r="G4353" s="113"/>
      <c r="J4353" s="28">
        <f>IFERROR(VLOOKUP(TEXT(B4353,"0"),STOCK!A:H,7,0),1)</f>
        <v>1</v>
      </c>
    </row>
    <row r="4354" spans="7:10" ht="35.450000000000003" hidden="1" customHeight="1">
      <c r="G4354" s="113"/>
      <c r="J4354" s="28">
        <f>IFERROR(VLOOKUP(TEXT(B4354,"0"),STOCK!A:H,7,0),1)</f>
        <v>1</v>
      </c>
    </row>
    <row r="4355" spans="7:10" ht="35.450000000000003" hidden="1" customHeight="1">
      <c r="G4355" s="113"/>
      <c r="J4355" s="28">
        <f>IFERROR(VLOOKUP(TEXT(B4355,"0"),STOCK!A:H,7,0),1)</f>
        <v>1</v>
      </c>
    </row>
    <row r="4356" spans="7:10" ht="35.450000000000003" hidden="1" customHeight="1">
      <c r="G4356" s="113"/>
      <c r="J4356" s="28">
        <f>IFERROR(VLOOKUP(TEXT(B4356,"0"),STOCK!A:H,7,0),1)</f>
        <v>1</v>
      </c>
    </row>
    <row r="4357" spans="7:10" ht="35.450000000000003" hidden="1" customHeight="1">
      <c r="G4357" s="113"/>
      <c r="J4357" s="28">
        <f>IFERROR(VLOOKUP(TEXT(B4357,"0"),STOCK!A:H,7,0),1)</f>
        <v>1</v>
      </c>
    </row>
    <row r="4358" spans="7:10" ht="35.450000000000003" hidden="1" customHeight="1">
      <c r="G4358" s="113"/>
      <c r="J4358" s="28">
        <f>IFERROR(VLOOKUP(TEXT(B4358,"0"),STOCK!A:H,7,0),1)</f>
        <v>1</v>
      </c>
    </row>
    <row r="4359" spans="7:10" ht="35.450000000000003" hidden="1" customHeight="1">
      <c r="G4359" s="113"/>
      <c r="J4359" s="28">
        <f>IFERROR(VLOOKUP(TEXT(B4359,"0"),STOCK!A:H,7,0),1)</f>
        <v>1</v>
      </c>
    </row>
    <row r="4360" spans="7:10" ht="35.450000000000003" hidden="1" customHeight="1">
      <c r="G4360" s="113"/>
      <c r="J4360" s="28">
        <f>IFERROR(VLOOKUP(TEXT(B4360,"0"),STOCK!A:H,7,0),1)</f>
        <v>1</v>
      </c>
    </row>
    <row r="4361" spans="7:10" ht="35.450000000000003" hidden="1" customHeight="1">
      <c r="G4361" s="113"/>
      <c r="J4361" s="28">
        <f>IFERROR(VLOOKUP(TEXT(B4361,"0"),STOCK!A:H,7,0),1)</f>
        <v>1</v>
      </c>
    </row>
    <row r="4362" spans="7:10" ht="35.450000000000003" hidden="1" customHeight="1">
      <c r="G4362" s="113"/>
      <c r="J4362" s="28">
        <f>IFERROR(VLOOKUP(TEXT(B4362,"0"),STOCK!A:H,7,0),1)</f>
        <v>1</v>
      </c>
    </row>
    <row r="4363" spans="7:10" ht="35.450000000000003" hidden="1" customHeight="1">
      <c r="G4363" s="113"/>
      <c r="J4363" s="28">
        <f>IFERROR(VLOOKUP(TEXT(B4363,"0"),STOCK!A:H,7,0),1)</f>
        <v>1</v>
      </c>
    </row>
    <row r="4364" spans="7:10" ht="35.450000000000003" hidden="1" customHeight="1">
      <c r="G4364" s="113"/>
      <c r="J4364" s="28">
        <f>IFERROR(VLOOKUP(TEXT(B4364,"0"),STOCK!A:H,7,0),1)</f>
        <v>1</v>
      </c>
    </row>
    <row r="4365" spans="7:10" ht="35.450000000000003" hidden="1" customHeight="1">
      <c r="G4365" s="113"/>
      <c r="J4365" s="28">
        <f>IFERROR(VLOOKUP(TEXT(B4365,"0"),STOCK!A:H,7,0),1)</f>
        <v>1</v>
      </c>
    </row>
    <row r="4366" spans="7:10" ht="35.450000000000003" hidden="1" customHeight="1">
      <c r="G4366" s="113"/>
      <c r="J4366" s="28">
        <f>IFERROR(VLOOKUP(TEXT(B4366,"0"),STOCK!A:H,7,0),1)</f>
        <v>1</v>
      </c>
    </row>
    <row r="4367" spans="7:10" ht="35.450000000000003" hidden="1" customHeight="1">
      <c r="G4367" s="113"/>
      <c r="J4367" s="28">
        <f>IFERROR(VLOOKUP(TEXT(B4367,"0"),STOCK!A:H,7,0),1)</f>
        <v>1</v>
      </c>
    </row>
    <row r="4368" spans="7:10" ht="35.450000000000003" hidden="1" customHeight="1">
      <c r="G4368" s="113"/>
      <c r="J4368" s="28">
        <f>IFERROR(VLOOKUP(TEXT(B4368,"0"),STOCK!A:H,7,0),1)</f>
        <v>1</v>
      </c>
    </row>
    <row r="4369" spans="7:10" ht="35.450000000000003" hidden="1" customHeight="1">
      <c r="G4369" s="113"/>
      <c r="J4369" s="28">
        <f>IFERROR(VLOOKUP(TEXT(B4369,"0"),STOCK!A:H,7,0),1)</f>
        <v>1</v>
      </c>
    </row>
    <row r="4370" spans="7:10" ht="35.450000000000003" hidden="1" customHeight="1">
      <c r="G4370" s="113"/>
      <c r="J4370" s="28">
        <f>IFERROR(VLOOKUP(TEXT(B4370,"0"),STOCK!A:H,7,0),1)</f>
        <v>1</v>
      </c>
    </row>
    <row r="4371" spans="7:10" ht="35.450000000000003" hidden="1" customHeight="1">
      <c r="G4371" s="113"/>
      <c r="J4371" s="28">
        <f>IFERROR(VLOOKUP(TEXT(B4371,"0"),STOCK!A:H,7,0),1)</f>
        <v>1</v>
      </c>
    </row>
    <row r="4372" spans="7:10" ht="35.450000000000003" hidden="1" customHeight="1">
      <c r="G4372" s="113"/>
      <c r="J4372" s="28">
        <f>IFERROR(VLOOKUP(TEXT(B4372,"0"),STOCK!A:H,7,0),1)</f>
        <v>1</v>
      </c>
    </row>
    <row r="4373" spans="7:10" ht="35.450000000000003" hidden="1" customHeight="1">
      <c r="G4373" s="113"/>
      <c r="J4373" s="28">
        <f>IFERROR(VLOOKUP(TEXT(B4373,"0"),STOCK!A:H,7,0),1)</f>
        <v>1</v>
      </c>
    </row>
    <row r="4374" spans="7:10" ht="35.450000000000003" hidden="1" customHeight="1">
      <c r="G4374" s="113"/>
      <c r="J4374" s="28">
        <f>IFERROR(VLOOKUP(TEXT(B4374,"0"),STOCK!A:H,7,0),1)</f>
        <v>1</v>
      </c>
    </row>
    <row r="4375" spans="7:10" ht="35.450000000000003" hidden="1" customHeight="1">
      <c r="G4375" s="113"/>
      <c r="J4375" s="28">
        <f>IFERROR(VLOOKUP(TEXT(B4375,"0"),STOCK!A:H,7,0),1)</f>
        <v>1</v>
      </c>
    </row>
    <row r="4376" spans="7:10" ht="35.450000000000003" hidden="1" customHeight="1">
      <c r="G4376" s="113"/>
      <c r="J4376" s="28">
        <f>IFERROR(VLOOKUP(TEXT(B4376,"0"),STOCK!A:H,7,0),1)</f>
        <v>1</v>
      </c>
    </row>
    <row r="4377" spans="7:10" ht="35.450000000000003" hidden="1" customHeight="1">
      <c r="G4377" s="113"/>
      <c r="J4377" s="28">
        <f>IFERROR(VLOOKUP(TEXT(B4377,"0"),STOCK!A:H,7,0),1)</f>
        <v>1</v>
      </c>
    </row>
    <row r="4378" spans="7:10" ht="35.450000000000003" hidden="1" customHeight="1">
      <c r="G4378" s="113"/>
      <c r="J4378" s="28">
        <f>IFERROR(VLOOKUP(TEXT(B4378,"0"),STOCK!A:H,7,0),1)</f>
        <v>1</v>
      </c>
    </row>
    <row r="4379" spans="7:10" ht="35.450000000000003" hidden="1" customHeight="1">
      <c r="G4379" s="113"/>
      <c r="J4379" s="28">
        <f>IFERROR(VLOOKUP(TEXT(B4379,"0"),STOCK!A:H,7,0),1)</f>
        <v>1</v>
      </c>
    </row>
    <row r="4380" spans="7:10" ht="35.450000000000003" hidden="1" customHeight="1">
      <c r="G4380" s="113"/>
      <c r="J4380" s="28">
        <f>IFERROR(VLOOKUP(TEXT(B4380,"0"),STOCK!A:H,7,0),1)</f>
        <v>1</v>
      </c>
    </row>
    <row r="4381" spans="7:10" ht="35.450000000000003" hidden="1" customHeight="1">
      <c r="G4381" s="113"/>
      <c r="J4381" s="28">
        <f>IFERROR(VLOOKUP(TEXT(B4381,"0"),STOCK!A:H,7,0),1)</f>
        <v>1</v>
      </c>
    </row>
    <row r="4382" spans="7:10" ht="35.450000000000003" hidden="1" customHeight="1">
      <c r="G4382" s="113"/>
      <c r="J4382" s="28">
        <f>IFERROR(VLOOKUP(TEXT(B4382,"0"),STOCK!A:H,7,0),1)</f>
        <v>1</v>
      </c>
    </row>
    <row r="4383" spans="7:10" ht="35.450000000000003" hidden="1" customHeight="1">
      <c r="G4383" s="113"/>
      <c r="J4383" s="28">
        <f>IFERROR(VLOOKUP(TEXT(B4383,"0"),STOCK!A:H,7,0),1)</f>
        <v>1</v>
      </c>
    </row>
    <row r="4384" spans="7:10" ht="35.450000000000003" hidden="1" customHeight="1">
      <c r="G4384" s="113"/>
      <c r="J4384" s="28">
        <f>IFERROR(VLOOKUP(TEXT(B4384,"0"),STOCK!A:H,7,0),1)</f>
        <v>1</v>
      </c>
    </row>
    <row r="4385" spans="7:10" ht="35.450000000000003" hidden="1" customHeight="1">
      <c r="G4385" s="113"/>
      <c r="J4385" s="28">
        <f>IFERROR(VLOOKUP(TEXT(B4385,"0"),STOCK!A:H,7,0),1)</f>
        <v>1</v>
      </c>
    </row>
    <row r="4386" spans="7:10" ht="35.450000000000003" hidden="1" customHeight="1">
      <c r="G4386" s="113"/>
      <c r="J4386" s="28">
        <f>IFERROR(VLOOKUP(TEXT(B4386,"0"),STOCK!A:H,7,0),1)</f>
        <v>1</v>
      </c>
    </row>
    <row r="4387" spans="7:10" ht="35.450000000000003" hidden="1" customHeight="1">
      <c r="G4387" s="113"/>
      <c r="J4387" s="28">
        <f>IFERROR(VLOOKUP(TEXT(B4387,"0"),STOCK!A:H,7,0),1)</f>
        <v>1</v>
      </c>
    </row>
    <row r="4388" spans="7:10" ht="35.450000000000003" hidden="1" customHeight="1">
      <c r="G4388" s="113"/>
      <c r="J4388" s="28">
        <f>IFERROR(VLOOKUP(TEXT(B4388,"0"),STOCK!A:H,7,0),1)</f>
        <v>1</v>
      </c>
    </row>
    <row r="4389" spans="7:10" ht="35.450000000000003" hidden="1" customHeight="1">
      <c r="G4389" s="113"/>
      <c r="J4389" s="28">
        <f>IFERROR(VLOOKUP(TEXT(B4389,"0"),STOCK!A:H,7,0),1)</f>
        <v>1</v>
      </c>
    </row>
    <row r="4390" spans="7:10" ht="35.450000000000003" hidden="1" customHeight="1">
      <c r="G4390" s="113"/>
      <c r="J4390" s="28">
        <f>IFERROR(VLOOKUP(TEXT(B4390,"0"),STOCK!A:H,7,0),1)</f>
        <v>1</v>
      </c>
    </row>
    <row r="4391" spans="7:10" ht="35.450000000000003" hidden="1" customHeight="1">
      <c r="G4391" s="113"/>
      <c r="J4391" s="28">
        <f>IFERROR(VLOOKUP(TEXT(B4391,"0"),STOCK!A:H,7,0),1)</f>
        <v>1</v>
      </c>
    </row>
    <row r="4392" spans="7:10" ht="35.450000000000003" hidden="1" customHeight="1">
      <c r="G4392" s="113"/>
      <c r="J4392" s="28">
        <f>IFERROR(VLOOKUP(TEXT(B4392,"0"),STOCK!A:H,7,0),1)</f>
        <v>1</v>
      </c>
    </row>
    <row r="4393" spans="7:10" ht="35.450000000000003" hidden="1" customHeight="1">
      <c r="G4393" s="113"/>
      <c r="J4393" s="28">
        <f>IFERROR(VLOOKUP(TEXT(B4393,"0"),STOCK!A:H,7,0),1)</f>
        <v>1</v>
      </c>
    </row>
    <row r="4394" spans="7:10" ht="35.450000000000003" hidden="1" customHeight="1">
      <c r="G4394" s="113"/>
      <c r="J4394" s="28">
        <f>IFERROR(VLOOKUP(TEXT(B4394,"0"),STOCK!A:H,7,0),1)</f>
        <v>1</v>
      </c>
    </row>
    <row r="4395" spans="7:10" ht="35.450000000000003" hidden="1" customHeight="1">
      <c r="G4395" s="113"/>
      <c r="J4395" s="28">
        <f>IFERROR(VLOOKUP(TEXT(B4395,"0"),STOCK!A:H,7,0),1)</f>
        <v>1</v>
      </c>
    </row>
    <row r="4396" spans="7:10" ht="35.450000000000003" hidden="1" customHeight="1">
      <c r="G4396" s="113"/>
      <c r="J4396" s="28">
        <f>IFERROR(VLOOKUP(TEXT(B4396,"0"),STOCK!A:H,7,0),1)</f>
        <v>1</v>
      </c>
    </row>
    <row r="4397" spans="7:10" ht="35.450000000000003" hidden="1" customHeight="1">
      <c r="G4397" s="113"/>
      <c r="J4397" s="28">
        <f>IFERROR(VLOOKUP(TEXT(B4397,"0"),STOCK!A:H,7,0),1)</f>
        <v>1</v>
      </c>
    </row>
    <row r="4398" spans="7:10" ht="35.450000000000003" hidden="1" customHeight="1">
      <c r="G4398" s="113"/>
      <c r="J4398" s="28">
        <f>IFERROR(VLOOKUP(TEXT(B4398,"0"),STOCK!A:H,7,0),1)</f>
        <v>1</v>
      </c>
    </row>
    <row r="4399" spans="7:10" ht="35.450000000000003" hidden="1" customHeight="1">
      <c r="G4399" s="113"/>
      <c r="J4399" s="28">
        <f>IFERROR(VLOOKUP(TEXT(B4399,"0"),STOCK!A:H,7,0),1)</f>
        <v>1</v>
      </c>
    </row>
    <row r="4400" spans="7:10" ht="35.450000000000003" hidden="1" customHeight="1">
      <c r="G4400" s="113"/>
      <c r="J4400" s="28">
        <f>IFERROR(VLOOKUP(TEXT(B4400,"0"),STOCK!A:H,7,0),1)</f>
        <v>1</v>
      </c>
    </row>
    <row r="4401" spans="7:10" ht="35.450000000000003" hidden="1" customHeight="1">
      <c r="G4401" s="113"/>
      <c r="J4401" s="28">
        <f>IFERROR(VLOOKUP(TEXT(B4401,"0"),STOCK!A:H,7,0),1)</f>
        <v>1</v>
      </c>
    </row>
    <row r="4402" spans="7:10" ht="35.450000000000003" hidden="1" customHeight="1">
      <c r="G4402" s="113"/>
      <c r="J4402" s="28">
        <f>IFERROR(VLOOKUP(TEXT(B4402,"0"),STOCK!A:H,7,0),1)</f>
        <v>1</v>
      </c>
    </row>
    <row r="4403" spans="7:10" ht="35.450000000000003" hidden="1" customHeight="1">
      <c r="G4403" s="113"/>
      <c r="J4403" s="28">
        <f>IFERROR(VLOOKUP(TEXT(B4403,"0"),STOCK!A:H,7,0),1)</f>
        <v>1</v>
      </c>
    </row>
    <row r="4404" spans="7:10" ht="35.450000000000003" hidden="1" customHeight="1">
      <c r="G4404" s="113"/>
      <c r="J4404" s="28">
        <f>IFERROR(VLOOKUP(TEXT(B4404,"0"),STOCK!A:H,7,0),1)</f>
        <v>1</v>
      </c>
    </row>
    <row r="4405" spans="7:10" ht="35.450000000000003" hidden="1" customHeight="1">
      <c r="G4405" s="113"/>
      <c r="J4405" s="28">
        <f>IFERROR(VLOOKUP(TEXT(B4405,"0"),STOCK!A:H,7,0),1)</f>
        <v>1</v>
      </c>
    </row>
    <row r="4406" spans="7:10" ht="35.450000000000003" hidden="1" customHeight="1">
      <c r="G4406" s="113"/>
      <c r="J4406" s="28">
        <f>IFERROR(VLOOKUP(TEXT(B4406,"0"),STOCK!A:H,7,0),1)</f>
        <v>1</v>
      </c>
    </row>
    <row r="4407" spans="7:10" ht="35.450000000000003" hidden="1" customHeight="1">
      <c r="G4407" s="113"/>
      <c r="J4407" s="28">
        <f>IFERROR(VLOOKUP(TEXT(B4407,"0"),STOCK!A:H,7,0),1)</f>
        <v>1</v>
      </c>
    </row>
    <row r="4408" spans="7:10" ht="35.450000000000003" hidden="1" customHeight="1">
      <c r="G4408" s="113"/>
      <c r="J4408" s="28">
        <f>IFERROR(VLOOKUP(TEXT(B4408,"0"),STOCK!A:H,7,0),1)</f>
        <v>1</v>
      </c>
    </row>
    <row r="4409" spans="7:10" ht="35.450000000000003" hidden="1" customHeight="1">
      <c r="G4409" s="113"/>
      <c r="J4409" s="28">
        <f>IFERROR(VLOOKUP(TEXT(B4409,"0"),STOCK!A:H,7,0),1)</f>
        <v>1</v>
      </c>
    </row>
    <row r="4410" spans="7:10" ht="35.450000000000003" hidden="1" customHeight="1">
      <c r="G4410" s="113"/>
      <c r="J4410" s="28">
        <f>IFERROR(VLOOKUP(TEXT(B4410,"0"),STOCK!A:H,7,0),1)</f>
        <v>1</v>
      </c>
    </row>
    <row r="4411" spans="7:10" ht="35.450000000000003" hidden="1" customHeight="1">
      <c r="G4411" s="113"/>
      <c r="J4411" s="28">
        <f>IFERROR(VLOOKUP(TEXT(B4411,"0"),STOCK!A:H,7,0),1)</f>
        <v>1</v>
      </c>
    </row>
    <row r="4412" spans="7:10" ht="35.450000000000003" hidden="1" customHeight="1">
      <c r="G4412" s="113"/>
      <c r="J4412" s="28">
        <f>IFERROR(VLOOKUP(TEXT(B4412,"0"),STOCK!A:H,7,0),1)</f>
        <v>1</v>
      </c>
    </row>
    <row r="4413" spans="7:10" ht="35.450000000000003" hidden="1" customHeight="1">
      <c r="G4413" s="113"/>
      <c r="J4413" s="28">
        <f>IFERROR(VLOOKUP(TEXT(B4413,"0"),STOCK!A:H,7,0),1)</f>
        <v>1</v>
      </c>
    </row>
    <row r="4414" spans="7:10" ht="35.450000000000003" hidden="1" customHeight="1">
      <c r="G4414" s="113"/>
      <c r="J4414" s="28">
        <f>IFERROR(VLOOKUP(TEXT(B4414,"0"),STOCK!A:H,7,0),1)</f>
        <v>1</v>
      </c>
    </row>
    <row r="4415" spans="7:10" ht="35.450000000000003" hidden="1" customHeight="1">
      <c r="G4415" s="113"/>
      <c r="J4415" s="28">
        <f>IFERROR(VLOOKUP(TEXT(B4415,"0"),STOCK!A:H,7,0),1)</f>
        <v>1</v>
      </c>
    </row>
    <row r="4416" spans="7:10" ht="35.450000000000003" hidden="1" customHeight="1">
      <c r="G4416" s="113"/>
      <c r="J4416" s="28">
        <f>IFERROR(VLOOKUP(TEXT(B4416,"0"),STOCK!A:H,7,0),1)</f>
        <v>1</v>
      </c>
    </row>
    <row r="4417" spans="7:10" ht="35.450000000000003" hidden="1" customHeight="1">
      <c r="G4417" s="113"/>
      <c r="J4417" s="28">
        <f>IFERROR(VLOOKUP(TEXT(B4417,"0"),STOCK!A:H,7,0),1)</f>
        <v>1</v>
      </c>
    </row>
    <row r="4418" spans="7:10" ht="35.450000000000003" hidden="1" customHeight="1">
      <c r="G4418" s="113"/>
      <c r="J4418" s="28">
        <f>IFERROR(VLOOKUP(TEXT(B4418,"0"),STOCK!A:H,7,0),1)</f>
        <v>1</v>
      </c>
    </row>
    <row r="4419" spans="7:10" ht="35.450000000000003" hidden="1" customHeight="1">
      <c r="G4419" s="113"/>
      <c r="J4419" s="28">
        <f>IFERROR(VLOOKUP(TEXT(B4419,"0"),STOCK!A:H,7,0),1)</f>
        <v>1</v>
      </c>
    </row>
    <row r="4420" spans="7:10" ht="35.450000000000003" hidden="1" customHeight="1">
      <c r="G4420" s="113"/>
      <c r="J4420" s="28">
        <f>IFERROR(VLOOKUP(TEXT(B4420,"0"),STOCK!A:H,7,0),1)</f>
        <v>1</v>
      </c>
    </row>
    <row r="4421" spans="7:10" ht="35.450000000000003" hidden="1" customHeight="1">
      <c r="G4421" s="113"/>
      <c r="J4421" s="28">
        <f>IFERROR(VLOOKUP(TEXT(B4421,"0"),STOCK!A:H,7,0),1)</f>
        <v>1</v>
      </c>
    </row>
    <row r="4422" spans="7:10" ht="35.450000000000003" hidden="1" customHeight="1">
      <c r="G4422" s="113"/>
      <c r="J4422" s="28">
        <f>IFERROR(VLOOKUP(TEXT(B4422,"0"),STOCK!A:H,7,0),1)</f>
        <v>1</v>
      </c>
    </row>
    <row r="4423" spans="7:10" ht="35.450000000000003" hidden="1" customHeight="1">
      <c r="G4423" s="113"/>
      <c r="J4423" s="28">
        <f>IFERROR(VLOOKUP(TEXT(B4423,"0"),STOCK!A:H,7,0),1)</f>
        <v>1</v>
      </c>
    </row>
    <row r="4424" spans="7:10" ht="35.450000000000003" hidden="1" customHeight="1">
      <c r="G4424" s="113"/>
      <c r="J4424" s="28">
        <f>IFERROR(VLOOKUP(TEXT(B4424,"0"),STOCK!A:H,7,0),1)</f>
        <v>1</v>
      </c>
    </row>
    <row r="4425" spans="7:10" ht="35.450000000000003" hidden="1" customHeight="1">
      <c r="G4425" s="113"/>
      <c r="J4425" s="28">
        <f>IFERROR(VLOOKUP(TEXT(B4425,"0"),STOCK!A:H,7,0),1)</f>
        <v>1</v>
      </c>
    </row>
    <row r="4426" spans="7:10" ht="35.450000000000003" hidden="1" customHeight="1">
      <c r="G4426" s="113"/>
      <c r="J4426" s="28">
        <f>IFERROR(VLOOKUP(TEXT(B4426,"0"),STOCK!A:H,7,0),1)</f>
        <v>1</v>
      </c>
    </row>
    <row r="4427" spans="7:10" ht="35.450000000000003" hidden="1" customHeight="1">
      <c r="G4427" s="113"/>
      <c r="J4427" s="28">
        <f>IFERROR(VLOOKUP(TEXT(B4427,"0"),STOCK!A:H,7,0),1)</f>
        <v>1</v>
      </c>
    </row>
    <row r="4428" spans="7:10" ht="35.450000000000003" hidden="1" customHeight="1">
      <c r="G4428" s="113"/>
      <c r="J4428" s="28">
        <f>IFERROR(VLOOKUP(TEXT(B4428,"0"),STOCK!A:H,7,0),1)</f>
        <v>1</v>
      </c>
    </row>
    <row r="4429" spans="7:10" ht="35.450000000000003" hidden="1" customHeight="1">
      <c r="G4429" s="113"/>
      <c r="J4429" s="28">
        <f>IFERROR(VLOOKUP(TEXT(B4429,"0"),STOCK!A:H,7,0),1)</f>
        <v>1</v>
      </c>
    </row>
    <row r="4430" spans="7:10" ht="35.450000000000003" hidden="1" customHeight="1">
      <c r="G4430" s="113"/>
      <c r="J4430" s="28">
        <f>IFERROR(VLOOKUP(TEXT(B4430,"0"),STOCK!A:H,7,0),1)</f>
        <v>1</v>
      </c>
    </row>
    <row r="4431" spans="7:10" ht="35.450000000000003" hidden="1" customHeight="1">
      <c r="G4431" s="113"/>
      <c r="J4431" s="28">
        <f>IFERROR(VLOOKUP(TEXT(B4431,"0"),STOCK!A:H,7,0),1)</f>
        <v>1</v>
      </c>
    </row>
    <row r="4432" spans="7:10" ht="35.450000000000003" hidden="1" customHeight="1">
      <c r="G4432" s="113"/>
      <c r="J4432" s="28">
        <f>IFERROR(VLOOKUP(TEXT(B4432,"0"),STOCK!A:H,7,0),1)</f>
        <v>1</v>
      </c>
    </row>
    <row r="4433" spans="7:10" ht="35.450000000000003" hidden="1" customHeight="1">
      <c r="G4433" s="113"/>
      <c r="J4433" s="28">
        <f>IFERROR(VLOOKUP(TEXT(B4433,"0"),STOCK!A:H,7,0),1)</f>
        <v>1</v>
      </c>
    </row>
    <row r="4434" spans="7:10" ht="35.450000000000003" hidden="1" customHeight="1">
      <c r="G4434" s="113"/>
      <c r="J4434" s="28">
        <f>IFERROR(VLOOKUP(TEXT(B4434,"0"),STOCK!A:H,7,0),1)</f>
        <v>1</v>
      </c>
    </row>
    <row r="4435" spans="7:10" ht="35.450000000000003" hidden="1" customHeight="1">
      <c r="G4435" s="113"/>
      <c r="J4435" s="28">
        <f>IFERROR(VLOOKUP(TEXT(B4435,"0"),STOCK!A:H,7,0),1)</f>
        <v>1</v>
      </c>
    </row>
    <row r="4436" spans="7:10" ht="35.450000000000003" hidden="1" customHeight="1">
      <c r="G4436" s="113"/>
      <c r="J4436" s="28">
        <f>IFERROR(VLOOKUP(TEXT(B4436,"0"),STOCK!A:H,7,0),1)</f>
        <v>1</v>
      </c>
    </row>
    <row r="4437" spans="7:10" ht="35.450000000000003" hidden="1" customHeight="1">
      <c r="G4437" s="113"/>
      <c r="J4437" s="28">
        <f>IFERROR(VLOOKUP(TEXT(B4437,"0"),STOCK!A:H,7,0),1)</f>
        <v>1</v>
      </c>
    </row>
    <row r="4438" spans="7:10" ht="35.450000000000003" hidden="1" customHeight="1">
      <c r="G4438" s="113"/>
      <c r="J4438" s="28">
        <f>IFERROR(VLOOKUP(TEXT(B4438,"0"),STOCK!A:H,7,0),1)</f>
        <v>1</v>
      </c>
    </row>
    <row r="4439" spans="7:10" ht="35.450000000000003" hidden="1" customHeight="1">
      <c r="G4439" s="113"/>
      <c r="J4439" s="28">
        <f>IFERROR(VLOOKUP(TEXT(B4439,"0"),STOCK!A:H,7,0),1)</f>
        <v>1</v>
      </c>
    </row>
    <row r="4440" spans="7:10" ht="35.450000000000003" hidden="1" customHeight="1">
      <c r="G4440" s="113"/>
      <c r="J4440" s="28">
        <f>IFERROR(VLOOKUP(TEXT(B4440,"0"),STOCK!A:H,7,0),1)</f>
        <v>1</v>
      </c>
    </row>
    <row r="4441" spans="7:10" ht="35.450000000000003" hidden="1" customHeight="1">
      <c r="G4441" s="113"/>
      <c r="J4441" s="28">
        <f>IFERROR(VLOOKUP(TEXT(B4441,"0"),STOCK!A:H,7,0),1)</f>
        <v>1</v>
      </c>
    </row>
    <row r="4442" spans="7:10" ht="35.450000000000003" hidden="1" customHeight="1">
      <c r="G4442" s="113"/>
      <c r="J4442" s="28">
        <f>IFERROR(VLOOKUP(TEXT(B4442,"0"),STOCK!A:H,7,0),1)</f>
        <v>1</v>
      </c>
    </row>
    <row r="4443" spans="7:10" ht="35.450000000000003" hidden="1" customHeight="1">
      <c r="G4443" s="113"/>
      <c r="J4443" s="28">
        <f>IFERROR(VLOOKUP(TEXT(B4443,"0"),STOCK!A:H,7,0),1)</f>
        <v>1</v>
      </c>
    </row>
    <row r="4444" spans="7:10" ht="35.450000000000003" hidden="1" customHeight="1">
      <c r="G4444" s="113"/>
      <c r="J4444" s="28">
        <f>IFERROR(VLOOKUP(TEXT(B4444,"0"),STOCK!A:H,7,0),1)</f>
        <v>1</v>
      </c>
    </row>
    <row r="4445" spans="7:10" ht="35.450000000000003" hidden="1" customHeight="1">
      <c r="G4445" s="113"/>
      <c r="J4445" s="28">
        <f>IFERROR(VLOOKUP(TEXT(B4445,"0"),STOCK!A:H,7,0),1)</f>
        <v>1</v>
      </c>
    </row>
    <row r="4446" spans="7:10" ht="35.450000000000003" hidden="1" customHeight="1">
      <c r="G4446" s="113"/>
      <c r="J4446" s="28">
        <f>IFERROR(VLOOKUP(TEXT(B4446,"0"),STOCK!A:H,7,0),1)</f>
        <v>1</v>
      </c>
    </row>
    <row r="4447" spans="7:10" ht="35.450000000000003" hidden="1" customHeight="1">
      <c r="G4447" s="113"/>
      <c r="J4447" s="28">
        <f>IFERROR(VLOOKUP(TEXT(B4447,"0"),STOCK!A:H,7,0),1)</f>
        <v>1</v>
      </c>
    </row>
    <row r="4448" spans="7:10" ht="35.450000000000003" hidden="1" customHeight="1">
      <c r="G4448" s="113"/>
      <c r="J4448" s="28">
        <f>IFERROR(VLOOKUP(TEXT(B4448,"0"),STOCK!A:H,7,0),1)</f>
        <v>1</v>
      </c>
    </row>
    <row r="4449" spans="7:10" ht="35.450000000000003" hidden="1" customHeight="1">
      <c r="G4449" s="113"/>
      <c r="J4449" s="28">
        <f>IFERROR(VLOOKUP(TEXT(B4449,"0"),STOCK!A:H,7,0),1)</f>
        <v>1</v>
      </c>
    </row>
    <row r="4450" spans="7:10" ht="35.450000000000003" hidden="1" customHeight="1">
      <c r="G4450" s="113"/>
      <c r="J4450" s="28">
        <f>IFERROR(VLOOKUP(TEXT(B4450,"0"),STOCK!A:H,7,0),1)</f>
        <v>1</v>
      </c>
    </row>
    <row r="4451" spans="7:10" ht="35.450000000000003" hidden="1" customHeight="1">
      <c r="G4451" s="113"/>
      <c r="J4451" s="28">
        <f>IFERROR(VLOOKUP(TEXT(B4451,"0"),STOCK!A:H,7,0),1)</f>
        <v>1</v>
      </c>
    </row>
    <row r="4452" spans="7:10" ht="35.450000000000003" hidden="1" customHeight="1">
      <c r="G4452" s="113"/>
      <c r="J4452" s="28">
        <f>IFERROR(VLOOKUP(TEXT(B4452,"0"),STOCK!A:H,7,0),1)</f>
        <v>1</v>
      </c>
    </row>
    <row r="4453" spans="7:10" ht="35.450000000000003" hidden="1" customHeight="1">
      <c r="G4453" s="113"/>
      <c r="J4453" s="28">
        <f>IFERROR(VLOOKUP(TEXT(B4453,"0"),STOCK!A:H,7,0),1)</f>
        <v>1</v>
      </c>
    </row>
    <row r="4454" spans="7:10" ht="35.450000000000003" hidden="1" customHeight="1">
      <c r="G4454" s="113"/>
      <c r="J4454" s="28">
        <f>IFERROR(VLOOKUP(TEXT(B4454,"0"),STOCK!A:H,7,0),1)</f>
        <v>1</v>
      </c>
    </row>
    <row r="4455" spans="7:10" ht="35.450000000000003" hidden="1" customHeight="1">
      <c r="G4455" s="113"/>
      <c r="J4455" s="28">
        <f>IFERROR(VLOOKUP(TEXT(B4455,"0"),STOCK!A:H,7,0),1)</f>
        <v>1</v>
      </c>
    </row>
    <row r="4456" spans="7:10" ht="35.450000000000003" hidden="1" customHeight="1">
      <c r="G4456" s="113"/>
      <c r="J4456" s="28">
        <f>IFERROR(VLOOKUP(TEXT(B4456,"0"),STOCK!A:H,7,0),1)</f>
        <v>1</v>
      </c>
    </row>
    <row r="4457" spans="7:10" ht="35.450000000000003" hidden="1" customHeight="1">
      <c r="G4457" s="113"/>
      <c r="J4457" s="28">
        <f>IFERROR(VLOOKUP(TEXT(B4457,"0"),STOCK!A:H,7,0),1)</f>
        <v>1</v>
      </c>
    </row>
    <row r="4458" spans="7:10" ht="35.450000000000003" hidden="1" customHeight="1">
      <c r="G4458" s="113"/>
      <c r="J4458" s="28">
        <f>IFERROR(VLOOKUP(TEXT(B4458,"0"),STOCK!A:H,7,0),1)</f>
        <v>1</v>
      </c>
    </row>
    <row r="4459" spans="7:10" ht="35.450000000000003" hidden="1" customHeight="1">
      <c r="G4459" s="113"/>
      <c r="J4459" s="28">
        <f>IFERROR(VLOOKUP(TEXT(B4459,"0"),STOCK!A:H,7,0),1)</f>
        <v>1</v>
      </c>
    </row>
    <row r="4460" spans="7:10" ht="35.450000000000003" hidden="1" customHeight="1">
      <c r="G4460" s="113"/>
      <c r="J4460" s="28">
        <f>IFERROR(VLOOKUP(TEXT(B4460,"0"),STOCK!A:H,7,0),1)</f>
        <v>1</v>
      </c>
    </row>
    <row r="4461" spans="7:10" ht="35.450000000000003" hidden="1" customHeight="1">
      <c r="G4461" s="113"/>
      <c r="J4461" s="28">
        <f>IFERROR(VLOOKUP(TEXT(B4461,"0"),STOCK!A:H,7,0),1)</f>
        <v>1</v>
      </c>
    </row>
    <row r="4462" spans="7:10" ht="35.450000000000003" hidden="1" customHeight="1">
      <c r="G4462" s="113"/>
      <c r="J4462" s="28">
        <f>IFERROR(VLOOKUP(TEXT(B4462,"0"),STOCK!A:H,7,0),1)</f>
        <v>1</v>
      </c>
    </row>
    <row r="4463" spans="7:10" ht="35.450000000000003" hidden="1" customHeight="1">
      <c r="G4463" s="113"/>
      <c r="J4463" s="28">
        <f>IFERROR(VLOOKUP(TEXT(B4463,"0"),STOCK!A:H,7,0),1)</f>
        <v>1</v>
      </c>
    </row>
    <row r="4464" spans="7:10" ht="35.450000000000003" hidden="1" customHeight="1">
      <c r="G4464" s="113"/>
      <c r="J4464" s="28">
        <f>IFERROR(VLOOKUP(TEXT(B4464,"0"),STOCK!A:H,7,0),1)</f>
        <v>1</v>
      </c>
    </row>
    <row r="4465" spans="7:10" ht="35.450000000000003" hidden="1" customHeight="1">
      <c r="G4465" s="113"/>
      <c r="J4465" s="28">
        <f>IFERROR(VLOOKUP(TEXT(B4465,"0"),STOCK!A:H,7,0),1)</f>
        <v>1</v>
      </c>
    </row>
    <row r="4466" spans="7:10" ht="35.450000000000003" hidden="1" customHeight="1">
      <c r="G4466" s="113"/>
      <c r="J4466" s="28">
        <f>IFERROR(VLOOKUP(TEXT(B4466,"0"),STOCK!A:H,7,0),1)</f>
        <v>1</v>
      </c>
    </row>
    <row r="4467" spans="7:10" ht="35.450000000000003" hidden="1" customHeight="1">
      <c r="G4467" s="113"/>
      <c r="J4467" s="28">
        <f>IFERROR(VLOOKUP(TEXT(B4467,"0"),STOCK!A:H,7,0),1)</f>
        <v>1</v>
      </c>
    </row>
    <row r="4468" spans="7:10" ht="35.450000000000003" hidden="1" customHeight="1">
      <c r="G4468" s="113"/>
      <c r="J4468" s="28">
        <f>IFERROR(VLOOKUP(TEXT(B4468,"0"),STOCK!A:H,7,0),1)</f>
        <v>1</v>
      </c>
    </row>
    <row r="4469" spans="7:10" ht="35.450000000000003" hidden="1" customHeight="1">
      <c r="G4469" s="113"/>
      <c r="J4469" s="28">
        <f>IFERROR(VLOOKUP(TEXT(B4469,"0"),STOCK!A:H,7,0),1)</f>
        <v>1</v>
      </c>
    </row>
    <row r="4470" spans="7:10" ht="35.450000000000003" hidden="1" customHeight="1">
      <c r="G4470" s="113"/>
      <c r="J4470" s="28">
        <f>IFERROR(VLOOKUP(TEXT(B4470,"0"),STOCK!A:H,7,0),1)</f>
        <v>1</v>
      </c>
    </row>
    <row r="4471" spans="7:10" ht="35.450000000000003" hidden="1" customHeight="1">
      <c r="G4471" s="113"/>
      <c r="J4471" s="28">
        <f>IFERROR(VLOOKUP(TEXT(B4471,"0"),STOCK!A:H,7,0),1)</f>
        <v>1</v>
      </c>
    </row>
    <row r="4472" spans="7:10" ht="35.450000000000003" hidden="1" customHeight="1">
      <c r="G4472" s="113"/>
      <c r="J4472" s="28">
        <f>IFERROR(VLOOKUP(TEXT(B4472,"0"),STOCK!A:H,7,0),1)</f>
        <v>1</v>
      </c>
    </row>
    <row r="4473" spans="7:10" ht="35.450000000000003" hidden="1" customHeight="1">
      <c r="G4473" s="113"/>
      <c r="J4473" s="28">
        <f>IFERROR(VLOOKUP(TEXT(B4473,"0"),STOCK!A:H,7,0),1)</f>
        <v>1</v>
      </c>
    </row>
    <row r="4474" spans="7:10" ht="35.450000000000003" hidden="1" customHeight="1">
      <c r="G4474" s="113"/>
      <c r="J4474" s="28">
        <f>IFERROR(VLOOKUP(TEXT(B4474,"0"),STOCK!A:H,7,0),1)</f>
        <v>1</v>
      </c>
    </row>
    <row r="4475" spans="7:10" ht="35.450000000000003" hidden="1" customHeight="1">
      <c r="G4475" s="113"/>
      <c r="J4475" s="28">
        <f>IFERROR(VLOOKUP(TEXT(B4475,"0"),STOCK!A:H,7,0),1)</f>
        <v>1</v>
      </c>
    </row>
    <row r="4476" spans="7:10" ht="35.450000000000003" hidden="1" customHeight="1">
      <c r="G4476" s="113"/>
      <c r="J4476" s="28">
        <f>IFERROR(VLOOKUP(TEXT(B4476,"0"),STOCK!A:H,7,0),1)</f>
        <v>1</v>
      </c>
    </row>
    <row r="4477" spans="7:10" ht="35.450000000000003" hidden="1" customHeight="1">
      <c r="G4477" s="113"/>
      <c r="J4477" s="28">
        <f>IFERROR(VLOOKUP(TEXT(B4477,"0"),STOCK!A:H,7,0),1)</f>
        <v>1</v>
      </c>
    </row>
    <row r="4478" spans="7:10" ht="35.450000000000003" hidden="1" customHeight="1">
      <c r="G4478" s="113"/>
      <c r="J4478" s="28">
        <f>IFERROR(VLOOKUP(TEXT(B4478,"0"),STOCK!A:H,7,0),1)</f>
        <v>1</v>
      </c>
    </row>
    <row r="4479" spans="7:10" ht="35.450000000000003" hidden="1" customHeight="1">
      <c r="G4479" s="113"/>
      <c r="J4479" s="28">
        <f>IFERROR(VLOOKUP(TEXT(B4479,"0"),STOCK!A:H,7,0),1)</f>
        <v>1</v>
      </c>
    </row>
    <row r="4480" spans="7:10" ht="35.450000000000003" hidden="1" customHeight="1">
      <c r="G4480" s="113"/>
      <c r="J4480" s="28">
        <f>IFERROR(VLOOKUP(TEXT(B4480,"0"),STOCK!A:H,7,0),1)</f>
        <v>1</v>
      </c>
    </row>
    <row r="4481" spans="7:10" ht="35.450000000000003" hidden="1" customHeight="1">
      <c r="G4481" s="113"/>
      <c r="J4481" s="28">
        <f>IFERROR(VLOOKUP(TEXT(B4481,"0"),STOCK!A:H,7,0),1)</f>
        <v>1</v>
      </c>
    </row>
    <row r="4482" spans="7:10" ht="35.450000000000003" hidden="1" customHeight="1">
      <c r="G4482" s="113"/>
      <c r="J4482" s="28">
        <f>IFERROR(VLOOKUP(TEXT(B4482,"0"),STOCK!A:H,7,0),1)</f>
        <v>1</v>
      </c>
    </row>
    <row r="4483" spans="7:10" ht="35.450000000000003" hidden="1" customHeight="1">
      <c r="G4483" s="113"/>
      <c r="J4483" s="28">
        <f>IFERROR(VLOOKUP(TEXT(B4483,"0"),STOCK!A:H,7,0),1)</f>
        <v>1</v>
      </c>
    </row>
    <row r="4484" spans="7:10" ht="35.450000000000003" hidden="1" customHeight="1">
      <c r="G4484" s="113"/>
      <c r="J4484" s="28">
        <f>IFERROR(VLOOKUP(TEXT(B4484,"0"),STOCK!A:H,7,0),1)</f>
        <v>1</v>
      </c>
    </row>
    <row r="4485" spans="7:10" ht="35.450000000000003" hidden="1" customHeight="1">
      <c r="G4485" s="113"/>
      <c r="J4485" s="28">
        <f>IFERROR(VLOOKUP(TEXT(B4485,"0"),STOCK!A:H,7,0),1)</f>
        <v>1</v>
      </c>
    </row>
    <row r="4486" spans="7:10" ht="35.450000000000003" hidden="1" customHeight="1">
      <c r="G4486" s="113"/>
      <c r="J4486" s="28">
        <f>IFERROR(VLOOKUP(TEXT(B4486,"0"),STOCK!A:H,7,0),1)</f>
        <v>1</v>
      </c>
    </row>
    <row r="4487" spans="7:10" ht="35.450000000000003" hidden="1" customHeight="1">
      <c r="G4487" s="113"/>
      <c r="J4487" s="28">
        <f>IFERROR(VLOOKUP(TEXT(B4487,"0"),STOCK!A:H,7,0),1)</f>
        <v>1</v>
      </c>
    </row>
    <row r="4488" spans="7:10" ht="35.450000000000003" hidden="1" customHeight="1">
      <c r="G4488" s="113"/>
      <c r="J4488" s="28">
        <f>IFERROR(VLOOKUP(TEXT(B4488,"0"),STOCK!A:H,7,0),1)</f>
        <v>1</v>
      </c>
    </row>
    <row r="4489" spans="7:10" ht="35.450000000000003" hidden="1" customHeight="1">
      <c r="G4489" s="113"/>
      <c r="J4489" s="28">
        <f>IFERROR(VLOOKUP(TEXT(B4489,"0"),STOCK!A:H,7,0),1)</f>
        <v>1</v>
      </c>
    </row>
    <row r="4490" spans="7:10" ht="35.450000000000003" hidden="1" customHeight="1">
      <c r="G4490" s="113"/>
      <c r="J4490" s="28">
        <f>IFERROR(VLOOKUP(TEXT(B4490,"0"),STOCK!A:H,7,0),1)</f>
        <v>1</v>
      </c>
    </row>
    <row r="4491" spans="7:10" ht="35.450000000000003" hidden="1" customHeight="1">
      <c r="G4491" s="113"/>
      <c r="J4491" s="28">
        <f>IFERROR(VLOOKUP(TEXT(B4491,"0"),STOCK!A:H,7,0),1)</f>
        <v>1</v>
      </c>
    </row>
    <row r="4492" spans="7:10" ht="35.450000000000003" hidden="1" customHeight="1">
      <c r="G4492" s="113"/>
      <c r="J4492" s="28">
        <f>IFERROR(VLOOKUP(TEXT(B4492,"0"),STOCK!A:H,7,0),1)</f>
        <v>1</v>
      </c>
    </row>
    <row r="4493" spans="7:10" ht="35.450000000000003" hidden="1" customHeight="1">
      <c r="G4493" s="113"/>
      <c r="J4493" s="28">
        <f>IFERROR(VLOOKUP(TEXT(B4493,"0"),STOCK!A:H,7,0),1)</f>
        <v>1</v>
      </c>
    </row>
    <row r="4494" spans="7:10" ht="35.450000000000003" hidden="1" customHeight="1">
      <c r="G4494" s="113"/>
      <c r="J4494" s="28">
        <f>IFERROR(VLOOKUP(TEXT(B4494,"0"),STOCK!A:H,7,0),1)</f>
        <v>1</v>
      </c>
    </row>
    <row r="4495" spans="7:10" ht="35.450000000000003" hidden="1" customHeight="1">
      <c r="G4495" s="113"/>
      <c r="J4495" s="28">
        <f>IFERROR(VLOOKUP(TEXT(B4495,"0"),STOCK!A:H,7,0),1)</f>
        <v>1</v>
      </c>
    </row>
    <row r="4496" spans="7:10" ht="35.450000000000003" hidden="1" customHeight="1">
      <c r="G4496" s="113"/>
      <c r="J4496" s="28">
        <f>IFERROR(VLOOKUP(TEXT(B4496,"0"),STOCK!A:H,7,0),1)</f>
        <v>1</v>
      </c>
    </row>
    <row r="4497" spans="7:10" ht="35.450000000000003" hidden="1" customHeight="1">
      <c r="G4497" s="113"/>
      <c r="J4497" s="28">
        <f>IFERROR(VLOOKUP(TEXT(B4497,"0"),STOCK!A:H,7,0),1)</f>
        <v>1</v>
      </c>
    </row>
    <row r="4498" spans="7:10" ht="35.450000000000003" hidden="1" customHeight="1">
      <c r="G4498" s="113"/>
      <c r="J4498" s="28">
        <f>IFERROR(VLOOKUP(TEXT(B4498,"0"),STOCK!A:H,7,0),1)</f>
        <v>1</v>
      </c>
    </row>
    <row r="4499" spans="7:10" ht="35.450000000000003" hidden="1" customHeight="1">
      <c r="G4499" s="113"/>
      <c r="J4499" s="28">
        <f>IFERROR(VLOOKUP(TEXT(B4499,"0"),STOCK!A:H,7,0),1)</f>
        <v>1</v>
      </c>
    </row>
    <row r="4500" spans="7:10" ht="35.450000000000003" hidden="1" customHeight="1">
      <c r="G4500" s="113"/>
      <c r="J4500" s="28">
        <f>IFERROR(VLOOKUP(TEXT(B4500,"0"),STOCK!A:H,7,0),1)</f>
        <v>1</v>
      </c>
    </row>
    <row r="4501" spans="7:10" ht="35.450000000000003" hidden="1" customHeight="1">
      <c r="G4501" s="113"/>
      <c r="J4501" s="28">
        <f>IFERROR(VLOOKUP(TEXT(B4501,"0"),STOCK!A:H,7,0),1)</f>
        <v>1</v>
      </c>
    </row>
    <row r="4502" spans="7:10" ht="35.450000000000003" hidden="1" customHeight="1">
      <c r="G4502" s="113"/>
      <c r="J4502" s="28">
        <f>IFERROR(VLOOKUP(TEXT(B4502,"0"),STOCK!A:H,7,0),1)</f>
        <v>1</v>
      </c>
    </row>
    <row r="4503" spans="7:10" ht="35.450000000000003" hidden="1" customHeight="1">
      <c r="G4503" s="113"/>
      <c r="J4503" s="28">
        <f>IFERROR(VLOOKUP(TEXT(B4503,"0"),STOCK!A:H,7,0),1)</f>
        <v>1</v>
      </c>
    </row>
    <row r="4504" spans="7:10" ht="35.450000000000003" hidden="1" customHeight="1">
      <c r="G4504" s="113"/>
      <c r="J4504" s="28">
        <f>IFERROR(VLOOKUP(TEXT(B4504,"0"),STOCK!A:H,7,0),1)</f>
        <v>1</v>
      </c>
    </row>
    <row r="4505" spans="7:10" ht="35.450000000000003" hidden="1" customHeight="1">
      <c r="G4505" s="113"/>
      <c r="J4505" s="28">
        <f>IFERROR(VLOOKUP(TEXT(B4505,"0"),STOCK!A:H,7,0),1)</f>
        <v>1</v>
      </c>
    </row>
    <row r="4506" spans="7:10" ht="35.450000000000003" hidden="1" customHeight="1">
      <c r="G4506" s="113"/>
      <c r="J4506" s="28">
        <f>IFERROR(VLOOKUP(TEXT(B4506,"0"),STOCK!A:H,7,0),1)</f>
        <v>1</v>
      </c>
    </row>
    <row r="4507" spans="7:10" ht="35.450000000000003" hidden="1" customHeight="1">
      <c r="G4507" s="113"/>
      <c r="J4507" s="28">
        <f>IFERROR(VLOOKUP(TEXT(B4507,"0"),STOCK!A:H,7,0),1)</f>
        <v>1</v>
      </c>
    </row>
    <row r="4508" spans="7:10" ht="35.450000000000003" hidden="1" customHeight="1">
      <c r="G4508" s="113"/>
      <c r="J4508" s="28">
        <f>IFERROR(VLOOKUP(TEXT(B4508,"0"),STOCK!A:H,7,0),1)</f>
        <v>1</v>
      </c>
    </row>
    <row r="4509" spans="7:10" ht="35.450000000000003" hidden="1" customHeight="1">
      <c r="G4509" s="113"/>
      <c r="J4509" s="28">
        <f>IFERROR(VLOOKUP(TEXT(B4509,"0"),STOCK!A:H,7,0),1)</f>
        <v>1</v>
      </c>
    </row>
    <row r="4510" spans="7:10" ht="35.450000000000003" hidden="1" customHeight="1">
      <c r="G4510" s="113"/>
      <c r="J4510" s="28">
        <f>IFERROR(VLOOKUP(TEXT(B4510,"0"),STOCK!A:H,7,0),1)</f>
        <v>1</v>
      </c>
    </row>
    <row r="4511" spans="7:10" ht="35.450000000000003" hidden="1" customHeight="1">
      <c r="G4511" s="113"/>
      <c r="J4511" s="28">
        <f>IFERROR(VLOOKUP(TEXT(B4511,"0"),STOCK!A:H,7,0),1)</f>
        <v>1</v>
      </c>
    </row>
    <row r="4512" spans="7:10" ht="35.450000000000003" hidden="1" customHeight="1">
      <c r="G4512" s="113"/>
      <c r="J4512" s="28">
        <f>IFERROR(VLOOKUP(TEXT(B4512,"0"),STOCK!A:H,7,0),1)</f>
        <v>1</v>
      </c>
    </row>
    <row r="4513" spans="7:10" ht="35.450000000000003" hidden="1" customHeight="1">
      <c r="G4513" s="113"/>
      <c r="J4513" s="28">
        <f>IFERROR(VLOOKUP(TEXT(B4513,"0"),STOCK!A:H,7,0),1)</f>
        <v>1</v>
      </c>
    </row>
    <row r="4514" spans="7:10" ht="35.450000000000003" hidden="1" customHeight="1">
      <c r="G4514" s="113"/>
      <c r="J4514" s="28">
        <f>IFERROR(VLOOKUP(TEXT(B4514,"0"),STOCK!A:H,7,0),1)</f>
        <v>1</v>
      </c>
    </row>
    <row r="4515" spans="7:10" ht="35.450000000000003" hidden="1" customHeight="1">
      <c r="G4515" s="113"/>
      <c r="J4515" s="28">
        <f>IFERROR(VLOOKUP(TEXT(B4515,"0"),STOCK!A:H,7,0),1)</f>
        <v>1</v>
      </c>
    </row>
    <row r="4516" spans="7:10" ht="35.450000000000003" hidden="1" customHeight="1">
      <c r="G4516" s="113"/>
      <c r="J4516" s="28">
        <f>IFERROR(VLOOKUP(TEXT(B4516,"0"),STOCK!A:H,7,0),1)</f>
        <v>1</v>
      </c>
    </row>
    <row r="4517" spans="7:10" ht="35.450000000000003" hidden="1" customHeight="1">
      <c r="G4517" s="113"/>
      <c r="J4517" s="28">
        <f>IFERROR(VLOOKUP(TEXT(B4517,"0"),STOCK!A:H,7,0),1)</f>
        <v>1</v>
      </c>
    </row>
    <row r="4518" spans="7:10" ht="35.450000000000003" hidden="1" customHeight="1">
      <c r="G4518" s="113"/>
      <c r="J4518" s="28">
        <f>IFERROR(VLOOKUP(TEXT(B4518,"0"),STOCK!A:H,7,0),1)</f>
        <v>1</v>
      </c>
    </row>
    <row r="4519" spans="7:10" ht="35.450000000000003" hidden="1" customHeight="1">
      <c r="G4519" s="113"/>
      <c r="J4519" s="28">
        <f>IFERROR(VLOOKUP(TEXT(B4519,"0"),STOCK!A:H,7,0),1)</f>
        <v>1</v>
      </c>
    </row>
    <row r="4520" spans="7:10" ht="35.450000000000003" hidden="1" customHeight="1">
      <c r="G4520" s="113"/>
      <c r="J4520" s="28">
        <f>IFERROR(VLOOKUP(TEXT(B4520,"0"),STOCK!A:H,7,0),1)</f>
        <v>1</v>
      </c>
    </row>
    <row r="4521" spans="7:10" ht="35.450000000000003" hidden="1" customHeight="1">
      <c r="G4521" s="113"/>
      <c r="J4521" s="28">
        <f>IFERROR(VLOOKUP(TEXT(B4521,"0"),STOCK!A:H,7,0),1)</f>
        <v>1</v>
      </c>
    </row>
    <row r="4522" spans="7:10" ht="35.450000000000003" hidden="1" customHeight="1">
      <c r="G4522" s="113"/>
      <c r="J4522" s="28">
        <f>IFERROR(VLOOKUP(TEXT(B4522,"0"),STOCK!A:H,7,0),1)</f>
        <v>1</v>
      </c>
    </row>
    <row r="4523" spans="7:10" ht="35.450000000000003" hidden="1" customHeight="1">
      <c r="G4523" s="113"/>
      <c r="J4523" s="28">
        <f>IFERROR(VLOOKUP(TEXT(B4523,"0"),STOCK!A:H,7,0),1)</f>
        <v>1</v>
      </c>
    </row>
    <row r="4524" spans="7:10" ht="35.450000000000003" hidden="1" customHeight="1">
      <c r="G4524" s="113"/>
      <c r="J4524" s="28">
        <f>IFERROR(VLOOKUP(TEXT(B4524,"0"),STOCK!A:H,7,0),1)</f>
        <v>1</v>
      </c>
    </row>
    <row r="4525" spans="7:10" ht="35.450000000000003" hidden="1" customHeight="1">
      <c r="G4525" s="113"/>
      <c r="J4525" s="28">
        <f>IFERROR(VLOOKUP(TEXT(B4525,"0"),STOCK!A:H,7,0),1)</f>
        <v>1</v>
      </c>
    </row>
    <row r="4526" spans="7:10" ht="35.450000000000003" hidden="1" customHeight="1">
      <c r="G4526" s="113"/>
      <c r="J4526" s="28">
        <f>IFERROR(VLOOKUP(TEXT(B4526,"0"),STOCK!A:H,7,0),1)</f>
        <v>1</v>
      </c>
    </row>
    <row r="4527" spans="7:10" ht="35.450000000000003" hidden="1" customHeight="1">
      <c r="G4527" s="113"/>
      <c r="J4527" s="28">
        <f>IFERROR(VLOOKUP(TEXT(B4527,"0"),STOCK!A:H,7,0),1)</f>
        <v>1</v>
      </c>
    </row>
    <row r="4528" spans="7:10" ht="35.450000000000003" hidden="1" customHeight="1">
      <c r="G4528" s="113"/>
      <c r="J4528" s="28">
        <f>IFERROR(VLOOKUP(TEXT(B4528,"0"),STOCK!A:H,7,0),1)</f>
        <v>1</v>
      </c>
    </row>
    <row r="4529" spans="7:10" ht="35.450000000000003" hidden="1" customHeight="1">
      <c r="G4529" s="113"/>
      <c r="J4529" s="28">
        <f>IFERROR(VLOOKUP(TEXT(B4529,"0"),STOCK!A:H,7,0),1)</f>
        <v>1</v>
      </c>
    </row>
    <row r="4530" spans="7:10" ht="35.450000000000003" hidden="1" customHeight="1">
      <c r="G4530" s="113"/>
      <c r="J4530" s="28">
        <f>IFERROR(VLOOKUP(TEXT(B4530,"0"),STOCK!A:H,7,0),1)</f>
        <v>1</v>
      </c>
    </row>
    <row r="4531" spans="7:10" ht="35.450000000000003" hidden="1" customHeight="1">
      <c r="G4531" s="113"/>
      <c r="J4531" s="28">
        <f>IFERROR(VLOOKUP(TEXT(B4531,"0"),STOCK!A:H,7,0),1)</f>
        <v>1</v>
      </c>
    </row>
    <row r="4532" spans="7:10" ht="35.450000000000003" hidden="1" customHeight="1">
      <c r="G4532" s="113"/>
      <c r="J4532" s="28">
        <f>IFERROR(VLOOKUP(TEXT(B4532,"0"),STOCK!A:H,7,0),1)</f>
        <v>1</v>
      </c>
    </row>
    <row r="4533" spans="7:10" ht="35.450000000000003" hidden="1" customHeight="1">
      <c r="G4533" s="113"/>
      <c r="J4533" s="28">
        <f>IFERROR(VLOOKUP(TEXT(B4533,"0"),STOCK!A:H,7,0),1)</f>
        <v>1</v>
      </c>
    </row>
    <row r="4534" spans="7:10" ht="35.450000000000003" hidden="1" customHeight="1">
      <c r="G4534" s="113"/>
      <c r="J4534" s="28">
        <f>IFERROR(VLOOKUP(TEXT(B4534,"0"),STOCK!A:H,7,0),1)</f>
        <v>1</v>
      </c>
    </row>
    <row r="4535" spans="7:10" ht="35.450000000000003" hidden="1" customHeight="1">
      <c r="G4535" s="113"/>
      <c r="J4535" s="28">
        <f>IFERROR(VLOOKUP(TEXT(B4535,"0"),STOCK!A:H,7,0),1)</f>
        <v>1</v>
      </c>
    </row>
    <row r="4536" spans="7:10" ht="35.450000000000003" hidden="1" customHeight="1">
      <c r="G4536" s="113"/>
      <c r="J4536" s="28">
        <f>IFERROR(VLOOKUP(TEXT(B4536,"0"),STOCK!A:H,7,0),1)</f>
        <v>1</v>
      </c>
    </row>
    <row r="4537" spans="7:10" ht="35.450000000000003" hidden="1" customHeight="1">
      <c r="G4537" s="113"/>
      <c r="J4537" s="28">
        <f>IFERROR(VLOOKUP(TEXT(B4537,"0"),STOCK!A:H,7,0),1)</f>
        <v>1</v>
      </c>
    </row>
    <row r="4538" spans="7:10" ht="35.450000000000003" hidden="1" customHeight="1">
      <c r="G4538" s="113"/>
      <c r="J4538" s="28">
        <f>IFERROR(VLOOKUP(TEXT(B4538,"0"),STOCK!A:H,7,0),1)</f>
        <v>1</v>
      </c>
    </row>
    <row r="4539" spans="7:10" ht="35.450000000000003" hidden="1" customHeight="1">
      <c r="G4539" s="113"/>
      <c r="J4539" s="28">
        <f>IFERROR(VLOOKUP(TEXT(B4539,"0"),STOCK!A:H,7,0),1)</f>
        <v>1</v>
      </c>
    </row>
    <row r="4540" spans="7:10" ht="35.450000000000003" hidden="1" customHeight="1">
      <c r="G4540" s="113"/>
      <c r="J4540" s="28">
        <f>IFERROR(VLOOKUP(TEXT(B4540,"0"),STOCK!A:H,7,0),1)</f>
        <v>1</v>
      </c>
    </row>
    <row r="4541" spans="7:10" ht="35.450000000000003" hidden="1" customHeight="1">
      <c r="G4541" s="113"/>
      <c r="J4541" s="28">
        <f>IFERROR(VLOOKUP(TEXT(B4541,"0"),STOCK!A:H,7,0),1)</f>
        <v>1</v>
      </c>
    </row>
    <row r="4542" spans="7:10" ht="35.450000000000003" hidden="1" customHeight="1">
      <c r="G4542" s="113"/>
      <c r="J4542" s="28">
        <f>IFERROR(VLOOKUP(TEXT(B4542,"0"),STOCK!A:H,7,0),1)</f>
        <v>1</v>
      </c>
    </row>
    <row r="4543" spans="7:10" ht="35.450000000000003" hidden="1" customHeight="1">
      <c r="G4543" s="113"/>
      <c r="J4543" s="28">
        <f>IFERROR(VLOOKUP(TEXT(B4543,"0"),STOCK!A:H,7,0),1)</f>
        <v>1</v>
      </c>
    </row>
    <row r="4544" spans="7:10" ht="35.450000000000003" hidden="1" customHeight="1">
      <c r="G4544" s="113"/>
      <c r="J4544" s="28">
        <f>IFERROR(VLOOKUP(TEXT(B4544,"0"),STOCK!A:H,7,0),1)</f>
        <v>1</v>
      </c>
    </row>
    <row r="4545" spans="7:10" ht="35.450000000000003" hidden="1" customHeight="1">
      <c r="G4545" s="113"/>
      <c r="J4545" s="28">
        <f>IFERROR(VLOOKUP(TEXT(B4545,"0"),STOCK!A:H,7,0),1)</f>
        <v>1</v>
      </c>
    </row>
    <row r="4546" spans="7:10" ht="35.450000000000003" hidden="1" customHeight="1">
      <c r="G4546" s="113"/>
      <c r="J4546" s="28">
        <f>IFERROR(VLOOKUP(TEXT(B4546,"0"),STOCK!A:H,7,0),1)</f>
        <v>1</v>
      </c>
    </row>
    <row r="4547" spans="7:10" ht="35.450000000000003" hidden="1" customHeight="1">
      <c r="G4547" s="113"/>
      <c r="J4547" s="28">
        <f>IFERROR(VLOOKUP(TEXT(B4547,"0"),STOCK!A:H,7,0),1)</f>
        <v>1</v>
      </c>
    </row>
    <row r="4548" spans="7:10" ht="35.450000000000003" hidden="1" customHeight="1">
      <c r="G4548" s="113"/>
      <c r="J4548" s="28">
        <f>IFERROR(VLOOKUP(TEXT(B4548,"0"),STOCK!A:H,7,0),1)</f>
        <v>1</v>
      </c>
    </row>
    <row r="4549" spans="7:10" ht="35.450000000000003" hidden="1" customHeight="1">
      <c r="G4549" s="113"/>
      <c r="J4549" s="28">
        <f>IFERROR(VLOOKUP(TEXT(B4549,"0"),STOCK!A:H,7,0),1)</f>
        <v>1</v>
      </c>
    </row>
    <row r="4550" spans="7:10" ht="35.450000000000003" hidden="1" customHeight="1">
      <c r="G4550" s="113"/>
      <c r="J4550" s="28">
        <f>IFERROR(VLOOKUP(TEXT(B4550,"0"),STOCK!A:H,7,0),1)</f>
        <v>1</v>
      </c>
    </row>
    <row r="4551" spans="7:10" ht="35.450000000000003" hidden="1" customHeight="1">
      <c r="G4551" s="113"/>
      <c r="J4551" s="28">
        <f>IFERROR(VLOOKUP(TEXT(B4551,"0"),STOCK!A:H,7,0),1)</f>
        <v>1</v>
      </c>
    </row>
    <row r="4552" spans="7:10" ht="35.450000000000003" hidden="1" customHeight="1">
      <c r="G4552" s="113"/>
      <c r="J4552" s="28">
        <f>IFERROR(VLOOKUP(TEXT(B4552,"0"),STOCK!A:H,7,0),1)</f>
        <v>1</v>
      </c>
    </row>
    <row r="4553" spans="7:10" ht="35.450000000000003" hidden="1" customHeight="1">
      <c r="G4553" s="113"/>
      <c r="J4553" s="28">
        <f>IFERROR(VLOOKUP(TEXT(B4553,"0"),STOCK!A:H,7,0),1)</f>
        <v>1</v>
      </c>
    </row>
    <row r="4554" spans="7:10" ht="35.450000000000003" hidden="1" customHeight="1">
      <c r="G4554" s="113"/>
      <c r="J4554" s="28">
        <f>IFERROR(VLOOKUP(TEXT(B4554,"0"),STOCK!A:H,7,0),1)</f>
        <v>1</v>
      </c>
    </row>
    <row r="4555" spans="7:10" ht="35.450000000000003" hidden="1" customHeight="1">
      <c r="G4555" s="113"/>
      <c r="J4555" s="28">
        <f>IFERROR(VLOOKUP(TEXT(B4555,"0"),STOCK!A:H,7,0),1)</f>
        <v>1</v>
      </c>
    </row>
    <row r="4556" spans="7:10" ht="35.450000000000003" hidden="1" customHeight="1">
      <c r="G4556" s="113"/>
      <c r="J4556" s="28">
        <f>IFERROR(VLOOKUP(TEXT(B4556,"0"),STOCK!A:H,7,0),1)</f>
        <v>1</v>
      </c>
    </row>
    <row r="4557" spans="7:10" ht="35.450000000000003" hidden="1" customHeight="1">
      <c r="G4557" s="113"/>
      <c r="J4557" s="28">
        <f>IFERROR(VLOOKUP(TEXT(B4557,"0"),STOCK!A:H,7,0),1)</f>
        <v>1</v>
      </c>
    </row>
    <row r="4558" spans="7:10" ht="35.450000000000003" hidden="1" customHeight="1">
      <c r="G4558" s="113"/>
      <c r="J4558" s="28">
        <f>IFERROR(VLOOKUP(TEXT(B4558,"0"),STOCK!A:H,7,0),1)</f>
        <v>1</v>
      </c>
    </row>
    <row r="4559" spans="7:10" ht="35.450000000000003" hidden="1" customHeight="1">
      <c r="G4559" s="113"/>
      <c r="J4559" s="28">
        <f>IFERROR(VLOOKUP(TEXT(B4559,"0"),STOCK!A:H,7,0),1)</f>
        <v>1</v>
      </c>
    </row>
    <row r="4560" spans="7:10" ht="35.450000000000003" hidden="1" customHeight="1">
      <c r="G4560" s="113"/>
      <c r="J4560" s="28">
        <f>IFERROR(VLOOKUP(TEXT(B4560,"0"),STOCK!A:H,7,0),1)</f>
        <v>1</v>
      </c>
    </row>
    <row r="4561" spans="7:10" ht="35.450000000000003" hidden="1" customHeight="1">
      <c r="G4561" s="113"/>
      <c r="J4561" s="28">
        <f>IFERROR(VLOOKUP(TEXT(B4561,"0"),STOCK!A:H,7,0),1)</f>
        <v>1</v>
      </c>
    </row>
    <row r="4562" spans="7:10" ht="35.450000000000003" hidden="1" customHeight="1">
      <c r="G4562" s="113"/>
      <c r="J4562" s="28">
        <f>IFERROR(VLOOKUP(TEXT(B4562,"0"),STOCK!A:H,7,0),1)</f>
        <v>1</v>
      </c>
    </row>
    <row r="4563" spans="7:10" ht="35.450000000000003" hidden="1" customHeight="1">
      <c r="G4563" s="113"/>
      <c r="J4563" s="28">
        <f>IFERROR(VLOOKUP(TEXT(B4563,"0"),STOCK!A:H,7,0),1)</f>
        <v>1</v>
      </c>
    </row>
    <row r="4564" spans="7:10" ht="35.450000000000003" hidden="1" customHeight="1">
      <c r="G4564" s="113"/>
      <c r="J4564" s="28">
        <f>IFERROR(VLOOKUP(TEXT(B4564,"0"),STOCK!A:H,7,0),1)</f>
        <v>1</v>
      </c>
    </row>
    <row r="4565" spans="7:10" ht="35.450000000000003" hidden="1" customHeight="1">
      <c r="G4565" s="113"/>
      <c r="J4565" s="28">
        <f>IFERROR(VLOOKUP(TEXT(B4565,"0"),STOCK!A:H,7,0),1)</f>
        <v>1</v>
      </c>
    </row>
    <row r="4566" spans="7:10" ht="35.450000000000003" hidden="1" customHeight="1">
      <c r="G4566" s="113"/>
      <c r="J4566" s="28">
        <f>IFERROR(VLOOKUP(TEXT(B4566,"0"),STOCK!A:H,7,0),1)</f>
        <v>1</v>
      </c>
    </row>
    <row r="4567" spans="7:10" ht="35.450000000000003" hidden="1" customHeight="1">
      <c r="G4567" s="113"/>
      <c r="J4567" s="28">
        <f>IFERROR(VLOOKUP(TEXT(B4567,"0"),STOCK!A:H,7,0),1)</f>
        <v>1</v>
      </c>
    </row>
    <row r="4568" spans="7:10" ht="35.450000000000003" hidden="1" customHeight="1">
      <c r="G4568" s="113"/>
      <c r="J4568" s="28">
        <f>IFERROR(VLOOKUP(TEXT(B4568,"0"),STOCK!A:H,7,0),1)</f>
        <v>1</v>
      </c>
    </row>
    <row r="4569" spans="7:10" ht="35.450000000000003" hidden="1" customHeight="1">
      <c r="G4569" s="113"/>
      <c r="J4569" s="28">
        <f>IFERROR(VLOOKUP(TEXT(B4569,"0"),STOCK!A:H,7,0),1)</f>
        <v>1</v>
      </c>
    </row>
    <row r="4570" spans="7:10" ht="35.450000000000003" hidden="1" customHeight="1">
      <c r="G4570" s="113"/>
      <c r="J4570" s="28">
        <f>IFERROR(VLOOKUP(TEXT(B4570,"0"),STOCK!A:H,7,0),1)</f>
        <v>1</v>
      </c>
    </row>
    <row r="4571" spans="7:10" ht="35.450000000000003" hidden="1" customHeight="1">
      <c r="G4571" s="113"/>
      <c r="J4571" s="28">
        <f>IFERROR(VLOOKUP(TEXT(B4571,"0"),STOCK!A:H,7,0),1)</f>
        <v>1</v>
      </c>
    </row>
    <row r="4572" spans="7:10" ht="35.450000000000003" hidden="1" customHeight="1">
      <c r="G4572" s="113"/>
      <c r="J4572" s="28">
        <f>IFERROR(VLOOKUP(TEXT(B4572,"0"),STOCK!A:H,7,0),1)</f>
        <v>1</v>
      </c>
    </row>
    <row r="4573" spans="7:10" ht="35.450000000000003" hidden="1" customHeight="1">
      <c r="G4573" s="113"/>
      <c r="J4573" s="28">
        <f>IFERROR(VLOOKUP(TEXT(B4573,"0"),STOCK!A:H,7,0),1)</f>
        <v>1</v>
      </c>
    </row>
    <row r="4574" spans="7:10" ht="35.450000000000003" hidden="1" customHeight="1">
      <c r="G4574" s="113"/>
      <c r="J4574" s="28">
        <f>IFERROR(VLOOKUP(TEXT(B4574,"0"),STOCK!A:H,7,0),1)</f>
        <v>1</v>
      </c>
    </row>
    <row r="4575" spans="7:10" ht="35.450000000000003" hidden="1" customHeight="1">
      <c r="G4575" s="113"/>
      <c r="J4575" s="28">
        <f>IFERROR(VLOOKUP(TEXT(B4575,"0"),STOCK!A:H,7,0),1)</f>
        <v>1</v>
      </c>
    </row>
    <row r="4576" spans="7:10" ht="35.450000000000003" hidden="1" customHeight="1">
      <c r="G4576" s="113"/>
      <c r="J4576" s="28">
        <f>IFERROR(VLOOKUP(TEXT(B4576,"0"),STOCK!A:H,7,0),1)</f>
        <v>1</v>
      </c>
    </row>
    <row r="4577" spans="7:10" ht="35.450000000000003" hidden="1" customHeight="1">
      <c r="G4577" s="113"/>
      <c r="J4577" s="28">
        <f>IFERROR(VLOOKUP(TEXT(B4577,"0"),STOCK!A:H,7,0),1)</f>
        <v>1</v>
      </c>
    </row>
    <row r="4578" spans="7:10" ht="35.450000000000003" hidden="1" customHeight="1">
      <c r="G4578" s="113"/>
      <c r="J4578" s="28">
        <f>IFERROR(VLOOKUP(TEXT(B4578,"0"),STOCK!A:H,7,0),1)</f>
        <v>1</v>
      </c>
    </row>
    <row r="4579" spans="7:10" ht="35.450000000000003" hidden="1" customHeight="1">
      <c r="G4579" s="113"/>
      <c r="J4579" s="28">
        <f>IFERROR(VLOOKUP(TEXT(B4579,"0"),STOCK!A:H,7,0),1)</f>
        <v>1</v>
      </c>
    </row>
    <row r="4580" spans="7:10" ht="35.450000000000003" hidden="1" customHeight="1">
      <c r="G4580" s="113"/>
      <c r="J4580" s="28">
        <f>IFERROR(VLOOKUP(TEXT(B4580,"0"),STOCK!A:H,7,0),1)</f>
        <v>1</v>
      </c>
    </row>
    <row r="4581" spans="7:10" ht="35.450000000000003" hidden="1" customHeight="1">
      <c r="G4581" s="113"/>
      <c r="J4581" s="28">
        <f>IFERROR(VLOOKUP(TEXT(B4581,"0"),STOCK!A:H,7,0),1)</f>
        <v>1</v>
      </c>
    </row>
    <row r="4582" spans="7:10" ht="35.450000000000003" hidden="1" customHeight="1">
      <c r="G4582" s="113"/>
      <c r="J4582" s="28">
        <f>IFERROR(VLOOKUP(TEXT(B4582,"0"),STOCK!A:H,7,0),1)</f>
        <v>1</v>
      </c>
    </row>
    <row r="4583" spans="7:10" ht="35.450000000000003" hidden="1" customHeight="1">
      <c r="G4583" s="113"/>
      <c r="J4583" s="28">
        <f>IFERROR(VLOOKUP(TEXT(B4583,"0"),STOCK!A:H,7,0),1)</f>
        <v>1</v>
      </c>
    </row>
    <row r="4584" spans="7:10" ht="35.450000000000003" hidden="1" customHeight="1">
      <c r="G4584" s="113"/>
      <c r="J4584" s="28">
        <f>IFERROR(VLOOKUP(TEXT(B4584,"0"),STOCK!A:H,7,0),1)</f>
        <v>1</v>
      </c>
    </row>
    <row r="4585" spans="7:10" ht="35.450000000000003" hidden="1" customHeight="1">
      <c r="G4585" s="113"/>
      <c r="J4585" s="28">
        <f>IFERROR(VLOOKUP(TEXT(B4585,"0"),STOCK!A:H,7,0),1)</f>
        <v>1</v>
      </c>
    </row>
    <row r="4586" spans="7:10" ht="35.450000000000003" hidden="1" customHeight="1">
      <c r="G4586" s="113"/>
      <c r="J4586" s="28">
        <f>IFERROR(VLOOKUP(TEXT(B4586,"0"),STOCK!A:H,7,0),1)</f>
        <v>1</v>
      </c>
    </row>
    <row r="4587" spans="7:10" ht="35.450000000000003" hidden="1" customHeight="1">
      <c r="G4587" s="113"/>
      <c r="J4587" s="28">
        <f>IFERROR(VLOOKUP(TEXT(B4587,"0"),STOCK!A:H,7,0),1)</f>
        <v>1</v>
      </c>
    </row>
    <row r="4588" spans="7:10" ht="35.450000000000003" hidden="1" customHeight="1">
      <c r="G4588" s="113"/>
      <c r="J4588" s="28">
        <f>IFERROR(VLOOKUP(TEXT(B4588,"0"),STOCK!A:H,7,0),1)</f>
        <v>1</v>
      </c>
    </row>
    <row r="4589" spans="7:10" ht="35.450000000000003" hidden="1" customHeight="1">
      <c r="G4589" s="113"/>
      <c r="J4589" s="28">
        <f>IFERROR(VLOOKUP(TEXT(B4589,"0"),STOCK!A:H,7,0),1)</f>
        <v>1</v>
      </c>
    </row>
    <row r="4590" spans="7:10" ht="35.450000000000003" hidden="1" customHeight="1">
      <c r="G4590" s="113"/>
      <c r="J4590" s="28">
        <f>IFERROR(VLOOKUP(TEXT(B4590,"0"),STOCK!A:H,7,0),1)</f>
        <v>1</v>
      </c>
    </row>
    <row r="4591" spans="7:10" ht="35.450000000000003" hidden="1" customHeight="1">
      <c r="G4591" s="113"/>
      <c r="J4591" s="28">
        <f>IFERROR(VLOOKUP(TEXT(B4591,"0"),STOCK!A:H,7,0),1)</f>
        <v>1</v>
      </c>
    </row>
    <row r="4592" spans="7:10" ht="35.450000000000003" hidden="1" customHeight="1">
      <c r="G4592" s="113"/>
      <c r="J4592" s="28">
        <f>IFERROR(VLOOKUP(TEXT(B4592,"0"),STOCK!A:H,7,0),1)</f>
        <v>1</v>
      </c>
    </row>
    <row r="4593" spans="7:10" ht="35.450000000000003" hidden="1" customHeight="1">
      <c r="G4593" s="113"/>
      <c r="J4593" s="28">
        <f>IFERROR(VLOOKUP(TEXT(B4593,"0"),STOCK!A:H,7,0),1)</f>
        <v>1</v>
      </c>
    </row>
    <row r="4594" spans="7:10" ht="35.450000000000003" hidden="1" customHeight="1">
      <c r="G4594" s="113"/>
      <c r="J4594" s="28">
        <f>IFERROR(VLOOKUP(TEXT(B4594,"0"),STOCK!A:H,7,0),1)</f>
        <v>1</v>
      </c>
    </row>
    <row r="4595" spans="7:10" ht="35.450000000000003" hidden="1" customHeight="1">
      <c r="G4595" s="113"/>
      <c r="J4595" s="28">
        <f>IFERROR(VLOOKUP(TEXT(B4595,"0"),STOCK!A:H,7,0),1)</f>
        <v>1</v>
      </c>
    </row>
    <row r="4596" spans="7:10" ht="35.450000000000003" hidden="1" customHeight="1">
      <c r="G4596" s="113"/>
      <c r="J4596" s="28">
        <f>IFERROR(VLOOKUP(TEXT(B4596,"0"),STOCK!A:H,7,0),1)</f>
        <v>1</v>
      </c>
    </row>
    <row r="4597" spans="7:10" ht="35.450000000000003" hidden="1" customHeight="1">
      <c r="G4597" s="113"/>
      <c r="J4597" s="28">
        <f>IFERROR(VLOOKUP(TEXT(B4597,"0"),STOCK!A:H,7,0),1)</f>
        <v>1</v>
      </c>
    </row>
    <row r="4598" spans="7:10" ht="35.450000000000003" hidden="1" customHeight="1">
      <c r="G4598" s="113"/>
      <c r="J4598" s="28">
        <f>IFERROR(VLOOKUP(TEXT(B4598,"0"),STOCK!A:H,7,0),1)</f>
        <v>1</v>
      </c>
    </row>
    <row r="4599" spans="7:10" ht="35.450000000000003" hidden="1" customHeight="1">
      <c r="G4599" s="113"/>
      <c r="J4599" s="28">
        <f>IFERROR(VLOOKUP(TEXT(B4599,"0"),STOCK!A:H,7,0),1)</f>
        <v>1</v>
      </c>
    </row>
    <row r="4600" spans="7:10" ht="35.450000000000003" hidden="1" customHeight="1">
      <c r="G4600" s="113"/>
      <c r="J4600" s="28">
        <f>IFERROR(VLOOKUP(TEXT(B4600,"0"),STOCK!A:H,7,0),1)</f>
        <v>1</v>
      </c>
    </row>
    <row r="4601" spans="7:10" ht="35.450000000000003" hidden="1" customHeight="1">
      <c r="G4601" s="113"/>
      <c r="J4601" s="28">
        <f>IFERROR(VLOOKUP(TEXT(B4601,"0"),STOCK!A:H,7,0),1)</f>
        <v>1</v>
      </c>
    </row>
    <row r="4602" spans="7:10" ht="35.450000000000003" hidden="1" customHeight="1">
      <c r="G4602" s="113"/>
      <c r="J4602" s="28">
        <f>IFERROR(VLOOKUP(TEXT(B4602,"0"),STOCK!A:H,7,0),1)</f>
        <v>1</v>
      </c>
    </row>
    <row r="4603" spans="7:10" ht="35.450000000000003" hidden="1" customHeight="1">
      <c r="G4603" s="113"/>
      <c r="J4603" s="28">
        <f>IFERROR(VLOOKUP(TEXT(B4603,"0"),STOCK!A:H,7,0),1)</f>
        <v>1</v>
      </c>
    </row>
    <row r="4604" spans="7:10" ht="35.450000000000003" hidden="1" customHeight="1">
      <c r="G4604" s="113"/>
      <c r="J4604" s="28">
        <f>IFERROR(VLOOKUP(TEXT(B4604,"0"),STOCK!A:H,7,0),1)</f>
        <v>1</v>
      </c>
    </row>
    <row r="4605" spans="7:10" ht="35.450000000000003" hidden="1" customHeight="1">
      <c r="G4605" s="113"/>
      <c r="J4605" s="28">
        <f>IFERROR(VLOOKUP(TEXT(B4605,"0"),STOCK!A:H,7,0),1)</f>
        <v>1</v>
      </c>
    </row>
    <row r="4606" spans="7:10" ht="35.450000000000003" hidden="1" customHeight="1">
      <c r="G4606" s="113"/>
      <c r="J4606" s="28">
        <f>IFERROR(VLOOKUP(TEXT(B4606,"0"),STOCK!A:H,7,0),1)</f>
        <v>1</v>
      </c>
    </row>
    <row r="4607" spans="7:10" ht="35.450000000000003" hidden="1" customHeight="1">
      <c r="G4607" s="113"/>
      <c r="J4607" s="28">
        <f>IFERROR(VLOOKUP(TEXT(B4607,"0"),STOCK!A:H,7,0),1)</f>
        <v>1</v>
      </c>
    </row>
    <row r="4608" spans="7:10" ht="35.450000000000003" hidden="1" customHeight="1">
      <c r="G4608" s="113"/>
      <c r="J4608" s="28">
        <f>IFERROR(VLOOKUP(TEXT(B4608,"0"),STOCK!A:H,7,0),1)</f>
        <v>1</v>
      </c>
    </row>
    <row r="4609" spans="7:10" ht="35.450000000000003" hidden="1" customHeight="1">
      <c r="G4609" s="113"/>
      <c r="J4609" s="28">
        <f>IFERROR(VLOOKUP(TEXT(B4609,"0"),STOCK!A:H,7,0),1)</f>
        <v>1</v>
      </c>
    </row>
    <row r="4610" spans="7:10" ht="35.450000000000003" hidden="1" customHeight="1">
      <c r="G4610" s="113"/>
      <c r="J4610" s="28">
        <f>IFERROR(VLOOKUP(TEXT(B4610,"0"),STOCK!A:H,7,0),1)</f>
        <v>1</v>
      </c>
    </row>
    <row r="4611" spans="7:10" ht="35.450000000000003" hidden="1" customHeight="1">
      <c r="G4611" s="113"/>
      <c r="J4611" s="28">
        <f>IFERROR(VLOOKUP(TEXT(B4611,"0"),STOCK!A:H,7,0),1)</f>
        <v>1</v>
      </c>
    </row>
    <row r="4612" spans="7:10" ht="35.450000000000003" hidden="1" customHeight="1">
      <c r="G4612" s="113"/>
      <c r="J4612" s="28">
        <f>IFERROR(VLOOKUP(TEXT(B4612,"0"),STOCK!A:H,7,0),1)</f>
        <v>1</v>
      </c>
    </row>
    <row r="4613" spans="7:10" ht="35.450000000000003" hidden="1" customHeight="1">
      <c r="G4613" s="113"/>
      <c r="J4613" s="28">
        <f>IFERROR(VLOOKUP(TEXT(B4613,"0"),STOCK!A:H,7,0),1)</f>
        <v>1</v>
      </c>
    </row>
    <row r="4614" spans="7:10" ht="35.450000000000003" hidden="1" customHeight="1">
      <c r="G4614" s="113"/>
      <c r="J4614" s="28">
        <f>IFERROR(VLOOKUP(TEXT(B4614,"0"),STOCK!A:H,7,0),1)</f>
        <v>1</v>
      </c>
    </row>
    <row r="4615" spans="7:10" ht="35.450000000000003" hidden="1" customHeight="1">
      <c r="G4615" s="113"/>
      <c r="J4615" s="28">
        <f>IFERROR(VLOOKUP(TEXT(B4615,"0"),STOCK!A:H,7,0),1)</f>
        <v>1</v>
      </c>
    </row>
    <row r="4616" spans="7:10" ht="35.450000000000003" hidden="1" customHeight="1">
      <c r="G4616" s="113"/>
      <c r="J4616" s="28">
        <f>IFERROR(VLOOKUP(TEXT(B4616,"0"),STOCK!A:H,7,0),1)</f>
        <v>1</v>
      </c>
    </row>
    <row r="4617" spans="7:10" ht="35.450000000000003" hidden="1" customHeight="1">
      <c r="G4617" s="113"/>
      <c r="J4617" s="28">
        <f>IFERROR(VLOOKUP(TEXT(B4617,"0"),STOCK!A:H,7,0),1)</f>
        <v>1</v>
      </c>
    </row>
    <row r="4618" spans="7:10" ht="35.450000000000003" hidden="1" customHeight="1">
      <c r="G4618" s="113"/>
      <c r="J4618" s="28">
        <f>IFERROR(VLOOKUP(TEXT(B4618,"0"),STOCK!A:H,7,0),1)</f>
        <v>1</v>
      </c>
    </row>
    <row r="4619" spans="7:10" ht="35.450000000000003" hidden="1" customHeight="1">
      <c r="G4619" s="113"/>
      <c r="J4619" s="28">
        <f>IFERROR(VLOOKUP(TEXT(B4619,"0"),STOCK!A:H,7,0),1)</f>
        <v>1</v>
      </c>
    </row>
    <row r="4620" spans="7:10" ht="35.450000000000003" hidden="1" customHeight="1">
      <c r="G4620" s="113"/>
      <c r="J4620" s="28">
        <f>IFERROR(VLOOKUP(TEXT(B4620,"0"),STOCK!A:H,7,0),1)</f>
        <v>1</v>
      </c>
    </row>
    <row r="4621" spans="7:10" ht="35.450000000000003" hidden="1" customHeight="1">
      <c r="G4621" s="113"/>
      <c r="J4621" s="28">
        <f>IFERROR(VLOOKUP(TEXT(B4621,"0"),STOCK!A:H,7,0),1)</f>
        <v>1</v>
      </c>
    </row>
    <row r="4622" spans="7:10" ht="35.450000000000003" hidden="1" customHeight="1">
      <c r="G4622" s="113"/>
      <c r="J4622" s="28">
        <f>IFERROR(VLOOKUP(TEXT(B4622,"0"),STOCK!A:H,7,0),1)</f>
        <v>1</v>
      </c>
    </row>
    <row r="4623" spans="7:10" ht="35.450000000000003" hidden="1" customHeight="1">
      <c r="G4623" s="113"/>
      <c r="J4623" s="28">
        <f>IFERROR(VLOOKUP(TEXT(B4623,"0"),STOCK!A:H,7,0),1)</f>
        <v>1</v>
      </c>
    </row>
    <row r="4624" spans="7:10" ht="35.450000000000003" hidden="1" customHeight="1">
      <c r="G4624" s="113"/>
      <c r="J4624" s="28">
        <f>IFERROR(VLOOKUP(TEXT(B4624,"0"),STOCK!A:H,7,0),1)</f>
        <v>1</v>
      </c>
    </row>
    <row r="4625" spans="7:10" ht="35.450000000000003" hidden="1" customHeight="1">
      <c r="G4625" s="113"/>
      <c r="J4625" s="28">
        <f>IFERROR(VLOOKUP(TEXT(B4625,"0"),STOCK!A:H,7,0),1)</f>
        <v>1</v>
      </c>
    </row>
    <row r="4626" spans="7:10" ht="35.450000000000003" hidden="1" customHeight="1">
      <c r="G4626" s="113"/>
      <c r="J4626" s="28">
        <f>IFERROR(VLOOKUP(TEXT(B4626,"0"),STOCK!A:H,7,0),1)</f>
        <v>1</v>
      </c>
    </row>
    <row r="4627" spans="7:10" ht="35.450000000000003" hidden="1" customHeight="1">
      <c r="G4627" s="113"/>
      <c r="J4627" s="28">
        <f>IFERROR(VLOOKUP(TEXT(B4627,"0"),STOCK!A:H,7,0),1)</f>
        <v>1</v>
      </c>
    </row>
    <row r="4628" spans="7:10" ht="35.450000000000003" hidden="1" customHeight="1">
      <c r="G4628" s="113"/>
      <c r="J4628" s="28">
        <f>IFERROR(VLOOKUP(TEXT(B4628,"0"),STOCK!A:H,7,0),1)</f>
        <v>1</v>
      </c>
    </row>
    <row r="4629" spans="7:10" ht="35.450000000000003" hidden="1" customHeight="1">
      <c r="G4629" s="113"/>
      <c r="J4629" s="28">
        <f>IFERROR(VLOOKUP(TEXT(B4629,"0"),STOCK!A:H,7,0),1)</f>
        <v>1</v>
      </c>
    </row>
    <row r="4630" spans="7:10" ht="35.450000000000003" hidden="1" customHeight="1">
      <c r="G4630" s="113"/>
      <c r="J4630" s="28">
        <f>IFERROR(VLOOKUP(TEXT(B4630,"0"),STOCK!A:H,7,0),1)</f>
        <v>1</v>
      </c>
    </row>
    <row r="4631" spans="7:10" ht="35.450000000000003" hidden="1" customHeight="1">
      <c r="G4631" s="113"/>
      <c r="J4631" s="28">
        <f>IFERROR(VLOOKUP(TEXT(B4631,"0"),STOCK!A:H,7,0),1)</f>
        <v>1</v>
      </c>
    </row>
    <row r="4632" spans="7:10" ht="35.450000000000003" hidden="1" customHeight="1">
      <c r="G4632" s="113"/>
      <c r="J4632" s="28">
        <f>IFERROR(VLOOKUP(TEXT(B4632,"0"),STOCK!A:H,7,0),1)</f>
        <v>1</v>
      </c>
    </row>
    <row r="4633" spans="7:10" ht="35.450000000000003" hidden="1" customHeight="1">
      <c r="G4633" s="113"/>
      <c r="J4633" s="28">
        <f>IFERROR(VLOOKUP(TEXT(B4633,"0"),STOCK!A:H,7,0),1)</f>
        <v>1</v>
      </c>
    </row>
    <row r="4634" spans="7:10" ht="35.450000000000003" hidden="1" customHeight="1">
      <c r="G4634" s="113"/>
      <c r="J4634" s="28">
        <f>IFERROR(VLOOKUP(TEXT(B4634,"0"),STOCK!A:H,7,0),1)</f>
        <v>1</v>
      </c>
    </row>
    <row r="4635" spans="7:10" ht="35.450000000000003" hidden="1" customHeight="1">
      <c r="G4635" s="113"/>
      <c r="J4635" s="28">
        <f>IFERROR(VLOOKUP(TEXT(B4635,"0"),STOCK!A:H,7,0),1)</f>
        <v>1</v>
      </c>
    </row>
    <row r="4636" spans="7:10" ht="35.450000000000003" hidden="1" customHeight="1">
      <c r="G4636" s="113"/>
      <c r="J4636" s="28">
        <f>IFERROR(VLOOKUP(TEXT(B4636,"0"),STOCK!A:H,7,0),1)</f>
        <v>1</v>
      </c>
    </row>
    <row r="4637" spans="7:10" ht="35.450000000000003" hidden="1" customHeight="1">
      <c r="G4637" s="113"/>
      <c r="J4637" s="28">
        <f>IFERROR(VLOOKUP(TEXT(B4637,"0"),STOCK!A:H,7,0),1)</f>
        <v>1</v>
      </c>
    </row>
    <row r="4638" spans="7:10" ht="35.450000000000003" hidden="1" customHeight="1">
      <c r="G4638" s="113"/>
      <c r="J4638" s="28">
        <f>IFERROR(VLOOKUP(TEXT(B4638,"0"),STOCK!A:H,7,0),1)</f>
        <v>1</v>
      </c>
    </row>
    <row r="4639" spans="7:10" ht="35.450000000000003" hidden="1" customHeight="1">
      <c r="G4639" s="113"/>
      <c r="J4639" s="28">
        <f>IFERROR(VLOOKUP(TEXT(B4639,"0"),STOCK!A:H,7,0),1)</f>
        <v>1</v>
      </c>
    </row>
    <row r="4640" spans="7:10" ht="35.450000000000003" hidden="1" customHeight="1">
      <c r="G4640" s="113"/>
      <c r="J4640" s="28">
        <f>IFERROR(VLOOKUP(TEXT(B4640,"0"),STOCK!A:H,7,0),1)</f>
        <v>1</v>
      </c>
    </row>
    <row r="4641" spans="7:10" ht="35.450000000000003" hidden="1" customHeight="1">
      <c r="G4641" s="113"/>
      <c r="J4641" s="28">
        <f>IFERROR(VLOOKUP(TEXT(B4641,"0"),STOCK!A:H,7,0),1)</f>
        <v>1</v>
      </c>
    </row>
    <row r="4642" spans="7:10" ht="35.450000000000003" hidden="1" customHeight="1">
      <c r="G4642" s="113"/>
      <c r="J4642" s="28">
        <f>IFERROR(VLOOKUP(TEXT(B4642,"0"),STOCK!A:H,7,0),1)</f>
        <v>1</v>
      </c>
    </row>
    <row r="4643" spans="7:10" ht="35.450000000000003" hidden="1" customHeight="1">
      <c r="G4643" s="113"/>
      <c r="J4643" s="28">
        <f>IFERROR(VLOOKUP(TEXT(B4643,"0"),STOCK!A:H,7,0),1)</f>
        <v>1</v>
      </c>
    </row>
    <row r="4644" spans="7:10" ht="35.450000000000003" hidden="1" customHeight="1">
      <c r="G4644" s="113"/>
      <c r="J4644" s="28">
        <f>IFERROR(VLOOKUP(TEXT(B4644,"0"),STOCK!A:H,7,0),1)</f>
        <v>1</v>
      </c>
    </row>
    <row r="4645" spans="7:10" ht="35.450000000000003" hidden="1" customHeight="1">
      <c r="G4645" s="113"/>
      <c r="J4645" s="28">
        <f>IFERROR(VLOOKUP(TEXT(B4645,"0"),STOCK!A:H,7,0),1)</f>
        <v>1</v>
      </c>
    </row>
    <row r="4646" spans="7:10" ht="35.450000000000003" hidden="1" customHeight="1">
      <c r="G4646" s="113"/>
      <c r="J4646" s="28">
        <f>IFERROR(VLOOKUP(TEXT(B4646,"0"),STOCK!A:H,7,0),1)</f>
        <v>1</v>
      </c>
    </row>
    <row r="4647" spans="7:10" ht="35.450000000000003" hidden="1" customHeight="1">
      <c r="G4647" s="113"/>
      <c r="J4647" s="28">
        <f>IFERROR(VLOOKUP(TEXT(B4647,"0"),STOCK!A:H,7,0),1)</f>
        <v>1</v>
      </c>
    </row>
    <row r="4648" spans="7:10" ht="35.450000000000003" hidden="1" customHeight="1">
      <c r="G4648" s="113"/>
      <c r="J4648" s="28">
        <f>IFERROR(VLOOKUP(TEXT(B4648,"0"),STOCK!A:H,7,0),1)</f>
        <v>1</v>
      </c>
    </row>
    <row r="4649" spans="7:10" ht="35.450000000000003" hidden="1" customHeight="1">
      <c r="G4649" s="113"/>
      <c r="J4649" s="28">
        <f>IFERROR(VLOOKUP(TEXT(B4649,"0"),STOCK!A:H,7,0),1)</f>
        <v>1</v>
      </c>
    </row>
    <row r="4650" spans="7:10" ht="35.450000000000003" hidden="1" customHeight="1">
      <c r="G4650" s="113"/>
      <c r="J4650" s="28">
        <f>IFERROR(VLOOKUP(TEXT(B4650,"0"),STOCK!A:H,7,0),1)</f>
        <v>1</v>
      </c>
    </row>
    <row r="4651" spans="7:10" ht="35.450000000000003" hidden="1" customHeight="1">
      <c r="G4651" s="113"/>
      <c r="J4651" s="28">
        <f>IFERROR(VLOOKUP(TEXT(B4651,"0"),STOCK!A:H,7,0),1)</f>
        <v>1</v>
      </c>
    </row>
    <row r="4652" spans="7:10" ht="35.450000000000003" hidden="1" customHeight="1">
      <c r="G4652" s="113"/>
      <c r="J4652" s="28">
        <f>IFERROR(VLOOKUP(TEXT(B4652,"0"),STOCK!A:H,7,0),1)</f>
        <v>1</v>
      </c>
    </row>
    <row r="4653" spans="7:10" ht="35.450000000000003" hidden="1" customHeight="1">
      <c r="G4653" s="113"/>
      <c r="J4653" s="28">
        <f>IFERROR(VLOOKUP(TEXT(B4653,"0"),STOCK!A:H,7,0),1)</f>
        <v>1</v>
      </c>
    </row>
    <row r="4654" spans="7:10" ht="35.450000000000003" hidden="1" customHeight="1">
      <c r="G4654" s="113"/>
      <c r="J4654" s="28">
        <f>IFERROR(VLOOKUP(TEXT(B4654,"0"),STOCK!A:H,7,0),1)</f>
        <v>1</v>
      </c>
    </row>
    <row r="4655" spans="7:10" ht="35.450000000000003" hidden="1" customHeight="1">
      <c r="G4655" s="113"/>
      <c r="J4655" s="28">
        <f>IFERROR(VLOOKUP(TEXT(B4655,"0"),STOCK!A:H,7,0),1)</f>
        <v>1</v>
      </c>
    </row>
    <row r="4656" spans="7:10" ht="35.450000000000003" hidden="1" customHeight="1">
      <c r="G4656" s="113"/>
      <c r="J4656" s="28">
        <f>IFERROR(VLOOKUP(TEXT(B4656,"0"),STOCK!A:H,7,0),1)</f>
        <v>1</v>
      </c>
    </row>
    <row r="4657" spans="7:10" ht="35.450000000000003" hidden="1" customHeight="1">
      <c r="G4657" s="113"/>
      <c r="J4657" s="28">
        <f>IFERROR(VLOOKUP(TEXT(B4657,"0"),STOCK!A:H,7,0),1)</f>
        <v>1</v>
      </c>
    </row>
    <row r="4658" spans="7:10" ht="35.450000000000003" hidden="1" customHeight="1">
      <c r="G4658" s="113"/>
      <c r="J4658" s="28">
        <f>IFERROR(VLOOKUP(TEXT(B4658,"0"),STOCK!A:H,7,0),1)</f>
        <v>1</v>
      </c>
    </row>
    <row r="4659" spans="7:10" ht="35.450000000000003" hidden="1" customHeight="1">
      <c r="G4659" s="113"/>
      <c r="J4659" s="28">
        <f>IFERROR(VLOOKUP(TEXT(B4659,"0"),STOCK!A:H,7,0),1)</f>
        <v>1</v>
      </c>
    </row>
    <row r="4660" spans="7:10" ht="35.450000000000003" hidden="1" customHeight="1">
      <c r="G4660" s="113"/>
      <c r="J4660" s="28">
        <f>IFERROR(VLOOKUP(TEXT(B4660,"0"),STOCK!A:H,7,0),1)</f>
        <v>1</v>
      </c>
    </row>
    <row r="4661" spans="7:10" ht="35.450000000000003" hidden="1" customHeight="1">
      <c r="G4661" s="113"/>
      <c r="J4661" s="28">
        <f>IFERROR(VLOOKUP(TEXT(B4661,"0"),STOCK!A:H,7,0),1)</f>
        <v>1</v>
      </c>
    </row>
    <row r="4662" spans="7:10" ht="35.450000000000003" hidden="1" customHeight="1">
      <c r="G4662" s="113"/>
      <c r="J4662" s="28">
        <f>IFERROR(VLOOKUP(TEXT(B4662,"0"),STOCK!A:H,7,0),1)</f>
        <v>1</v>
      </c>
    </row>
    <row r="4663" spans="7:10" ht="35.450000000000003" hidden="1" customHeight="1">
      <c r="G4663" s="113"/>
      <c r="J4663" s="28">
        <f>IFERROR(VLOOKUP(TEXT(B4663,"0"),STOCK!A:H,7,0),1)</f>
        <v>1</v>
      </c>
    </row>
    <row r="4664" spans="7:10" ht="35.450000000000003" hidden="1" customHeight="1">
      <c r="G4664" s="113"/>
      <c r="J4664" s="28">
        <f>IFERROR(VLOOKUP(TEXT(B4664,"0"),STOCK!A:H,7,0),1)</f>
        <v>1</v>
      </c>
    </row>
    <row r="4665" spans="7:10" ht="35.450000000000003" hidden="1" customHeight="1">
      <c r="G4665" s="113"/>
      <c r="J4665" s="28">
        <f>IFERROR(VLOOKUP(TEXT(B4665,"0"),STOCK!A:H,7,0),1)</f>
        <v>1</v>
      </c>
    </row>
    <row r="4666" spans="7:10" ht="35.450000000000003" hidden="1" customHeight="1">
      <c r="G4666" s="113"/>
      <c r="J4666" s="28">
        <f>IFERROR(VLOOKUP(TEXT(B4666,"0"),STOCK!A:H,7,0),1)</f>
        <v>1</v>
      </c>
    </row>
    <row r="4667" spans="7:10" ht="35.450000000000003" hidden="1" customHeight="1">
      <c r="G4667" s="113"/>
      <c r="J4667" s="28">
        <f>IFERROR(VLOOKUP(TEXT(B4667,"0"),STOCK!A:H,7,0),1)</f>
        <v>1</v>
      </c>
    </row>
    <row r="4668" spans="7:10" ht="35.450000000000003" hidden="1" customHeight="1">
      <c r="G4668" s="113"/>
      <c r="J4668" s="28">
        <f>IFERROR(VLOOKUP(TEXT(B4668,"0"),STOCK!A:H,7,0),1)</f>
        <v>1</v>
      </c>
    </row>
    <row r="4669" spans="7:10" ht="35.450000000000003" hidden="1" customHeight="1">
      <c r="G4669" s="113"/>
      <c r="J4669" s="28">
        <f>IFERROR(VLOOKUP(TEXT(B4669,"0"),STOCK!A:H,7,0),1)</f>
        <v>1</v>
      </c>
    </row>
    <row r="4670" spans="7:10" ht="35.450000000000003" hidden="1" customHeight="1">
      <c r="G4670" s="113"/>
      <c r="J4670" s="28">
        <f>IFERROR(VLOOKUP(TEXT(B4670,"0"),STOCK!A:H,7,0),1)</f>
        <v>1</v>
      </c>
    </row>
    <row r="4671" spans="7:10" ht="35.450000000000003" hidden="1" customHeight="1">
      <c r="G4671" s="113"/>
      <c r="J4671" s="28">
        <f>IFERROR(VLOOKUP(TEXT(B4671,"0"),STOCK!A:H,7,0),1)</f>
        <v>1</v>
      </c>
    </row>
    <row r="4672" spans="7:10" ht="35.450000000000003" hidden="1" customHeight="1">
      <c r="G4672" s="113"/>
      <c r="J4672" s="28">
        <f>IFERROR(VLOOKUP(TEXT(B4672,"0"),STOCK!A:H,7,0),1)</f>
        <v>1</v>
      </c>
    </row>
    <row r="4673" spans="7:10" ht="35.450000000000003" hidden="1" customHeight="1">
      <c r="G4673" s="113"/>
      <c r="J4673" s="28">
        <f>IFERROR(VLOOKUP(TEXT(B4673,"0"),STOCK!A:H,7,0),1)</f>
        <v>1</v>
      </c>
    </row>
    <row r="4674" spans="7:10" ht="35.450000000000003" hidden="1" customHeight="1">
      <c r="G4674" s="113"/>
      <c r="J4674" s="28">
        <f>IFERROR(VLOOKUP(TEXT(B4674,"0"),STOCK!A:H,7,0),1)</f>
        <v>1</v>
      </c>
    </row>
    <row r="4675" spans="7:10" ht="35.450000000000003" hidden="1" customHeight="1">
      <c r="G4675" s="113"/>
      <c r="J4675" s="28">
        <f>IFERROR(VLOOKUP(TEXT(B4675,"0"),STOCK!A:H,7,0),1)</f>
        <v>1</v>
      </c>
    </row>
    <row r="4676" spans="7:10" ht="35.450000000000003" hidden="1" customHeight="1">
      <c r="G4676" s="113"/>
      <c r="J4676" s="28">
        <f>IFERROR(VLOOKUP(TEXT(B4676,"0"),STOCK!A:H,7,0),1)</f>
        <v>1</v>
      </c>
    </row>
    <row r="4677" spans="7:10" ht="35.450000000000003" hidden="1" customHeight="1">
      <c r="G4677" s="113"/>
      <c r="J4677" s="28">
        <f>IFERROR(VLOOKUP(TEXT(B4677,"0"),STOCK!A:H,7,0),1)</f>
        <v>1</v>
      </c>
    </row>
    <row r="4678" spans="7:10" ht="35.450000000000003" hidden="1" customHeight="1">
      <c r="G4678" s="113"/>
      <c r="J4678" s="28">
        <f>IFERROR(VLOOKUP(TEXT(B4678,"0"),STOCK!A:H,7,0),1)</f>
        <v>1</v>
      </c>
    </row>
    <row r="4679" spans="7:10" ht="35.450000000000003" hidden="1" customHeight="1">
      <c r="G4679" s="113"/>
      <c r="J4679" s="28">
        <f>IFERROR(VLOOKUP(TEXT(B4679,"0"),STOCK!A:H,7,0),1)</f>
        <v>1</v>
      </c>
    </row>
    <row r="4680" spans="7:10" ht="35.450000000000003" hidden="1" customHeight="1">
      <c r="G4680" s="113"/>
      <c r="J4680" s="28">
        <f>IFERROR(VLOOKUP(TEXT(B4680,"0"),STOCK!A:H,7,0),1)</f>
        <v>1</v>
      </c>
    </row>
    <row r="4681" spans="7:10" ht="35.450000000000003" hidden="1" customHeight="1">
      <c r="G4681" s="113"/>
      <c r="J4681" s="28">
        <f>IFERROR(VLOOKUP(TEXT(B4681,"0"),STOCK!A:H,7,0),1)</f>
        <v>1</v>
      </c>
    </row>
    <row r="4682" spans="7:10" ht="35.450000000000003" hidden="1" customHeight="1">
      <c r="G4682" s="113"/>
      <c r="J4682" s="28">
        <f>IFERROR(VLOOKUP(TEXT(B4682,"0"),STOCK!A:H,7,0),1)</f>
        <v>1</v>
      </c>
    </row>
    <row r="4683" spans="7:10" ht="35.450000000000003" hidden="1" customHeight="1">
      <c r="G4683" s="113"/>
      <c r="J4683" s="28">
        <f>IFERROR(VLOOKUP(TEXT(B4683,"0"),STOCK!A:H,7,0),1)</f>
        <v>1</v>
      </c>
    </row>
    <row r="4684" spans="7:10" ht="35.450000000000003" hidden="1" customHeight="1">
      <c r="G4684" s="113"/>
      <c r="J4684" s="28">
        <f>IFERROR(VLOOKUP(TEXT(B4684,"0"),STOCK!A:H,7,0),1)</f>
        <v>1</v>
      </c>
    </row>
    <row r="4685" spans="7:10" ht="35.450000000000003" hidden="1" customHeight="1">
      <c r="G4685" s="113"/>
      <c r="J4685" s="28">
        <f>IFERROR(VLOOKUP(TEXT(B4685,"0"),STOCK!A:H,7,0),1)</f>
        <v>1</v>
      </c>
    </row>
    <row r="4686" spans="7:10" ht="35.450000000000003" hidden="1" customHeight="1">
      <c r="G4686" s="113"/>
      <c r="J4686" s="28">
        <f>IFERROR(VLOOKUP(TEXT(B4686,"0"),STOCK!A:H,7,0),1)</f>
        <v>1</v>
      </c>
    </row>
    <row r="4687" spans="7:10" ht="35.450000000000003" hidden="1" customHeight="1">
      <c r="G4687" s="113"/>
      <c r="J4687" s="28">
        <f>IFERROR(VLOOKUP(TEXT(B4687,"0"),STOCK!A:H,7,0),1)</f>
        <v>1</v>
      </c>
    </row>
    <row r="4688" spans="7:10" ht="35.450000000000003" hidden="1" customHeight="1">
      <c r="G4688" s="113"/>
      <c r="J4688" s="28">
        <f>IFERROR(VLOOKUP(TEXT(B4688,"0"),STOCK!A:H,7,0),1)</f>
        <v>1</v>
      </c>
    </row>
    <row r="4689" spans="7:10" ht="35.450000000000003" hidden="1" customHeight="1">
      <c r="G4689" s="113"/>
      <c r="J4689" s="28">
        <f>IFERROR(VLOOKUP(TEXT(B4689,"0"),STOCK!A:H,7,0),1)</f>
        <v>1</v>
      </c>
    </row>
    <row r="4690" spans="7:10" ht="35.450000000000003" hidden="1" customHeight="1">
      <c r="G4690" s="113"/>
      <c r="J4690" s="28">
        <f>IFERROR(VLOOKUP(TEXT(B4690,"0"),STOCK!A:H,7,0),1)</f>
        <v>1</v>
      </c>
    </row>
    <row r="4691" spans="7:10" ht="35.450000000000003" hidden="1" customHeight="1">
      <c r="G4691" s="113"/>
      <c r="J4691" s="28">
        <f>IFERROR(VLOOKUP(TEXT(B4691,"0"),STOCK!A:H,7,0),1)</f>
        <v>1</v>
      </c>
    </row>
    <row r="4692" spans="7:10" ht="35.450000000000003" hidden="1" customHeight="1">
      <c r="G4692" s="113"/>
      <c r="J4692" s="28">
        <f>IFERROR(VLOOKUP(TEXT(B4692,"0"),STOCK!A:H,7,0),1)</f>
        <v>1</v>
      </c>
    </row>
    <row r="4693" spans="7:10" ht="35.450000000000003" hidden="1" customHeight="1">
      <c r="G4693" s="113"/>
      <c r="J4693" s="28">
        <f>IFERROR(VLOOKUP(TEXT(B4693,"0"),STOCK!A:H,7,0),1)</f>
        <v>1</v>
      </c>
    </row>
    <row r="4694" spans="7:10" ht="35.450000000000003" hidden="1" customHeight="1">
      <c r="G4694" s="113"/>
      <c r="J4694" s="28">
        <f>IFERROR(VLOOKUP(TEXT(B4694,"0"),STOCK!A:H,7,0),1)</f>
        <v>1</v>
      </c>
    </row>
    <row r="4695" spans="7:10" ht="35.450000000000003" hidden="1" customHeight="1">
      <c r="G4695" s="113"/>
      <c r="J4695" s="28">
        <f>IFERROR(VLOOKUP(TEXT(B4695,"0"),STOCK!A:H,7,0),1)</f>
        <v>1</v>
      </c>
    </row>
    <row r="4696" spans="7:10" ht="35.450000000000003" hidden="1" customHeight="1">
      <c r="G4696" s="113"/>
      <c r="J4696" s="28">
        <f>IFERROR(VLOOKUP(TEXT(B4696,"0"),STOCK!A:H,7,0),1)</f>
        <v>1</v>
      </c>
    </row>
    <row r="4697" spans="7:10" ht="35.450000000000003" hidden="1" customHeight="1">
      <c r="G4697" s="113"/>
      <c r="J4697" s="28">
        <f>IFERROR(VLOOKUP(TEXT(B4697,"0"),STOCK!A:H,7,0),1)</f>
        <v>1</v>
      </c>
    </row>
    <row r="4698" spans="7:10" ht="35.450000000000003" hidden="1" customHeight="1">
      <c r="G4698" s="113"/>
      <c r="J4698" s="28">
        <f>IFERROR(VLOOKUP(TEXT(B4698,"0"),STOCK!A:H,7,0),1)</f>
        <v>1</v>
      </c>
    </row>
    <row r="4699" spans="7:10" ht="35.450000000000003" hidden="1" customHeight="1">
      <c r="G4699" s="113"/>
      <c r="J4699" s="28">
        <f>IFERROR(VLOOKUP(TEXT(B4699,"0"),STOCK!A:H,7,0),1)</f>
        <v>1</v>
      </c>
    </row>
    <row r="4700" spans="7:10" ht="35.450000000000003" hidden="1" customHeight="1">
      <c r="G4700" s="113"/>
      <c r="J4700" s="28">
        <f>IFERROR(VLOOKUP(TEXT(B4700,"0"),STOCK!A:H,7,0),1)</f>
        <v>1</v>
      </c>
    </row>
    <row r="4701" spans="7:10" ht="35.450000000000003" hidden="1" customHeight="1">
      <c r="G4701" s="113"/>
      <c r="J4701" s="28">
        <f>IFERROR(VLOOKUP(TEXT(B4701,"0"),STOCK!A:H,7,0),1)</f>
        <v>1</v>
      </c>
    </row>
    <row r="4702" spans="7:10" ht="35.450000000000003" hidden="1" customHeight="1">
      <c r="G4702" s="113"/>
      <c r="J4702" s="28">
        <f>IFERROR(VLOOKUP(TEXT(B4702,"0"),STOCK!A:H,7,0),1)</f>
        <v>1</v>
      </c>
    </row>
    <row r="4703" spans="7:10" ht="35.450000000000003" hidden="1" customHeight="1">
      <c r="G4703" s="113"/>
      <c r="J4703" s="28">
        <f>IFERROR(VLOOKUP(TEXT(B4703,"0"),STOCK!A:H,7,0),1)</f>
        <v>1</v>
      </c>
    </row>
    <row r="4704" spans="7:10" ht="35.450000000000003" hidden="1" customHeight="1">
      <c r="G4704" s="113"/>
      <c r="J4704" s="28">
        <f>IFERROR(VLOOKUP(TEXT(B4704,"0"),STOCK!A:H,7,0),1)</f>
        <v>1</v>
      </c>
    </row>
    <row r="4705" spans="7:10" ht="35.450000000000003" hidden="1" customHeight="1">
      <c r="G4705" s="113"/>
      <c r="J4705" s="28">
        <f>IFERROR(VLOOKUP(TEXT(B4705,"0"),STOCK!A:H,7,0),1)</f>
        <v>1</v>
      </c>
    </row>
    <row r="4706" spans="7:10" ht="35.450000000000003" hidden="1" customHeight="1">
      <c r="G4706" s="113"/>
      <c r="J4706" s="28">
        <f>IFERROR(VLOOKUP(TEXT(B4706,"0"),STOCK!A:H,7,0),1)</f>
        <v>1</v>
      </c>
    </row>
    <row r="4707" spans="7:10" ht="35.450000000000003" hidden="1" customHeight="1">
      <c r="G4707" s="113"/>
      <c r="J4707" s="28">
        <f>IFERROR(VLOOKUP(TEXT(B4707,"0"),STOCK!A:H,7,0),1)</f>
        <v>1</v>
      </c>
    </row>
    <row r="4708" spans="7:10" ht="35.450000000000003" hidden="1" customHeight="1">
      <c r="G4708" s="113"/>
      <c r="J4708" s="28">
        <f>IFERROR(VLOOKUP(TEXT(B4708,"0"),STOCK!A:H,7,0),1)</f>
        <v>1</v>
      </c>
    </row>
    <row r="4709" spans="7:10" ht="35.450000000000003" hidden="1" customHeight="1">
      <c r="G4709" s="113"/>
      <c r="J4709" s="28">
        <f>IFERROR(VLOOKUP(TEXT(B4709,"0"),STOCK!A:H,7,0),1)</f>
        <v>1</v>
      </c>
    </row>
    <row r="4710" spans="7:10" ht="35.450000000000003" hidden="1" customHeight="1">
      <c r="G4710" s="113"/>
      <c r="J4710" s="28">
        <f>IFERROR(VLOOKUP(TEXT(B4710,"0"),STOCK!A:H,7,0),1)</f>
        <v>1</v>
      </c>
    </row>
    <row r="4711" spans="7:10" ht="35.450000000000003" hidden="1" customHeight="1">
      <c r="G4711" s="113"/>
      <c r="J4711" s="28">
        <f>IFERROR(VLOOKUP(TEXT(B4711,"0"),STOCK!A:H,7,0),1)</f>
        <v>1</v>
      </c>
    </row>
    <row r="4712" spans="7:10" ht="35.450000000000003" hidden="1" customHeight="1">
      <c r="G4712" s="113"/>
      <c r="J4712" s="28">
        <f>IFERROR(VLOOKUP(TEXT(B4712,"0"),STOCK!A:H,7,0),1)</f>
        <v>1</v>
      </c>
    </row>
    <row r="4713" spans="7:10" ht="35.450000000000003" hidden="1" customHeight="1">
      <c r="G4713" s="113"/>
      <c r="J4713" s="28">
        <f>IFERROR(VLOOKUP(TEXT(B4713,"0"),STOCK!A:H,7,0),1)</f>
        <v>1</v>
      </c>
    </row>
    <row r="4714" spans="7:10" ht="35.450000000000003" hidden="1" customHeight="1">
      <c r="G4714" s="113"/>
      <c r="J4714" s="28">
        <f>IFERROR(VLOOKUP(TEXT(B4714,"0"),STOCK!A:H,7,0),1)</f>
        <v>1</v>
      </c>
    </row>
    <row r="4715" spans="7:10" ht="35.450000000000003" hidden="1" customHeight="1">
      <c r="G4715" s="113"/>
      <c r="J4715" s="28">
        <f>IFERROR(VLOOKUP(TEXT(B4715,"0"),STOCK!A:H,7,0),1)</f>
        <v>1</v>
      </c>
    </row>
    <row r="4716" spans="7:10" ht="35.450000000000003" hidden="1" customHeight="1">
      <c r="G4716" s="113"/>
      <c r="J4716" s="28">
        <f>IFERROR(VLOOKUP(TEXT(B4716,"0"),STOCK!A:H,7,0),1)</f>
        <v>1</v>
      </c>
    </row>
    <row r="4717" spans="7:10" ht="35.450000000000003" hidden="1" customHeight="1">
      <c r="G4717" s="113"/>
      <c r="J4717" s="28">
        <f>IFERROR(VLOOKUP(TEXT(B4717,"0"),STOCK!A:H,7,0),1)</f>
        <v>1</v>
      </c>
    </row>
    <row r="4718" spans="7:10" ht="35.450000000000003" hidden="1" customHeight="1">
      <c r="G4718" s="113"/>
      <c r="J4718" s="28">
        <f>IFERROR(VLOOKUP(TEXT(B4718,"0"),STOCK!A:H,7,0),1)</f>
        <v>1</v>
      </c>
    </row>
    <row r="4719" spans="7:10" ht="35.450000000000003" hidden="1" customHeight="1">
      <c r="G4719" s="113"/>
      <c r="J4719" s="28">
        <f>IFERROR(VLOOKUP(TEXT(B4719,"0"),STOCK!A:H,7,0),1)</f>
        <v>1</v>
      </c>
    </row>
    <row r="4720" spans="7:10" ht="35.450000000000003" hidden="1" customHeight="1">
      <c r="G4720" s="113"/>
      <c r="J4720" s="28">
        <f>IFERROR(VLOOKUP(TEXT(B4720,"0"),STOCK!A:H,7,0),1)</f>
        <v>1</v>
      </c>
    </row>
    <row r="4721" spans="7:10" ht="35.450000000000003" hidden="1" customHeight="1">
      <c r="G4721" s="113"/>
      <c r="J4721" s="28">
        <f>IFERROR(VLOOKUP(TEXT(B4721,"0"),STOCK!A:H,7,0),1)</f>
        <v>1</v>
      </c>
    </row>
    <row r="4722" spans="7:10" ht="35.450000000000003" hidden="1" customHeight="1">
      <c r="G4722" s="113"/>
      <c r="J4722" s="28">
        <f>IFERROR(VLOOKUP(TEXT(B4722,"0"),STOCK!A:H,7,0),1)</f>
        <v>1</v>
      </c>
    </row>
    <row r="4723" spans="7:10" ht="35.450000000000003" hidden="1" customHeight="1">
      <c r="G4723" s="113"/>
      <c r="J4723" s="28">
        <f>IFERROR(VLOOKUP(TEXT(B4723,"0"),STOCK!A:H,7,0),1)</f>
        <v>1</v>
      </c>
    </row>
    <row r="4724" spans="7:10" ht="35.450000000000003" hidden="1" customHeight="1">
      <c r="G4724" s="113"/>
      <c r="J4724" s="28">
        <f>IFERROR(VLOOKUP(TEXT(B4724,"0"),STOCK!A:H,7,0),1)</f>
        <v>1</v>
      </c>
    </row>
    <row r="4725" spans="7:10" ht="35.450000000000003" hidden="1" customHeight="1">
      <c r="G4725" s="113"/>
      <c r="J4725" s="28">
        <f>IFERROR(VLOOKUP(TEXT(B4725,"0"),STOCK!A:H,7,0),1)</f>
        <v>1</v>
      </c>
    </row>
    <row r="4726" spans="7:10" ht="35.450000000000003" hidden="1" customHeight="1">
      <c r="G4726" s="113"/>
      <c r="J4726" s="28">
        <f>IFERROR(VLOOKUP(TEXT(B4726,"0"),STOCK!A:H,7,0),1)</f>
        <v>1</v>
      </c>
    </row>
    <row r="4727" spans="7:10" ht="35.450000000000003" hidden="1" customHeight="1">
      <c r="G4727" s="113"/>
      <c r="J4727" s="28">
        <f>IFERROR(VLOOKUP(TEXT(B4727,"0"),STOCK!A:H,7,0),1)</f>
        <v>1</v>
      </c>
    </row>
    <row r="4728" spans="7:10" ht="35.450000000000003" hidden="1" customHeight="1">
      <c r="G4728" s="113"/>
      <c r="J4728" s="28">
        <f>IFERROR(VLOOKUP(TEXT(B4728,"0"),STOCK!A:H,7,0),1)</f>
        <v>1</v>
      </c>
    </row>
    <row r="4729" spans="7:10" ht="35.450000000000003" hidden="1" customHeight="1">
      <c r="G4729" s="113"/>
      <c r="J4729" s="28">
        <f>IFERROR(VLOOKUP(TEXT(B4729,"0"),STOCK!A:H,7,0),1)</f>
        <v>1</v>
      </c>
    </row>
    <row r="4730" spans="7:10" ht="35.450000000000003" hidden="1" customHeight="1">
      <c r="G4730" s="113"/>
      <c r="J4730" s="28">
        <f>IFERROR(VLOOKUP(TEXT(B4730,"0"),STOCK!A:H,7,0),1)</f>
        <v>1</v>
      </c>
    </row>
    <row r="4731" spans="7:10" ht="35.450000000000003" hidden="1" customHeight="1">
      <c r="G4731" s="113"/>
      <c r="J4731" s="28">
        <f>IFERROR(VLOOKUP(TEXT(B4731,"0"),STOCK!A:H,7,0),1)</f>
        <v>1</v>
      </c>
    </row>
    <row r="4732" spans="7:10" ht="35.450000000000003" hidden="1" customHeight="1">
      <c r="G4732" s="113"/>
      <c r="J4732" s="28">
        <f>IFERROR(VLOOKUP(TEXT(B4732,"0"),STOCK!A:H,7,0),1)</f>
        <v>1</v>
      </c>
    </row>
    <row r="4733" spans="7:10" ht="35.450000000000003" hidden="1" customHeight="1">
      <c r="G4733" s="113"/>
      <c r="J4733" s="28">
        <f>IFERROR(VLOOKUP(TEXT(B4733,"0"),STOCK!A:H,7,0),1)</f>
        <v>1</v>
      </c>
    </row>
    <row r="4734" spans="7:10" ht="35.450000000000003" hidden="1" customHeight="1">
      <c r="G4734" s="113"/>
      <c r="J4734" s="28">
        <f>IFERROR(VLOOKUP(TEXT(B4734,"0"),STOCK!A:H,7,0),1)</f>
        <v>1</v>
      </c>
    </row>
    <row r="4735" spans="7:10" ht="35.450000000000003" hidden="1" customHeight="1">
      <c r="G4735" s="113"/>
      <c r="J4735" s="28">
        <f>IFERROR(VLOOKUP(TEXT(B4735,"0"),STOCK!A:H,7,0),1)</f>
        <v>1</v>
      </c>
    </row>
    <row r="4736" spans="7:10" ht="35.450000000000003" hidden="1" customHeight="1">
      <c r="G4736" s="113"/>
      <c r="J4736" s="28">
        <f>IFERROR(VLOOKUP(TEXT(B4736,"0"),STOCK!A:H,7,0),1)</f>
        <v>1</v>
      </c>
    </row>
    <row r="4737" spans="7:10" ht="35.450000000000003" hidden="1" customHeight="1">
      <c r="G4737" s="113"/>
      <c r="J4737" s="28">
        <f>IFERROR(VLOOKUP(TEXT(B4737,"0"),STOCK!A:H,7,0),1)</f>
        <v>1</v>
      </c>
    </row>
    <row r="4738" spans="7:10" ht="35.450000000000003" hidden="1" customHeight="1">
      <c r="G4738" s="113"/>
      <c r="J4738" s="28">
        <f>IFERROR(VLOOKUP(TEXT(B4738,"0"),STOCK!A:H,7,0),1)</f>
        <v>1</v>
      </c>
    </row>
    <row r="4739" spans="7:10" ht="35.450000000000003" hidden="1" customHeight="1">
      <c r="G4739" s="113"/>
      <c r="J4739" s="28">
        <f>IFERROR(VLOOKUP(TEXT(B4739,"0"),STOCK!A:H,7,0),1)</f>
        <v>1</v>
      </c>
    </row>
    <row r="4740" spans="7:10" ht="35.450000000000003" hidden="1" customHeight="1">
      <c r="G4740" s="113"/>
      <c r="J4740" s="28">
        <f>IFERROR(VLOOKUP(TEXT(B4740,"0"),STOCK!A:H,7,0),1)</f>
        <v>1</v>
      </c>
    </row>
    <row r="4741" spans="7:10" ht="35.450000000000003" hidden="1" customHeight="1">
      <c r="G4741" s="113"/>
      <c r="J4741" s="28">
        <f>IFERROR(VLOOKUP(TEXT(B4741,"0"),STOCK!A:H,7,0),1)</f>
        <v>1</v>
      </c>
    </row>
    <row r="4742" spans="7:10" ht="35.450000000000003" hidden="1" customHeight="1">
      <c r="G4742" s="113"/>
      <c r="J4742" s="28">
        <f>IFERROR(VLOOKUP(TEXT(B4742,"0"),STOCK!A:H,7,0),1)</f>
        <v>1</v>
      </c>
    </row>
    <row r="4743" spans="7:10" ht="35.450000000000003" hidden="1" customHeight="1">
      <c r="G4743" s="113"/>
      <c r="J4743" s="28">
        <f>IFERROR(VLOOKUP(TEXT(B4743,"0"),STOCK!A:H,7,0),1)</f>
        <v>1</v>
      </c>
    </row>
    <row r="4744" spans="7:10" ht="35.450000000000003" hidden="1" customHeight="1">
      <c r="G4744" s="113"/>
      <c r="J4744" s="28">
        <f>IFERROR(VLOOKUP(TEXT(B4744,"0"),STOCK!A:H,7,0),1)</f>
        <v>1</v>
      </c>
    </row>
    <row r="4745" spans="7:10" ht="35.450000000000003" hidden="1" customHeight="1">
      <c r="G4745" s="113"/>
      <c r="J4745" s="28">
        <f>IFERROR(VLOOKUP(TEXT(B4745,"0"),STOCK!A:H,7,0),1)</f>
        <v>1</v>
      </c>
    </row>
    <row r="4746" spans="7:10" ht="35.450000000000003" hidden="1" customHeight="1">
      <c r="G4746" s="113"/>
      <c r="J4746" s="28">
        <f>IFERROR(VLOOKUP(TEXT(B4746,"0"),STOCK!A:H,7,0),1)</f>
        <v>1</v>
      </c>
    </row>
    <row r="4747" spans="7:10" ht="35.450000000000003" hidden="1" customHeight="1">
      <c r="G4747" s="113"/>
      <c r="J4747" s="28">
        <f>IFERROR(VLOOKUP(TEXT(B4747,"0"),STOCK!A:H,7,0),1)</f>
        <v>1</v>
      </c>
    </row>
    <row r="4748" spans="7:10" ht="35.450000000000003" hidden="1" customHeight="1">
      <c r="G4748" s="113"/>
      <c r="J4748" s="28">
        <f>IFERROR(VLOOKUP(TEXT(B4748,"0"),STOCK!A:H,7,0),1)</f>
        <v>1</v>
      </c>
    </row>
    <row r="4749" spans="7:10" ht="35.450000000000003" hidden="1" customHeight="1">
      <c r="G4749" s="113"/>
      <c r="J4749" s="28">
        <f>IFERROR(VLOOKUP(TEXT(B4749,"0"),STOCK!A:H,7,0),1)</f>
        <v>1</v>
      </c>
    </row>
    <row r="4750" spans="7:10" ht="35.450000000000003" hidden="1" customHeight="1">
      <c r="G4750" s="113"/>
      <c r="J4750" s="28">
        <f>IFERROR(VLOOKUP(TEXT(B4750,"0"),STOCK!A:H,7,0),1)</f>
        <v>1</v>
      </c>
    </row>
    <row r="4751" spans="7:10" ht="35.450000000000003" hidden="1" customHeight="1">
      <c r="G4751" s="113"/>
      <c r="J4751" s="28">
        <f>IFERROR(VLOOKUP(TEXT(B4751,"0"),STOCK!A:H,7,0),1)</f>
        <v>1</v>
      </c>
    </row>
    <row r="4752" spans="7:10" ht="35.450000000000003" hidden="1" customHeight="1">
      <c r="G4752" s="113"/>
      <c r="J4752" s="28">
        <f>IFERROR(VLOOKUP(TEXT(B4752,"0"),STOCK!A:H,7,0),1)</f>
        <v>1</v>
      </c>
    </row>
    <row r="4753" spans="7:10" ht="35.450000000000003" hidden="1" customHeight="1">
      <c r="G4753" s="113"/>
      <c r="J4753" s="28">
        <f>IFERROR(VLOOKUP(TEXT(B4753,"0"),STOCK!A:H,7,0),1)</f>
        <v>1</v>
      </c>
    </row>
    <row r="4754" spans="7:10" ht="35.450000000000003" hidden="1" customHeight="1">
      <c r="G4754" s="113"/>
      <c r="J4754" s="28">
        <f>IFERROR(VLOOKUP(TEXT(B4754,"0"),STOCK!A:H,7,0),1)</f>
        <v>1</v>
      </c>
    </row>
    <row r="4755" spans="7:10" ht="35.450000000000003" hidden="1" customHeight="1">
      <c r="G4755" s="113"/>
      <c r="J4755" s="28">
        <f>IFERROR(VLOOKUP(TEXT(B4755,"0"),STOCK!A:H,7,0),1)</f>
        <v>1</v>
      </c>
    </row>
    <row r="4756" spans="7:10" ht="35.450000000000003" hidden="1" customHeight="1">
      <c r="G4756" s="113"/>
      <c r="J4756" s="28">
        <f>IFERROR(VLOOKUP(TEXT(B4756,"0"),STOCK!A:H,7,0),1)</f>
        <v>1</v>
      </c>
    </row>
    <row r="4757" spans="7:10" ht="35.450000000000003" hidden="1" customHeight="1">
      <c r="G4757" s="113"/>
      <c r="J4757" s="28">
        <f>IFERROR(VLOOKUP(TEXT(B4757,"0"),STOCK!A:H,7,0),1)</f>
        <v>1</v>
      </c>
    </row>
    <row r="4758" spans="7:10" ht="35.450000000000003" hidden="1" customHeight="1">
      <c r="G4758" s="113"/>
      <c r="J4758" s="28">
        <f>IFERROR(VLOOKUP(TEXT(B4758,"0"),STOCK!A:H,7,0),1)</f>
        <v>1</v>
      </c>
    </row>
    <row r="4759" spans="7:10" ht="35.450000000000003" hidden="1" customHeight="1">
      <c r="G4759" s="113"/>
      <c r="J4759" s="28">
        <f>IFERROR(VLOOKUP(TEXT(B4759,"0"),STOCK!A:H,7,0),1)</f>
        <v>1</v>
      </c>
    </row>
    <row r="4760" spans="7:10" ht="35.450000000000003" hidden="1" customHeight="1">
      <c r="G4760" s="113"/>
      <c r="J4760" s="28">
        <f>IFERROR(VLOOKUP(TEXT(B4760,"0"),STOCK!A:H,7,0),1)</f>
        <v>1</v>
      </c>
    </row>
    <row r="4761" spans="7:10" ht="35.450000000000003" hidden="1" customHeight="1">
      <c r="G4761" s="113"/>
      <c r="J4761" s="28">
        <f>IFERROR(VLOOKUP(TEXT(B4761,"0"),STOCK!A:H,7,0),1)</f>
        <v>1</v>
      </c>
    </row>
    <row r="4762" spans="7:10" ht="35.450000000000003" hidden="1" customHeight="1">
      <c r="G4762" s="113"/>
      <c r="J4762" s="28">
        <f>IFERROR(VLOOKUP(TEXT(B4762,"0"),STOCK!A:H,7,0),1)</f>
        <v>1</v>
      </c>
    </row>
    <row r="4763" spans="7:10" ht="35.450000000000003" hidden="1" customHeight="1">
      <c r="G4763" s="113"/>
      <c r="J4763" s="28">
        <f>IFERROR(VLOOKUP(TEXT(B4763,"0"),STOCK!A:H,7,0),1)</f>
        <v>1</v>
      </c>
    </row>
    <row r="4764" spans="7:10" ht="35.450000000000003" hidden="1" customHeight="1">
      <c r="G4764" s="113"/>
      <c r="J4764" s="28">
        <f>IFERROR(VLOOKUP(TEXT(B4764,"0"),STOCK!A:H,7,0),1)</f>
        <v>1</v>
      </c>
    </row>
    <row r="4765" spans="7:10" ht="35.450000000000003" hidden="1" customHeight="1">
      <c r="G4765" s="113"/>
      <c r="J4765" s="28">
        <f>IFERROR(VLOOKUP(TEXT(B4765,"0"),STOCK!A:H,7,0),1)</f>
        <v>1</v>
      </c>
    </row>
    <row r="4766" spans="7:10" ht="35.450000000000003" hidden="1" customHeight="1">
      <c r="G4766" s="113"/>
      <c r="J4766" s="28">
        <f>IFERROR(VLOOKUP(TEXT(B4766,"0"),STOCK!A:H,7,0),1)</f>
        <v>1</v>
      </c>
    </row>
    <row r="4767" spans="7:10" ht="35.450000000000003" hidden="1" customHeight="1">
      <c r="G4767" s="113"/>
      <c r="J4767" s="28">
        <f>IFERROR(VLOOKUP(TEXT(B4767,"0"),STOCK!A:H,7,0),1)</f>
        <v>1</v>
      </c>
    </row>
    <row r="4768" spans="7:10" ht="35.450000000000003" hidden="1" customHeight="1">
      <c r="G4768" s="113"/>
      <c r="J4768" s="28">
        <f>IFERROR(VLOOKUP(TEXT(B4768,"0"),STOCK!A:H,7,0),1)</f>
        <v>1</v>
      </c>
    </row>
    <row r="4769" spans="7:10" ht="35.450000000000003" hidden="1" customHeight="1">
      <c r="G4769" s="113"/>
      <c r="J4769" s="28">
        <f>IFERROR(VLOOKUP(TEXT(B4769,"0"),STOCK!A:H,7,0),1)</f>
        <v>1</v>
      </c>
    </row>
    <row r="4770" spans="7:10" ht="35.450000000000003" hidden="1" customHeight="1">
      <c r="G4770" s="113"/>
      <c r="J4770" s="28">
        <f>IFERROR(VLOOKUP(TEXT(B4770,"0"),STOCK!A:H,7,0),1)</f>
        <v>1</v>
      </c>
    </row>
    <row r="4771" spans="7:10" ht="35.450000000000003" hidden="1" customHeight="1">
      <c r="G4771" s="113"/>
      <c r="J4771" s="28">
        <f>IFERROR(VLOOKUP(TEXT(B4771,"0"),STOCK!A:H,7,0),1)</f>
        <v>1</v>
      </c>
    </row>
    <row r="4772" spans="7:10" ht="35.450000000000003" hidden="1" customHeight="1">
      <c r="G4772" s="113"/>
      <c r="J4772" s="28">
        <f>IFERROR(VLOOKUP(TEXT(B4772,"0"),STOCK!A:H,7,0),1)</f>
        <v>1</v>
      </c>
    </row>
    <row r="4773" spans="7:10" ht="35.450000000000003" hidden="1" customHeight="1">
      <c r="G4773" s="113"/>
      <c r="J4773" s="28">
        <f>IFERROR(VLOOKUP(TEXT(B4773,"0"),STOCK!A:H,7,0),1)</f>
        <v>1</v>
      </c>
    </row>
    <row r="4774" spans="7:10" ht="35.450000000000003" hidden="1" customHeight="1">
      <c r="G4774" s="113"/>
      <c r="J4774" s="28">
        <f>IFERROR(VLOOKUP(TEXT(B4774,"0"),STOCK!A:H,7,0),1)</f>
        <v>1</v>
      </c>
    </row>
    <row r="4775" spans="7:10" ht="35.450000000000003" hidden="1" customHeight="1">
      <c r="G4775" s="113"/>
      <c r="J4775" s="28">
        <f>IFERROR(VLOOKUP(TEXT(B4775,"0"),STOCK!A:H,7,0),1)</f>
        <v>1</v>
      </c>
    </row>
    <row r="4776" spans="7:10" ht="35.450000000000003" hidden="1" customHeight="1">
      <c r="G4776" s="113"/>
      <c r="J4776" s="28">
        <f>IFERROR(VLOOKUP(TEXT(B4776,"0"),STOCK!A:H,7,0),1)</f>
        <v>1</v>
      </c>
    </row>
    <row r="4777" spans="7:10" ht="35.450000000000003" hidden="1" customHeight="1">
      <c r="G4777" s="113"/>
      <c r="J4777" s="28">
        <f>IFERROR(VLOOKUP(TEXT(B4777,"0"),STOCK!A:H,7,0),1)</f>
        <v>1</v>
      </c>
    </row>
    <row r="4778" spans="7:10" ht="35.450000000000003" hidden="1" customHeight="1">
      <c r="G4778" s="113"/>
      <c r="J4778" s="28">
        <f>IFERROR(VLOOKUP(TEXT(B4778,"0"),STOCK!A:H,7,0),1)</f>
        <v>1</v>
      </c>
    </row>
    <row r="4779" spans="7:10" ht="35.450000000000003" hidden="1" customHeight="1">
      <c r="G4779" s="113"/>
      <c r="J4779" s="28">
        <f>IFERROR(VLOOKUP(TEXT(B4779,"0"),STOCK!A:H,7,0),1)</f>
        <v>1</v>
      </c>
    </row>
    <row r="4780" spans="7:10" ht="35.450000000000003" hidden="1" customHeight="1">
      <c r="G4780" s="113"/>
      <c r="J4780" s="28">
        <f>IFERROR(VLOOKUP(TEXT(B4780,"0"),STOCK!A:H,7,0),1)</f>
        <v>1</v>
      </c>
    </row>
    <row r="4781" spans="7:10" ht="35.450000000000003" hidden="1" customHeight="1">
      <c r="G4781" s="113"/>
      <c r="J4781" s="28">
        <f>IFERROR(VLOOKUP(TEXT(B4781,"0"),STOCK!A:H,7,0),1)</f>
        <v>1</v>
      </c>
    </row>
    <row r="4782" spans="7:10" ht="35.450000000000003" hidden="1" customHeight="1">
      <c r="G4782" s="113"/>
      <c r="J4782" s="28">
        <f>IFERROR(VLOOKUP(TEXT(B4782,"0"),STOCK!A:H,7,0),1)</f>
        <v>1</v>
      </c>
    </row>
    <row r="4783" spans="7:10" ht="35.450000000000003" hidden="1" customHeight="1">
      <c r="G4783" s="113"/>
      <c r="J4783" s="28">
        <f>IFERROR(VLOOKUP(TEXT(B4783,"0"),STOCK!A:H,7,0),1)</f>
        <v>1</v>
      </c>
    </row>
    <row r="4784" spans="7:10" ht="35.450000000000003" hidden="1" customHeight="1">
      <c r="G4784" s="113"/>
      <c r="J4784" s="28">
        <f>IFERROR(VLOOKUP(TEXT(B4784,"0"),STOCK!A:H,7,0),1)</f>
        <v>1</v>
      </c>
    </row>
    <row r="4785" spans="7:10" ht="35.450000000000003" hidden="1" customHeight="1">
      <c r="G4785" s="113"/>
      <c r="J4785" s="28">
        <f>IFERROR(VLOOKUP(TEXT(B4785,"0"),STOCK!A:H,7,0),1)</f>
        <v>1</v>
      </c>
    </row>
    <row r="4786" spans="7:10" ht="35.450000000000003" hidden="1" customHeight="1">
      <c r="G4786" s="113"/>
      <c r="J4786" s="28">
        <f>IFERROR(VLOOKUP(TEXT(B4786,"0"),STOCK!A:H,7,0),1)</f>
        <v>1</v>
      </c>
    </row>
    <row r="4787" spans="7:10" ht="35.450000000000003" hidden="1" customHeight="1">
      <c r="G4787" s="113"/>
      <c r="J4787" s="28">
        <f>IFERROR(VLOOKUP(TEXT(B4787,"0"),STOCK!A:H,7,0),1)</f>
        <v>1</v>
      </c>
    </row>
    <row r="4788" spans="7:10" ht="35.450000000000003" hidden="1" customHeight="1">
      <c r="G4788" s="113"/>
      <c r="J4788" s="28">
        <f>IFERROR(VLOOKUP(TEXT(B4788,"0"),STOCK!A:H,7,0),1)</f>
        <v>1</v>
      </c>
    </row>
    <row r="4789" spans="7:10" ht="35.450000000000003" hidden="1" customHeight="1">
      <c r="G4789" s="113"/>
      <c r="J4789" s="28">
        <f>IFERROR(VLOOKUP(TEXT(B4789,"0"),STOCK!A:H,7,0),1)</f>
        <v>1</v>
      </c>
    </row>
    <row r="4790" spans="7:10" ht="35.450000000000003" hidden="1" customHeight="1">
      <c r="G4790" s="113"/>
      <c r="J4790" s="28">
        <f>IFERROR(VLOOKUP(TEXT(B4790,"0"),STOCK!A:H,7,0),1)</f>
        <v>1</v>
      </c>
    </row>
    <row r="4791" spans="7:10" ht="35.450000000000003" hidden="1" customHeight="1">
      <c r="G4791" s="113"/>
      <c r="J4791" s="28">
        <f>IFERROR(VLOOKUP(TEXT(B4791,"0"),STOCK!A:H,7,0),1)</f>
        <v>1</v>
      </c>
    </row>
    <row r="4792" spans="7:10" ht="35.450000000000003" hidden="1" customHeight="1">
      <c r="G4792" s="113"/>
      <c r="J4792" s="28">
        <f>IFERROR(VLOOKUP(TEXT(B4792,"0"),STOCK!A:H,7,0),1)</f>
        <v>1</v>
      </c>
    </row>
    <row r="4793" spans="7:10" ht="35.450000000000003" hidden="1" customHeight="1">
      <c r="G4793" s="113"/>
      <c r="J4793" s="28">
        <f>IFERROR(VLOOKUP(TEXT(B4793,"0"),STOCK!A:H,7,0),1)</f>
        <v>1</v>
      </c>
    </row>
    <row r="4794" spans="7:10" ht="35.450000000000003" hidden="1" customHeight="1">
      <c r="G4794" s="113"/>
      <c r="J4794" s="28">
        <f>IFERROR(VLOOKUP(TEXT(B4794,"0"),STOCK!A:H,7,0),1)</f>
        <v>1</v>
      </c>
    </row>
    <row r="4795" spans="7:10" ht="35.450000000000003" hidden="1" customHeight="1">
      <c r="G4795" s="113"/>
      <c r="J4795" s="28">
        <f>IFERROR(VLOOKUP(TEXT(B4795,"0"),STOCK!A:H,7,0),1)</f>
        <v>1</v>
      </c>
    </row>
    <row r="4796" spans="7:10" ht="35.450000000000003" hidden="1" customHeight="1">
      <c r="G4796" s="113"/>
      <c r="J4796" s="28">
        <f>IFERROR(VLOOKUP(TEXT(B4796,"0"),STOCK!A:H,7,0),1)</f>
        <v>1</v>
      </c>
    </row>
    <row r="4797" spans="7:10" ht="35.450000000000003" hidden="1" customHeight="1">
      <c r="G4797" s="113"/>
      <c r="J4797" s="28">
        <f>IFERROR(VLOOKUP(TEXT(B4797,"0"),STOCK!A:H,7,0),1)</f>
        <v>1</v>
      </c>
    </row>
    <row r="4798" spans="7:10" ht="35.450000000000003" hidden="1" customHeight="1">
      <c r="G4798" s="113"/>
      <c r="J4798" s="28">
        <f>IFERROR(VLOOKUP(TEXT(B4798,"0"),STOCK!A:H,7,0),1)</f>
        <v>1</v>
      </c>
    </row>
    <row r="4799" spans="7:10" ht="35.450000000000003" hidden="1" customHeight="1">
      <c r="G4799" s="113"/>
      <c r="J4799" s="28">
        <f>IFERROR(VLOOKUP(TEXT(B4799,"0"),STOCK!A:H,7,0),1)</f>
        <v>1</v>
      </c>
    </row>
    <row r="4800" spans="7:10" ht="35.450000000000003" hidden="1" customHeight="1">
      <c r="G4800" s="113"/>
      <c r="J4800" s="28">
        <f>IFERROR(VLOOKUP(TEXT(B4800,"0"),STOCK!A:H,7,0),1)</f>
        <v>1</v>
      </c>
    </row>
    <row r="4801" spans="7:10" ht="35.450000000000003" hidden="1" customHeight="1">
      <c r="G4801" s="113"/>
      <c r="J4801" s="28">
        <f>IFERROR(VLOOKUP(TEXT(B4801,"0"),STOCK!A:H,7,0),1)</f>
        <v>1</v>
      </c>
    </row>
    <row r="4802" spans="7:10" ht="35.450000000000003" hidden="1" customHeight="1">
      <c r="G4802" s="113"/>
      <c r="J4802" s="28">
        <f>IFERROR(VLOOKUP(TEXT(B4802,"0"),STOCK!A:H,7,0),1)</f>
        <v>1</v>
      </c>
    </row>
    <row r="4803" spans="7:10" ht="35.450000000000003" hidden="1" customHeight="1">
      <c r="G4803" s="113"/>
      <c r="J4803" s="28">
        <f>IFERROR(VLOOKUP(TEXT(B4803,"0"),STOCK!A:H,7,0),1)</f>
        <v>1</v>
      </c>
    </row>
    <row r="4804" spans="7:10" ht="35.450000000000003" hidden="1" customHeight="1">
      <c r="G4804" s="113"/>
      <c r="J4804" s="28">
        <f>IFERROR(VLOOKUP(TEXT(B4804,"0"),STOCK!A:H,7,0),1)</f>
        <v>1</v>
      </c>
    </row>
    <row r="4805" spans="7:10" ht="35.450000000000003" hidden="1" customHeight="1">
      <c r="G4805" s="113"/>
      <c r="J4805" s="28">
        <f>IFERROR(VLOOKUP(TEXT(B4805,"0"),STOCK!A:H,7,0),1)</f>
        <v>1</v>
      </c>
    </row>
    <row r="4806" spans="7:10" ht="35.450000000000003" hidden="1" customHeight="1">
      <c r="G4806" s="113"/>
      <c r="J4806" s="28">
        <f>IFERROR(VLOOKUP(TEXT(B4806,"0"),STOCK!A:H,7,0),1)</f>
        <v>1</v>
      </c>
    </row>
    <row r="4807" spans="7:10" ht="35.450000000000003" hidden="1" customHeight="1">
      <c r="G4807" s="113"/>
      <c r="J4807" s="28">
        <f>IFERROR(VLOOKUP(TEXT(B4807,"0"),STOCK!A:H,7,0),1)</f>
        <v>1</v>
      </c>
    </row>
    <row r="4808" spans="7:10" ht="35.450000000000003" hidden="1" customHeight="1">
      <c r="G4808" s="113"/>
      <c r="J4808" s="28">
        <f>IFERROR(VLOOKUP(TEXT(B4808,"0"),STOCK!A:H,7,0),1)</f>
        <v>1</v>
      </c>
    </row>
    <row r="4809" spans="7:10" ht="35.450000000000003" hidden="1" customHeight="1">
      <c r="G4809" s="113"/>
      <c r="J4809" s="28">
        <f>IFERROR(VLOOKUP(TEXT(B4809,"0"),STOCK!A:H,7,0),1)</f>
        <v>1</v>
      </c>
    </row>
    <row r="4810" spans="7:10" ht="35.450000000000003" hidden="1" customHeight="1">
      <c r="G4810" s="113"/>
      <c r="J4810" s="28">
        <f>IFERROR(VLOOKUP(TEXT(B4810,"0"),STOCK!A:H,7,0),1)</f>
        <v>1</v>
      </c>
    </row>
    <row r="4811" spans="7:10" ht="35.450000000000003" hidden="1" customHeight="1">
      <c r="G4811" s="113"/>
      <c r="J4811" s="28">
        <f>IFERROR(VLOOKUP(TEXT(B4811,"0"),STOCK!A:H,7,0),1)</f>
        <v>1</v>
      </c>
    </row>
    <row r="4812" spans="7:10" ht="35.450000000000003" hidden="1" customHeight="1">
      <c r="G4812" s="113"/>
      <c r="J4812" s="28">
        <f>IFERROR(VLOOKUP(TEXT(B4812,"0"),STOCK!A:H,7,0),1)</f>
        <v>1</v>
      </c>
    </row>
    <row r="4813" spans="7:10" ht="35.450000000000003" hidden="1" customHeight="1">
      <c r="G4813" s="113"/>
      <c r="J4813" s="28">
        <f>IFERROR(VLOOKUP(TEXT(B4813,"0"),STOCK!A:H,7,0),1)</f>
        <v>1</v>
      </c>
    </row>
    <row r="4814" spans="7:10" ht="35.450000000000003" hidden="1" customHeight="1">
      <c r="G4814" s="113"/>
      <c r="J4814" s="28">
        <f>IFERROR(VLOOKUP(TEXT(B4814,"0"),STOCK!A:H,7,0),1)</f>
        <v>1</v>
      </c>
    </row>
    <row r="4815" spans="7:10" ht="35.450000000000003" hidden="1" customHeight="1">
      <c r="G4815" s="113"/>
      <c r="J4815" s="28">
        <f>IFERROR(VLOOKUP(TEXT(B4815,"0"),STOCK!A:H,7,0),1)</f>
        <v>1</v>
      </c>
    </row>
    <row r="4816" spans="7:10" ht="35.450000000000003" hidden="1" customHeight="1">
      <c r="G4816" s="113"/>
      <c r="J4816" s="28">
        <f>IFERROR(VLOOKUP(TEXT(B4816,"0"),STOCK!A:H,7,0),1)</f>
        <v>1</v>
      </c>
    </row>
    <row r="4817" spans="7:10" ht="35.450000000000003" hidden="1" customHeight="1">
      <c r="G4817" s="113"/>
      <c r="J4817" s="28">
        <f>IFERROR(VLOOKUP(TEXT(B4817,"0"),STOCK!A:H,7,0),1)</f>
        <v>1</v>
      </c>
    </row>
    <row r="4818" spans="7:10" ht="35.450000000000003" hidden="1" customHeight="1">
      <c r="G4818" s="113"/>
      <c r="J4818" s="28">
        <f>IFERROR(VLOOKUP(TEXT(B4818,"0"),STOCK!A:H,7,0),1)</f>
        <v>1</v>
      </c>
    </row>
    <row r="4819" spans="7:10" ht="35.450000000000003" hidden="1" customHeight="1">
      <c r="G4819" s="113"/>
      <c r="J4819" s="28">
        <f>IFERROR(VLOOKUP(TEXT(B4819,"0"),STOCK!A:H,7,0),1)</f>
        <v>1</v>
      </c>
    </row>
    <row r="4820" spans="7:10" ht="35.450000000000003" hidden="1" customHeight="1">
      <c r="G4820" s="113"/>
      <c r="J4820" s="28">
        <f>IFERROR(VLOOKUP(TEXT(B4820,"0"),STOCK!A:H,7,0),1)</f>
        <v>1</v>
      </c>
    </row>
    <row r="4821" spans="7:10" ht="35.450000000000003" hidden="1" customHeight="1">
      <c r="G4821" s="113"/>
      <c r="J4821" s="28">
        <f>IFERROR(VLOOKUP(TEXT(B4821,"0"),STOCK!A:H,7,0),1)</f>
        <v>1</v>
      </c>
    </row>
    <row r="4822" spans="7:10" ht="35.450000000000003" hidden="1" customHeight="1">
      <c r="G4822" s="113"/>
      <c r="J4822" s="28">
        <f>IFERROR(VLOOKUP(TEXT(B4822,"0"),STOCK!A:H,7,0),1)</f>
        <v>1</v>
      </c>
    </row>
    <row r="4823" spans="7:10" ht="35.450000000000003" hidden="1" customHeight="1">
      <c r="G4823" s="113"/>
      <c r="J4823" s="28">
        <f>IFERROR(VLOOKUP(TEXT(B4823,"0"),STOCK!A:H,7,0),1)</f>
        <v>1</v>
      </c>
    </row>
    <row r="4824" spans="7:10" ht="35.450000000000003" hidden="1" customHeight="1">
      <c r="G4824" s="113"/>
      <c r="J4824" s="28">
        <f>IFERROR(VLOOKUP(TEXT(B4824,"0"),STOCK!A:H,7,0),1)</f>
        <v>1</v>
      </c>
    </row>
    <row r="4825" spans="7:10" ht="35.450000000000003" hidden="1" customHeight="1">
      <c r="G4825" s="113"/>
      <c r="J4825" s="28">
        <f>IFERROR(VLOOKUP(TEXT(B4825,"0"),STOCK!A:H,7,0),1)</f>
        <v>1</v>
      </c>
    </row>
    <row r="4826" spans="7:10" ht="35.450000000000003" hidden="1" customHeight="1">
      <c r="G4826" s="113"/>
      <c r="J4826" s="28">
        <f>IFERROR(VLOOKUP(TEXT(B4826,"0"),STOCK!A:H,7,0),1)</f>
        <v>1</v>
      </c>
    </row>
    <row r="4827" spans="7:10" ht="35.450000000000003" hidden="1" customHeight="1">
      <c r="G4827" s="113"/>
      <c r="J4827" s="28">
        <f>IFERROR(VLOOKUP(TEXT(B4827,"0"),STOCK!A:H,7,0),1)</f>
        <v>1</v>
      </c>
    </row>
    <row r="4828" spans="7:10" ht="35.450000000000003" hidden="1" customHeight="1">
      <c r="G4828" s="113"/>
      <c r="J4828" s="28">
        <f>IFERROR(VLOOKUP(TEXT(B4828,"0"),STOCK!A:H,7,0),1)</f>
        <v>1</v>
      </c>
    </row>
    <row r="4829" spans="7:10" ht="35.450000000000003" hidden="1" customHeight="1">
      <c r="G4829" s="113"/>
      <c r="J4829" s="28">
        <f>IFERROR(VLOOKUP(TEXT(B4829,"0"),STOCK!A:H,7,0),1)</f>
        <v>1</v>
      </c>
    </row>
    <row r="4830" spans="7:10" ht="35.450000000000003" hidden="1" customHeight="1">
      <c r="G4830" s="113"/>
      <c r="J4830" s="28">
        <f>IFERROR(VLOOKUP(TEXT(B4830,"0"),STOCK!A:H,7,0),1)</f>
        <v>1</v>
      </c>
    </row>
    <row r="4831" spans="7:10" ht="35.450000000000003" hidden="1" customHeight="1">
      <c r="G4831" s="113"/>
      <c r="J4831" s="28">
        <f>IFERROR(VLOOKUP(TEXT(B4831,"0"),STOCK!A:H,7,0),1)</f>
        <v>1</v>
      </c>
    </row>
    <row r="4832" spans="7:10" ht="35.450000000000003" hidden="1" customHeight="1">
      <c r="G4832" s="113"/>
      <c r="J4832" s="28">
        <f>IFERROR(VLOOKUP(TEXT(B4832,"0"),STOCK!A:H,7,0),1)</f>
        <v>1</v>
      </c>
    </row>
    <row r="4833" spans="7:10" ht="35.450000000000003" hidden="1" customHeight="1">
      <c r="G4833" s="113"/>
      <c r="J4833" s="28">
        <f>IFERROR(VLOOKUP(TEXT(B4833,"0"),STOCK!A:H,7,0),1)</f>
        <v>1</v>
      </c>
    </row>
    <row r="4834" spans="7:10" ht="35.450000000000003" hidden="1" customHeight="1">
      <c r="G4834" s="113"/>
      <c r="J4834" s="28">
        <f>IFERROR(VLOOKUP(TEXT(B4834,"0"),STOCK!A:H,7,0),1)</f>
        <v>1</v>
      </c>
    </row>
    <row r="4835" spans="7:10" ht="35.450000000000003" hidden="1" customHeight="1">
      <c r="G4835" s="113"/>
      <c r="J4835" s="28">
        <f>IFERROR(VLOOKUP(TEXT(B4835,"0"),STOCK!A:H,7,0),1)</f>
        <v>1</v>
      </c>
    </row>
    <row r="4836" spans="7:10" ht="35.450000000000003" hidden="1" customHeight="1">
      <c r="G4836" s="113"/>
      <c r="J4836" s="28">
        <f>IFERROR(VLOOKUP(TEXT(B4836,"0"),STOCK!A:H,7,0),1)</f>
        <v>1</v>
      </c>
    </row>
    <row r="4837" spans="7:10" ht="35.450000000000003" hidden="1" customHeight="1">
      <c r="G4837" s="113"/>
      <c r="J4837" s="28">
        <f>IFERROR(VLOOKUP(TEXT(B4837,"0"),STOCK!A:H,7,0),1)</f>
        <v>1</v>
      </c>
    </row>
    <row r="4838" spans="7:10" ht="35.450000000000003" hidden="1" customHeight="1">
      <c r="G4838" s="113"/>
      <c r="J4838" s="28">
        <f>IFERROR(VLOOKUP(TEXT(B4838,"0"),STOCK!A:H,7,0),1)</f>
        <v>1</v>
      </c>
    </row>
    <row r="4839" spans="7:10" ht="35.450000000000003" hidden="1" customHeight="1">
      <c r="G4839" s="113"/>
      <c r="J4839" s="28">
        <f>IFERROR(VLOOKUP(TEXT(B4839,"0"),STOCK!A:H,7,0),1)</f>
        <v>1</v>
      </c>
    </row>
    <row r="4840" spans="7:10" ht="35.450000000000003" hidden="1" customHeight="1">
      <c r="G4840" s="113"/>
      <c r="J4840" s="28">
        <f>IFERROR(VLOOKUP(TEXT(B4840,"0"),STOCK!A:H,7,0),1)</f>
        <v>1</v>
      </c>
    </row>
    <row r="4841" spans="7:10" ht="35.450000000000003" hidden="1" customHeight="1">
      <c r="G4841" s="113"/>
      <c r="J4841" s="28">
        <f>IFERROR(VLOOKUP(TEXT(B4841,"0"),STOCK!A:H,7,0),1)</f>
        <v>1</v>
      </c>
    </row>
    <row r="4842" spans="7:10" ht="35.450000000000003" hidden="1" customHeight="1">
      <c r="G4842" s="113"/>
      <c r="J4842" s="28">
        <f>IFERROR(VLOOKUP(TEXT(B4842,"0"),STOCK!A:H,7,0),1)</f>
        <v>1</v>
      </c>
    </row>
    <row r="4843" spans="7:10" ht="35.450000000000003" hidden="1" customHeight="1">
      <c r="G4843" s="113"/>
      <c r="J4843" s="28">
        <f>IFERROR(VLOOKUP(TEXT(B4843,"0"),STOCK!A:H,7,0),1)</f>
        <v>1</v>
      </c>
    </row>
    <row r="4844" spans="7:10" ht="35.450000000000003" hidden="1" customHeight="1">
      <c r="G4844" s="113"/>
      <c r="J4844" s="28">
        <f>IFERROR(VLOOKUP(TEXT(B4844,"0"),STOCK!A:H,7,0),1)</f>
        <v>1</v>
      </c>
    </row>
    <row r="4845" spans="7:10" ht="35.450000000000003" hidden="1" customHeight="1">
      <c r="G4845" s="113"/>
      <c r="J4845" s="28">
        <f>IFERROR(VLOOKUP(TEXT(B4845,"0"),STOCK!A:H,7,0),1)</f>
        <v>1</v>
      </c>
    </row>
    <row r="4846" spans="7:10" ht="35.450000000000003" hidden="1" customHeight="1">
      <c r="G4846" s="113"/>
      <c r="J4846" s="28">
        <f>IFERROR(VLOOKUP(TEXT(B4846,"0"),STOCK!A:H,7,0),1)</f>
        <v>1</v>
      </c>
    </row>
    <row r="4847" spans="7:10" ht="35.450000000000003" hidden="1" customHeight="1">
      <c r="G4847" s="113"/>
      <c r="J4847" s="28">
        <f>IFERROR(VLOOKUP(TEXT(B4847,"0"),STOCK!A:H,7,0),1)</f>
        <v>1</v>
      </c>
    </row>
    <row r="4848" spans="7:10" ht="35.450000000000003" hidden="1" customHeight="1">
      <c r="G4848" s="113"/>
      <c r="J4848" s="28">
        <f>IFERROR(VLOOKUP(TEXT(B4848,"0"),STOCK!A:H,7,0),1)</f>
        <v>1</v>
      </c>
    </row>
    <row r="4849" spans="7:10" ht="35.450000000000003" hidden="1" customHeight="1">
      <c r="G4849" s="113"/>
      <c r="J4849" s="28">
        <f>IFERROR(VLOOKUP(TEXT(B4849,"0"),STOCK!A:H,7,0),1)</f>
        <v>1</v>
      </c>
    </row>
    <row r="4850" spans="7:10" ht="35.450000000000003" hidden="1" customHeight="1">
      <c r="G4850" s="113"/>
      <c r="J4850" s="28">
        <f>IFERROR(VLOOKUP(TEXT(B4850,"0"),STOCK!A:H,7,0),1)</f>
        <v>1</v>
      </c>
    </row>
    <row r="4851" spans="7:10" ht="35.450000000000003" hidden="1" customHeight="1">
      <c r="G4851" s="113"/>
      <c r="J4851" s="28">
        <f>IFERROR(VLOOKUP(TEXT(B4851,"0"),STOCK!A:H,7,0),1)</f>
        <v>1</v>
      </c>
    </row>
    <row r="4852" spans="7:10" ht="35.450000000000003" hidden="1" customHeight="1">
      <c r="G4852" s="113"/>
      <c r="J4852" s="28">
        <f>IFERROR(VLOOKUP(TEXT(B4852,"0"),STOCK!A:H,7,0),1)</f>
        <v>1</v>
      </c>
    </row>
    <row r="4853" spans="7:10" ht="35.450000000000003" hidden="1" customHeight="1">
      <c r="G4853" s="113"/>
      <c r="J4853" s="28">
        <f>IFERROR(VLOOKUP(TEXT(B4853,"0"),STOCK!A:H,7,0),1)</f>
        <v>1</v>
      </c>
    </row>
    <row r="4854" spans="7:10" ht="35.450000000000003" hidden="1" customHeight="1">
      <c r="G4854" s="113"/>
      <c r="J4854" s="28">
        <f>IFERROR(VLOOKUP(TEXT(B4854,"0"),STOCK!A:H,7,0),1)</f>
        <v>1</v>
      </c>
    </row>
    <row r="4855" spans="7:10" ht="35.450000000000003" hidden="1" customHeight="1">
      <c r="G4855" s="113"/>
      <c r="J4855" s="28">
        <f>IFERROR(VLOOKUP(TEXT(B4855,"0"),STOCK!A:H,7,0),1)</f>
        <v>1</v>
      </c>
    </row>
    <row r="4856" spans="7:10" ht="35.450000000000003" hidden="1" customHeight="1">
      <c r="G4856" s="113"/>
      <c r="J4856" s="28">
        <f>IFERROR(VLOOKUP(TEXT(B4856,"0"),STOCK!A:H,7,0),1)</f>
        <v>1</v>
      </c>
    </row>
    <row r="4857" spans="7:10" ht="35.450000000000003" hidden="1" customHeight="1">
      <c r="G4857" s="113"/>
      <c r="J4857" s="28">
        <f>IFERROR(VLOOKUP(TEXT(B4857,"0"),STOCK!A:H,7,0),1)</f>
        <v>1</v>
      </c>
    </row>
    <row r="4858" spans="7:10" ht="35.450000000000003" hidden="1" customHeight="1">
      <c r="G4858" s="113"/>
      <c r="J4858" s="28">
        <f>IFERROR(VLOOKUP(TEXT(B4858,"0"),STOCK!A:H,7,0),1)</f>
        <v>1</v>
      </c>
    </row>
    <row r="4859" spans="7:10" ht="35.450000000000003" hidden="1" customHeight="1">
      <c r="G4859" s="113"/>
      <c r="J4859" s="28">
        <f>IFERROR(VLOOKUP(TEXT(B4859,"0"),STOCK!A:H,7,0),1)</f>
        <v>1</v>
      </c>
    </row>
    <row r="4860" spans="7:10" ht="35.450000000000003" hidden="1" customHeight="1">
      <c r="G4860" s="113"/>
      <c r="J4860" s="28">
        <f>IFERROR(VLOOKUP(TEXT(B4860,"0"),STOCK!A:H,7,0),1)</f>
        <v>1</v>
      </c>
    </row>
    <row r="4861" spans="7:10" ht="35.450000000000003" hidden="1" customHeight="1">
      <c r="G4861" s="113"/>
      <c r="J4861" s="28">
        <f>IFERROR(VLOOKUP(TEXT(B4861,"0"),STOCK!A:H,7,0),1)</f>
        <v>1</v>
      </c>
    </row>
    <row r="4862" spans="7:10" ht="35.450000000000003" hidden="1" customHeight="1">
      <c r="G4862" s="113"/>
      <c r="J4862" s="28">
        <f>IFERROR(VLOOKUP(TEXT(B4862,"0"),STOCK!A:H,7,0),1)</f>
        <v>1</v>
      </c>
    </row>
    <row r="4863" spans="7:10" ht="35.450000000000003" hidden="1" customHeight="1">
      <c r="G4863" s="113"/>
      <c r="J4863" s="28">
        <f>IFERROR(VLOOKUP(TEXT(B4863,"0"),STOCK!A:H,7,0),1)</f>
        <v>1</v>
      </c>
    </row>
    <row r="4864" spans="7:10" ht="35.450000000000003" hidden="1" customHeight="1">
      <c r="G4864" s="113"/>
      <c r="J4864" s="28">
        <f>IFERROR(VLOOKUP(TEXT(B4864,"0"),STOCK!A:H,7,0),1)</f>
        <v>1</v>
      </c>
    </row>
    <row r="4865" spans="7:10" ht="35.450000000000003" hidden="1" customHeight="1">
      <c r="G4865" s="113"/>
      <c r="J4865" s="28">
        <f>IFERROR(VLOOKUP(TEXT(B4865,"0"),STOCK!A:H,7,0),1)</f>
        <v>1</v>
      </c>
    </row>
    <row r="4866" spans="7:10" ht="35.450000000000003" hidden="1" customHeight="1">
      <c r="G4866" s="113"/>
      <c r="J4866" s="28">
        <f>IFERROR(VLOOKUP(TEXT(B4866,"0"),STOCK!A:H,7,0),1)</f>
        <v>1</v>
      </c>
    </row>
    <row r="4867" spans="7:10" ht="35.450000000000003" hidden="1" customHeight="1">
      <c r="G4867" s="113"/>
      <c r="J4867" s="28">
        <f>IFERROR(VLOOKUP(TEXT(B4867,"0"),STOCK!A:H,7,0),1)</f>
        <v>1</v>
      </c>
    </row>
    <row r="4868" spans="7:10" ht="35.450000000000003" hidden="1" customHeight="1">
      <c r="G4868" s="113"/>
      <c r="J4868" s="28">
        <f>IFERROR(VLOOKUP(TEXT(B4868,"0"),STOCK!A:H,7,0),1)</f>
        <v>1</v>
      </c>
    </row>
    <row r="4869" spans="7:10" ht="35.450000000000003" hidden="1" customHeight="1">
      <c r="G4869" s="113"/>
      <c r="J4869" s="28">
        <f>IFERROR(VLOOKUP(TEXT(B4869,"0"),STOCK!A:H,7,0),1)</f>
        <v>1</v>
      </c>
    </row>
    <row r="4870" spans="7:10" ht="35.450000000000003" hidden="1" customHeight="1">
      <c r="G4870" s="113"/>
      <c r="J4870" s="28">
        <f>IFERROR(VLOOKUP(TEXT(B4870,"0"),STOCK!A:H,7,0),1)</f>
        <v>1</v>
      </c>
    </row>
    <row r="4871" spans="7:10" ht="35.450000000000003" hidden="1" customHeight="1">
      <c r="G4871" s="113"/>
      <c r="J4871" s="28">
        <f>IFERROR(VLOOKUP(TEXT(B4871,"0"),STOCK!A:H,7,0),1)</f>
        <v>1</v>
      </c>
    </row>
    <row r="4872" spans="7:10" ht="35.450000000000003" hidden="1" customHeight="1">
      <c r="G4872" s="113"/>
      <c r="J4872" s="28">
        <f>IFERROR(VLOOKUP(TEXT(B4872,"0"),STOCK!A:H,7,0),1)</f>
        <v>1</v>
      </c>
    </row>
    <row r="4873" spans="7:10" ht="35.450000000000003" hidden="1" customHeight="1">
      <c r="G4873" s="113"/>
      <c r="J4873" s="28">
        <f>IFERROR(VLOOKUP(TEXT(B4873,"0"),STOCK!A:H,7,0),1)</f>
        <v>1</v>
      </c>
    </row>
    <row r="4874" spans="7:10" ht="35.450000000000003" hidden="1" customHeight="1">
      <c r="G4874" s="113"/>
      <c r="J4874" s="28">
        <f>IFERROR(VLOOKUP(TEXT(B4874,"0"),STOCK!A:H,7,0),1)</f>
        <v>1</v>
      </c>
    </row>
    <row r="4875" spans="7:10" ht="35.450000000000003" hidden="1" customHeight="1">
      <c r="G4875" s="113"/>
      <c r="J4875" s="28">
        <f>IFERROR(VLOOKUP(TEXT(B4875,"0"),STOCK!A:H,7,0),1)</f>
        <v>1</v>
      </c>
    </row>
    <row r="4876" spans="7:10" ht="35.450000000000003" hidden="1" customHeight="1">
      <c r="G4876" s="113"/>
      <c r="J4876" s="28">
        <f>IFERROR(VLOOKUP(TEXT(B4876,"0"),STOCK!A:H,7,0),1)</f>
        <v>1</v>
      </c>
    </row>
    <row r="4877" spans="7:10" ht="35.450000000000003" hidden="1" customHeight="1">
      <c r="G4877" s="113"/>
      <c r="J4877" s="28">
        <f>IFERROR(VLOOKUP(TEXT(B4877,"0"),STOCK!A:H,7,0),1)</f>
        <v>1</v>
      </c>
    </row>
    <row r="4878" spans="7:10" ht="35.450000000000003" hidden="1" customHeight="1">
      <c r="G4878" s="113"/>
      <c r="J4878" s="28">
        <f>IFERROR(VLOOKUP(TEXT(B4878,"0"),STOCK!A:H,7,0),1)</f>
        <v>1</v>
      </c>
    </row>
    <row r="4879" spans="7:10" ht="35.450000000000003" hidden="1" customHeight="1">
      <c r="G4879" s="113"/>
      <c r="J4879" s="28">
        <f>IFERROR(VLOOKUP(TEXT(B4879,"0"),STOCK!A:H,7,0),1)</f>
        <v>1</v>
      </c>
    </row>
    <row r="4880" spans="7:10" ht="35.450000000000003" hidden="1" customHeight="1">
      <c r="G4880" s="113"/>
      <c r="J4880" s="28">
        <f>IFERROR(VLOOKUP(TEXT(B4880,"0"),STOCK!A:H,7,0),1)</f>
        <v>1</v>
      </c>
    </row>
    <row r="4881" spans="7:10" ht="35.450000000000003" hidden="1" customHeight="1">
      <c r="G4881" s="113"/>
      <c r="J4881" s="28">
        <f>IFERROR(VLOOKUP(TEXT(B4881,"0"),STOCK!A:H,7,0),1)</f>
        <v>1</v>
      </c>
    </row>
    <row r="4882" spans="7:10" ht="35.450000000000003" hidden="1" customHeight="1">
      <c r="G4882" s="113"/>
      <c r="J4882" s="28">
        <f>IFERROR(VLOOKUP(TEXT(B4882,"0"),STOCK!A:H,7,0),1)</f>
        <v>1</v>
      </c>
    </row>
    <row r="4883" spans="7:10" ht="35.450000000000003" hidden="1" customHeight="1">
      <c r="G4883" s="113"/>
      <c r="J4883" s="28">
        <f>IFERROR(VLOOKUP(TEXT(B4883,"0"),STOCK!A:H,7,0),1)</f>
        <v>1</v>
      </c>
    </row>
    <row r="4884" spans="7:10" ht="35.450000000000003" hidden="1" customHeight="1">
      <c r="G4884" s="113"/>
      <c r="J4884" s="28">
        <f>IFERROR(VLOOKUP(TEXT(B4884,"0"),STOCK!A:H,7,0),1)</f>
        <v>1</v>
      </c>
    </row>
    <row r="4885" spans="7:10" ht="35.450000000000003" hidden="1" customHeight="1">
      <c r="G4885" s="113"/>
      <c r="J4885" s="28">
        <f>IFERROR(VLOOKUP(TEXT(B4885,"0"),STOCK!A:H,7,0),1)</f>
        <v>1</v>
      </c>
    </row>
    <row r="4886" spans="7:10" ht="35.450000000000003" hidden="1" customHeight="1">
      <c r="G4886" s="113"/>
      <c r="J4886" s="28">
        <f>IFERROR(VLOOKUP(TEXT(B4886,"0"),STOCK!A:H,7,0),1)</f>
        <v>1</v>
      </c>
    </row>
    <row r="4887" spans="7:10" ht="35.450000000000003" hidden="1" customHeight="1">
      <c r="G4887" s="113"/>
      <c r="J4887" s="28">
        <f>IFERROR(VLOOKUP(TEXT(B4887,"0"),STOCK!A:H,7,0),1)</f>
        <v>1</v>
      </c>
    </row>
    <row r="4888" spans="7:10" ht="35.450000000000003" hidden="1" customHeight="1">
      <c r="G4888" s="113"/>
      <c r="J4888" s="28">
        <f>IFERROR(VLOOKUP(TEXT(B4888,"0"),STOCK!A:H,7,0),1)</f>
        <v>1</v>
      </c>
    </row>
    <row r="4889" spans="7:10" ht="35.450000000000003" hidden="1" customHeight="1">
      <c r="G4889" s="113"/>
      <c r="J4889" s="28">
        <f>IFERROR(VLOOKUP(TEXT(B4889,"0"),STOCK!A:H,7,0),1)</f>
        <v>1</v>
      </c>
    </row>
    <row r="4890" spans="7:10" ht="35.450000000000003" hidden="1" customHeight="1">
      <c r="G4890" s="113"/>
      <c r="J4890" s="28">
        <f>IFERROR(VLOOKUP(TEXT(B4890,"0"),STOCK!A:H,7,0),1)</f>
        <v>1</v>
      </c>
    </row>
    <row r="4891" spans="7:10" ht="35.450000000000003" hidden="1" customHeight="1">
      <c r="G4891" s="113"/>
      <c r="J4891" s="28">
        <f>IFERROR(VLOOKUP(TEXT(B4891,"0"),STOCK!A:H,7,0),1)</f>
        <v>1</v>
      </c>
    </row>
    <row r="4892" spans="7:10" ht="35.450000000000003" hidden="1" customHeight="1">
      <c r="G4892" s="113"/>
      <c r="J4892" s="28">
        <f>IFERROR(VLOOKUP(TEXT(B4892,"0"),STOCK!A:H,7,0),1)</f>
        <v>1</v>
      </c>
    </row>
    <row r="4893" spans="7:10" ht="35.450000000000003" hidden="1" customHeight="1">
      <c r="G4893" s="113"/>
      <c r="J4893" s="28">
        <f>IFERROR(VLOOKUP(TEXT(B4893,"0"),STOCK!A:H,7,0),1)</f>
        <v>1</v>
      </c>
    </row>
    <row r="4894" spans="7:10" ht="35.450000000000003" hidden="1" customHeight="1">
      <c r="G4894" s="113"/>
      <c r="J4894" s="28">
        <f>IFERROR(VLOOKUP(TEXT(B4894,"0"),STOCK!A:H,7,0),1)</f>
        <v>1</v>
      </c>
    </row>
    <row r="4895" spans="7:10" ht="35.450000000000003" hidden="1" customHeight="1">
      <c r="G4895" s="113"/>
      <c r="J4895" s="28">
        <f>IFERROR(VLOOKUP(TEXT(B4895,"0"),STOCK!A:H,7,0),1)</f>
        <v>1</v>
      </c>
    </row>
    <row r="4896" spans="7:10" ht="35.450000000000003" hidden="1" customHeight="1">
      <c r="G4896" s="113"/>
      <c r="J4896" s="28">
        <f>IFERROR(VLOOKUP(TEXT(B4896,"0"),STOCK!A:H,7,0),1)</f>
        <v>1</v>
      </c>
    </row>
    <row r="4897" spans="7:10" ht="35.450000000000003" hidden="1" customHeight="1">
      <c r="G4897" s="113"/>
      <c r="J4897" s="28">
        <f>IFERROR(VLOOKUP(TEXT(B4897,"0"),STOCK!A:H,7,0),1)</f>
        <v>1</v>
      </c>
    </row>
    <row r="4898" spans="7:10" ht="35.450000000000003" hidden="1" customHeight="1">
      <c r="G4898" s="113"/>
      <c r="J4898" s="28">
        <f>IFERROR(VLOOKUP(TEXT(B4898,"0"),STOCK!A:H,7,0),1)</f>
        <v>1</v>
      </c>
    </row>
    <row r="4899" spans="7:10" ht="35.450000000000003" hidden="1" customHeight="1">
      <c r="G4899" s="113"/>
      <c r="J4899" s="28">
        <f>IFERROR(VLOOKUP(TEXT(B4899,"0"),STOCK!A:H,7,0),1)</f>
        <v>1</v>
      </c>
    </row>
    <row r="4900" spans="7:10" ht="35.450000000000003" hidden="1" customHeight="1">
      <c r="G4900" s="113"/>
      <c r="J4900" s="28">
        <f>IFERROR(VLOOKUP(TEXT(B4900,"0"),STOCK!A:H,7,0),1)</f>
        <v>1</v>
      </c>
    </row>
    <row r="4901" spans="7:10" ht="35.450000000000003" hidden="1" customHeight="1">
      <c r="G4901" s="113"/>
      <c r="J4901" s="28">
        <f>IFERROR(VLOOKUP(TEXT(B4901,"0"),STOCK!A:H,7,0),1)</f>
        <v>1</v>
      </c>
    </row>
    <row r="4902" spans="7:10" ht="35.450000000000003" hidden="1" customHeight="1">
      <c r="G4902" s="113"/>
      <c r="J4902" s="28">
        <f>IFERROR(VLOOKUP(TEXT(B4902,"0"),STOCK!A:H,7,0),1)</f>
        <v>1</v>
      </c>
    </row>
    <row r="4903" spans="7:10" ht="35.450000000000003" hidden="1" customHeight="1">
      <c r="G4903" s="113"/>
      <c r="J4903" s="28">
        <f>IFERROR(VLOOKUP(TEXT(B4903,"0"),STOCK!A:H,7,0),1)</f>
        <v>1</v>
      </c>
    </row>
    <row r="4904" spans="7:10" ht="35.450000000000003" hidden="1" customHeight="1">
      <c r="G4904" s="113"/>
      <c r="J4904" s="28">
        <f>IFERROR(VLOOKUP(TEXT(B4904,"0"),STOCK!A:H,7,0),1)</f>
        <v>1</v>
      </c>
    </row>
    <row r="4905" spans="7:10" ht="35.450000000000003" hidden="1" customHeight="1">
      <c r="G4905" s="113"/>
      <c r="J4905" s="28">
        <f>IFERROR(VLOOKUP(TEXT(B4905,"0"),STOCK!A:H,7,0),1)</f>
        <v>1</v>
      </c>
    </row>
    <row r="4906" spans="7:10" ht="35.450000000000003" hidden="1" customHeight="1">
      <c r="G4906" s="113"/>
      <c r="J4906" s="28">
        <f>IFERROR(VLOOKUP(TEXT(B4906,"0"),STOCK!A:H,7,0),1)</f>
        <v>1</v>
      </c>
    </row>
    <row r="4907" spans="7:10" ht="35.450000000000003" hidden="1" customHeight="1">
      <c r="G4907" s="113"/>
      <c r="J4907" s="28">
        <f>IFERROR(VLOOKUP(TEXT(B4907,"0"),STOCK!A:H,7,0),1)</f>
        <v>1</v>
      </c>
    </row>
    <row r="4908" spans="7:10" ht="35.450000000000003" hidden="1" customHeight="1">
      <c r="G4908" s="113"/>
      <c r="J4908" s="28">
        <f>IFERROR(VLOOKUP(TEXT(B4908,"0"),STOCK!A:H,7,0),1)</f>
        <v>1</v>
      </c>
    </row>
    <row r="4909" spans="7:10" ht="35.450000000000003" hidden="1" customHeight="1">
      <c r="G4909" s="113"/>
      <c r="J4909" s="28">
        <f>IFERROR(VLOOKUP(TEXT(B4909,"0"),STOCK!A:H,7,0),1)</f>
        <v>1</v>
      </c>
    </row>
    <row r="4910" spans="7:10" ht="35.450000000000003" hidden="1" customHeight="1">
      <c r="G4910" s="113"/>
      <c r="J4910" s="28">
        <f>IFERROR(VLOOKUP(TEXT(B4910,"0"),STOCK!A:H,7,0),1)</f>
        <v>1</v>
      </c>
    </row>
    <row r="4911" spans="7:10" ht="35.450000000000003" hidden="1" customHeight="1">
      <c r="G4911" s="113"/>
      <c r="J4911" s="28">
        <f>IFERROR(VLOOKUP(TEXT(B4911,"0"),STOCK!A:H,7,0),1)</f>
        <v>1</v>
      </c>
    </row>
    <row r="4912" spans="7:10" ht="35.450000000000003" hidden="1" customHeight="1">
      <c r="G4912" s="113"/>
      <c r="J4912" s="28">
        <f>IFERROR(VLOOKUP(TEXT(B4912,"0"),STOCK!A:H,7,0),1)</f>
        <v>1</v>
      </c>
    </row>
    <row r="4913" spans="7:10" ht="35.450000000000003" hidden="1" customHeight="1">
      <c r="G4913" s="113"/>
      <c r="J4913" s="28">
        <f>IFERROR(VLOOKUP(TEXT(B4913,"0"),STOCK!A:H,7,0),1)</f>
        <v>1</v>
      </c>
    </row>
    <row r="4914" spans="7:10" ht="35.450000000000003" hidden="1" customHeight="1">
      <c r="G4914" s="113"/>
      <c r="J4914" s="28">
        <f>IFERROR(VLOOKUP(TEXT(B4914,"0"),STOCK!A:H,7,0),1)</f>
        <v>1</v>
      </c>
    </row>
    <row r="4915" spans="7:10" ht="35.450000000000003" hidden="1" customHeight="1">
      <c r="G4915" s="113"/>
      <c r="J4915" s="28">
        <f>IFERROR(VLOOKUP(TEXT(B4915,"0"),STOCK!A:H,7,0),1)</f>
        <v>1</v>
      </c>
    </row>
    <row r="4916" spans="7:10" ht="35.450000000000003" hidden="1" customHeight="1">
      <c r="G4916" s="113"/>
      <c r="J4916" s="28">
        <f>IFERROR(VLOOKUP(TEXT(B4916,"0"),STOCK!A:H,7,0),1)</f>
        <v>1</v>
      </c>
    </row>
    <row r="4917" spans="7:10" ht="35.450000000000003" hidden="1" customHeight="1">
      <c r="G4917" s="113"/>
      <c r="J4917" s="28">
        <f>IFERROR(VLOOKUP(TEXT(B4917,"0"),STOCK!A:H,7,0),1)</f>
        <v>1</v>
      </c>
    </row>
    <row r="4918" spans="7:10" ht="35.450000000000003" hidden="1" customHeight="1">
      <c r="G4918" s="113"/>
      <c r="J4918" s="28">
        <f>IFERROR(VLOOKUP(TEXT(B4918,"0"),STOCK!A:H,7,0),1)</f>
        <v>1</v>
      </c>
    </row>
    <row r="4919" spans="7:10" ht="35.450000000000003" hidden="1" customHeight="1">
      <c r="G4919" s="113"/>
      <c r="J4919" s="28">
        <f>IFERROR(VLOOKUP(TEXT(B4919,"0"),STOCK!A:H,7,0),1)</f>
        <v>1</v>
      </c>
    </row>
    <row r="4920" spans="7:10" ht="35.450000000000003" hidden="1" customHeight="1">
      <c r="G4920" s="113"/>
      <c r="J4920" s="28">
        <f>IFERROR(VLOOKUP(TEXT(B4920,"0"),STOCK!A:H,7,0),1)</f>
        <v>1</v>
      </c>
    </row>
    <row r="4921" spans="7:10" ht="35.450000000000003" hidden="1" customHeight="1">
      <c r="G4921" s="113"/>
      <c r="J4921" s="28">
        <f>IFERROR(VLOOKUP(TEXT(B4921,"0"),STOCK!A:H,7,0),1)</f>
        <v>1</v>
      </c>
    </row>
    <row r="4922" spans="7:10" ht="35.450000000000003" hidden="1" customHeight="1">
      <c r="G4922" s="113"/>
      <c r="J4922" s="28">
        <f>IFERROR(VLOOKUP(TEXT(B4922,"0"),STOCK!A:H,7,0),1)</f>
        <v>1</v>
      </c>
    </row>
    <row r="4923" spans="7:10" ht="35.450000000000003" hidden="1" customHeight="1">
      <c r="G4923" s="113"/>
      <c r="J4923" s="28">
        <f>IFERROR(VLOOKUP(TEXT(B4923,"0"),STOCK!A:H,7,0),1)</f>
        <v>1</v>
      </c>
    </row>
    <row r="4924" spans="7:10" ht="35.450000000000003" hidden="1" customHeight="1">
      <c r="G4924" s="113"/>
      <c r="J4924" s="28">
        <f>IFERROR(VLOOKUP(TEXT(B4924,"0"),STOCK!A:H,7,0),1)</f>
        <v>1</v>
      </c>
    </row>
    <row r="4925" spans="7:10" ht="35.450000000000003" hidden="1" customHeight="1">
      <c r="G4925" s="113"/>
      <c r="J4925" s="28">
        <f>IFERROR(VLOOKUP(TEXT(B4925,"0"),STOCK!A:H,7,0),1)</f>
        <v>1</v>
      </c>
    </row>
    <row r="4926" spans="7:10" ht="35.450000000000003" hidden="1" customHeight="1">
      <c r="G4926" s="113"/>
      <c r="J4926" s="28">
        <f>IFERROR(VLOOKUP(TEXT(B4926,"0"),STOCK!A:H,7,0),1)</f>
        <v>1</v>
      </c>
    </row>
    <row r="4927" spans="7:10" ht="35.450000000000003" hidden="1" customHeight="1">
      <c r="G4927" s="113"/>
      <c r="J4927" s="28">
        <f>IFERROR(VLOOKUP(TEXT(B4927,"0"),STOCK!A:H,7,0),1)</f>
        <v>1</v>
      </c>
    </row>
    <row r="4928" spans="7:10" ht="35.450000000000003" hidden="1" customHeight="1">
      <c r="G4928" s="113"/>
      <c r="J4928" s="28">
        <f>IFERROR(VLOOKUP(TEXT(B4928,"0"),STOCK!A:H,7,0),1)</f>
        <v>1</v>
      </c>
    </row>
    <row r="4929" spans="7:10" ht="35.450000000000003" hidden="1" customHeight="1">
      <c r="G4929" s="113"/>
      <c r="J4929" s="28">
        <f>IFERROR(VLOOKUP(TEXT(B4929,"0"),STOCK!A:H,7,0),1)</f>
        <v>1</v>
      </c>
    </row>
    <row r="4930" spans="7:10" ht="35.450000000000003" hidden="1" customHeight="1">
      <c r="G4930" s="113"/>
      <c r="J4930" s="28">
        <f>IFERROR(VLOOKUP(TEXT(B4930,"0"),STOCK!A:H,7,0),1)</f>
        <v>1</v>
      </c>
    </row>
    <row r="4931" spans="7:10" ht="35.450000000000003" hidden="1" customHeight="1">
      <c r="G4931" s="113"/>
      <c r="J4931" s="28">
        <f>IFERROR(VLOOKUP(TEXT(B4931,"0"),STOCK!A:H,7,0),1)</f>
        <v>1</v>
      </c>
    </row>
    <row r="4932" spans="7:10" ht="35.450000000000003" hidden="1" customHeight="1">
      <c r="G4932" s="113"/>
      <c r="J4932" s="28">
        <f>IFERROR(VLOOKUP(TEXT(B4932,"0"),STOCK!A:H,7,0),1)</f>
        <v>1</v>
      </c>
    </row>
    <row r="4933" spans="7:10" ht="35.450000000000003" hidden="1" customHeight="1">
      <c r="G4933" s="113"/>
      <c r="J4933" s="28">
        <f>IFERROR(VLOOKUP(TEXT(B4933,"0"),STOCK!A:H,7,0),1)</f>
        <v>1</v>
      </c>
    </row>
    <row r="4934" spans="7:10" ht="35.450000000000003" hidden="1" customHeight="1">
      <c r="G4934" s="113"/>
      <c r="J4934" s="28">
        <f>IFERROR(VLOOKUP(TEXT(B4934,"0"),STOCK!A:H,7,0),1)</f>
        <v>1</v>
      </c>
    </row>
    <row r="4935" spans="7:10" ht="35.450000000000003" hidden="1" customHeight="1">
      <c r="G4935" s="113"/>
      <c r="J4935" s="28">
        <f>IFERROR(VLOOKUP(TEXT(B4935,"0"),STOCK!A:H,7,0),1)</f>
        <v>1</v>
      </c>
    </row>
    <row r="4936" spans="7:10" ht="35.450000000000003" hidden="1" customHeight="1">
      <c r="G4936" s="113"/>
      <c r="J4936" s="28">
        <f>IFERROR(VLOOKUP(TEXT(B4936,"0"),STOCK!A:H,7,0),1)</f>
        <v>1</v>
      </c>
    </row>
    <row r="4937" spans="7:10" ht="35.450000000000003" hidden="1" customHeight="1">
      <c r="G4937" s="113"/>
      <c r="J4937" s="28">
        <f>IFERROR(VLOOKUP(TEXT(B4937,"0"),STOCK!A:H,7,0),1)</f>
        <v>1</v>
      </c>
    </row>
    <row r="4938" spans="7:10" ht="35.450000000000003" hidden="1" customHeight="1">
      <c r="G4938" s="113"/>
      <c r="J4938" s="28">
        <f>IFERROR(VLOOKUP(TEXT(B4938,"0"),STOCK!A:H,7,0),1)</f>
        <v>1</v>
      </c>
    </row>
    <row r="4939" spans="7:10" ht="35.450000000000003" hidden="1" customHeight="1">
      <c r="G4939" s="113"/>
      <c r="J4939" s="28">
        <f>IFERROR(VLOOKUP(TEXT(B4939,"0"),STOCK!A:H,7,0),1)</f>
        <v>1</v>
      </c>
    </row>
    <row r="4940" spans="7:10" ht="35.450000000000003" hidden="1" customHeight="1">
      <c r="G4940" s="113"/>
      <c r="J4940" s="28">
        <f>IFERROR(VLOOKUP(TEXT(B4940,"0"),STOCK!A:H,7,0),1)</f>
        <v>1</v>
      </c>
    </row>
    <row r="4941" spans="7:10" ht="35.450000000000003" hidden="1" customHeight="1">
      <c r="G4941" s="113"/>
      <c r="J4941" s="28">
        <f>IFERROR(VLOOKUP(TEXT(B4941,"0"),STOCK!A:H,7,0),1)</f>
        <v>1</v>
      </c>
    </row>
    <row r="4942" spans="7:10" ht="35.450000000000003" hidden="1" customHeight="1">
      <c r="G4942" s="113"/>
      <c r="J4942" s="28">
        <f>IFERROR(VLOOKUP(TEXT(B4942,"0"),STOCK!A:H,7,0),1)</f>
        <v>1</v>
      </c>
    </row>
    <row r="4943" spans="7:10" ht="35.450000000000003" hidden="1" customHeight="1">
      <c r="G4943" s="113"/>
      <c r="J4943" s="28">
        <f>IFERROR(VLOOKUP(TEXT(B4943,"0"),STOCK!A:H,7,0),1)</f>
        <v>1</v>
      </c>
    </row>
    <row r="4944" spans="7:10" ht="35.450000000000003" hidden="1" customHeight="1">
      <c r="G4944" s="113"/>
      <c r="J4944" s="28">
        <f>IFERROR(VLOOKUP(TEXT(B4944,"0"),STOCK!A:H,7,0),1)</f>
        <v>1</v>
      </c>
    </row>
    <row r="4945" spans="7:10" ht="35.450000000000003" hidden="1" customHeight="1">
      <c r="G4945" s="113"/>
      <c r="J4945" s="28">
        <f>IFERROR(VLOOKUP(TEXT(B4945,"0"),STOCK!A:H,7,0),1)</f>
        <v>1</v>
      </c>
    </row>
    <row r="4946" spans="7:10" ht="35.450000000000003" hidden="1" customHeight="1">
      <c r="G4946" s="113"/>
      <c r="J4946" s="28">
        <f>IFERROR(VLOOKUP(TEXT(B4946,"0"),STOCK!A:H,7,0),1)</f>
        <v>1</v>
      </c>
    </row>
    <row r="4947" spans="7:10" ht="35.450000000000003" hidden="1" customHeight="1">
      <c r="G4947" s="113"/>
      <c r="J4947" s="28">
        <f>IFERROR(VLOOKUP(TEXT(B4947,"0"),STOCK!A:H,7,0),1)</f>
        <v>1</v>
      </c>
    </row>
    <row r="4948" spans="7:10" ht="35.450000000000003" hidden="1" customHeight="1">
      <c r="G4948" s="113"/>
      <c r="J4948" s="28">
        <f>IFERROR(VLOOKUP(TEXT(B4948,"0"),STOCK!A:H,7,0),1)</f>
        <v>1</v>
      </c>
    </row>
    <row r="4949" spans="7:10" ht="35.450000000000003" hidden="1" customHeight="1">
      <c r="G4949" s="113"/>
      <c r="J4949" s="28">
        <f>IFERROR(VLOOKUP(TEXT(B4949,"0"),STOCK!A:H,7,0),1)</f>
        <v>1</v>
      </c>
    </row>
    <row r="4950" spans="7:10" ht="35.450000000000003" hidden="1" customHeight="1">
      <c r="G4950" s="113"/>
      <c r="J4950" s="28">
        <f>IFERROR(VLOOKUP(TEXT(B4950,"0"),STOCK!A:H,7,0),1)</f>
        <v>1</v>
      </c>
    </row>
    <row r="4951" spans="7:10" ht="35.450000000000003" hidden="1" customHeight="1">
      <c r="G4951" s="113"/>
      <c r="J4951" s="28">
        <f>IFERROR(VLOOKUP(TEXT(B4951,"0"),STOCK!A:H,7,0),1)</f>
        <v>1</v>
      </c>
    </row>
    <row r="4952" spans="7:10" ht="35.450000000000003" hidden="1" customHeight="1">
      <c r="G4952" s="113"/>
      <c r="J4952" s="28">
        <f>IFERROR(VLOOKUP(TEXT(B4952,"0"),STOCK!A:H,7,0),1)</f>
        <v>1</v>
      </c>
    </row>
    <row r="4953" spans="7:10" ht="35.450000000000003" hidden="1" customHeight="1">
      <c r="G4953" s="113"/>
      <c r="J4953" s="28">
        <f>IFERROR(VLOOKUP(TEXT(B4953,"0"),STOCK!A:H,7,0),1)</f>
        <v>1</v>
      </c>
    </row>
    <row r="4954" spans="7:10" ht="35.450000000000003" hidden="1" customHeight="1">
      <c r="G4954" s="113"/>
      <c r="J4954" s="28">
        <f>IFERROR(VLOOKUP(TEXT(B4954,"0"),STOCK!A:H,7,0),1)</f>
        <v>1</v>
      </c>
    </row>
    <row r="4955" spans="7:10" ht="35.450000000000003" hidden="1" customHeight="1">
      <c r="G4955" s="113"/>
      <c r="J4955" s="28">
        <f>IFERROR(VLOOKUP(TEXT(B4955,"0"),STOCK!A:H,7,0),1)</f>
        <v>1</v>
      </c>
    </row>
    <row r="4956" spans="7:10" ht="35.450000000000003" hidden="1" customHeight="1">
      <c r="G4956" s="113"/>
      <c r="J4956" s="28">
        <f>IFERROR(VLOOKUP(TEXT(B4956,"0"),STOCK!A:H,7,0),1)</f>
        <v>1</v>
      </c>
    </row>
    <row r="4957" spans="7:10" ht="35.450000000000003" hidden="1" customHeight="1">
      <c r="G4957" s="113"/>
      <c r="J4957" s="28">
        <f>IFERROR(VLOOKUP(TEXT(B4957,"0"),STOCK!A:H,7,0),1)</f>
        <v>1</v>
      </c>
    </row>
    <row r="4958" spans="7:10" ht="35.450000000000003" hidden="1" customHeight="1">
      <c r="G4958" s="113"/>
      <c r="J4958" s="28">
        <f>IFERROR(VLOOKUP(TEXT(B4958,"0"),STOCK!A:H,7,0),1)</f>
        <v>1</v>
      </c>
    </row>
    <row r="4959" spans="7:10" ht="35.450000000000003" hidden="1" customHeight="1">
      <c r="G4959" s="113"/>
      <c r="J4959" s="28">
        <f>IFERROR(VLOOKUP(TEXT(B4959,"0"),STOCK!A:H,7,0),1)</f>
        <v>1</v>
      </c>
    </row>
    <row r="4960" spans="7:10" ht="35.450000000000003" hidden="1" customHeight="1">
      <c r="G4960" s="113"/>
      <c r="J4960" s="28">
        <f>IFERROR(VLOOKUP(TEXT(B4960,"0"),STOCK!A:H,7,0),1)</f>
        <v>1</v>
      </c>
    </row>
    <row r="4961" spans="7:10" ht="35.450000000000003" hidden="1" customHeight="1">
      <c r="G4961" s="113"/>
      <c r="J4961" s="28">
        <f>IFERROR(VLOOKUP(TEXT(B4961,"0"),STOCK!A:H,7,0),1)</f>
        <v>1</v>
      </c>
    </row>
    <row r="4962" spans="7:10" ht="35.450000000000003" hidden="1" customHeight="1">
      <c r="G4962" s="113"/>
      <c r="J4962" s="28">
        <f>IFERROR(VLOOKUP(TEXT(B4962,"0"),STOCK!A:H,7,0),1)</f>
        <v>1</v>
      </c>
    </row>
    <row r="4963" spans="7:10" ht="35.450000000000003" hidden="1" customHeight="1">
      <c r="G4963" s="113"/>
      <c r="J4963" s="28">
        <f>IFERROR(VLOOKUP(TEXT(B4963,"0"),STOCK!A:H,7,0),1)</f>
        <v>1</v>
      </c>
    </row>
    <row r="4964" spans="7:10" ht="35.450000000000003" hidden="1" customHeight="1">
      <c r="G4964" s="113"/>
      <c r="J4964" s="28">
        <f>IFERROR(VLOOKUP(TEXT(B4964,"0"),STOCK!A:H,7,0),1)</f>
        <v>1</v>
      </c>
    </row>
    <row r="4965" spans="7:10" ht="35.450000000000003" hidden="1" customHeight="1">
      <c r="G4965" s="113"/>
      <c r="J4965" s="28">
        <f>IFERROR(VLOOKUP(TEXT(B4965,"0"),STOCK!A:H,7,0),1)</f>
        <v>1</v>
      </c>
    </row>
    <row r="4966" spans="7:10" ht="35.450000000000003" hidden="1" customHeight="1">
      <c r="G4966" s="113"/>
      <c r="J4966" s="28">
        <f>IFERROR(VLOOKUP(TEXT(B4966,"0"),STOCK!A:H,7,0),1)</f>
        <v>1</v>
      </c>
    </row>
    <row r="4967" spans="7:10" ht="35.450000000000003" hidden="1" customHeight="1">
      <c r="G4967" s="113"/>
      <c r="J4967" s="28">
        <f>IFERROR(VLOOKUP(TEXT(B4967,"0"),STOCK!A:H,7,0),1)</f>
        <v>1</v>
      </c>
    </row>
    <row r="4968" spans="7:10" ht="35.450000000000003" hidden="1" customHeight="1">
      <c r="G4968" s="113"/>
      <c r="J4968" s="28">
        <f>IFERROR(VLOOKUP(TEXT(B4968,"0"),STOCK!A:H,7,0),1)</f>
        <v>1</v>
      </c>
    </row>
    <row r="4969" spans="7:10" ht="35.450000000000003" hidden="1" customHeight="1">
      <c r="G4969" s="113"/>
      <c r="J4969" s="28">
        <f>IFERROR(VLOOKUP(TEXT(B4969,"0"),STOCK!A:H,7,0),1)</f>
        <v>1</v>
      </c>
    </row>
    <row r="4970" spans="7:10" ht="35.450000000000003" hidden="1" customHeight="1">
      <c r="G4970" s="113"/>
      <c r="J4970" s="28">
        <f>IFERROR(VLOOKUP(TEXT(B4970,"0"),STOCK!A:H,7,0),1)</f>
        <v>1</v>
      </c>
    </row>
    <row r="4971" spans="7:10" ht="35.450000000000003" hidden="1" customHeight="1">
      <c r="G4971" s="113"/>
      <c r="J4971" s="28">
        <f>IFERROR(VLOOKUP(TEXT(B4971,"0"),STOCK!A:H,7,0),1)</f>
        <v>1</v>
      </c>
    </row>
    <row r="4972" spans="7:10" ht="35.450000000000003" hidden="1" customHeight="1">
      <c r="G4972" s="113"/>
      <c r="J4972" s="28">
        <f>IFERROR(VLOOKUP(TEXT(B4972,"0"),STOCK!A:H,7,0),1)</f>
        <v>1</v>
      </c>
    </row>
    <row r="4973" spans="7:10" ht="35.450000000000003" hidden="1" customHeight="1">
      <c r="G4973" s="113"/>
      <c r="J4973" s="28">
        <f>IFERROR(VLOOKUP(TEXT(B4973,"0"),STOCK!A:H,7,0),1)</f>
        <v>1</v>
      </c>
    </row>
    <row r="4974" spans="7:10" ht="35.450000000000003" hidden="1" customHeight="1">
      <c r="G4974" s="113"/>
      <c r="J4974" s="28">
        <f>IFERROR(VLOOKUP(TEXT(B4974,"0"),STOCK!A:H,7,0),1)</f>
        <v>1</v>
      </c>
    </row>
    <row r="4975" spans="7:10" ht="35.450000000000003" hidden="1" customHeight="1">
      <c r="G4975" s="113"/>
      <c r="J4975" s="28">
        <f>IFERROR(VLOOKUP(TEXT(B4975,"0"),STOCK!A:H,7,0),1)</f>
        <v>1</v>
      </c>
    </row>
    <row r="4976" spans="7:10" ht="35.450000000000003" hidden="1" customHeight="1">
      <c r="G4976" s="113"/>
      <c r="J4976" s="28">
        <f>IFERROR(VLOOKUP(TEXT(B4976,"0"),STOCK!A:H,7,0),1)</f>
        <v>1</v>
      </c>
    </row>
    <row r="4977" spans="7:10" ht="35.450000000000003" hidden="1" customHeight="1">
      <c r="G4977" s="113"/>
      <c r="J4977" s="28">
        <f>IFERROR(VLOOKUP(TEXT(B4977,"0"),STOCK!A:H,7,0),1)</f>
        <v>1</v>
      </c>
    </row>
    <row r="4978" spans="7:10" ht="35.450000000000003" hidden="1" customHeight="1">
      <c r="G4978" s="113"/>
      <c r="J4978" s="28">
        <f>IFERROR(VLOOKUP(TEXT(B4978,"0"),STOCK!A:H,7,0),1)</f>
        <v>1</v>
      </c>
    </row>
    <row r="4979" spans="7:10" ht="35.450000000000003" hidden="1" customHeight="1">
      <c r="G4979" s="113"/>
      <c r="J4979" s="28">
        <f>IFERROR(VLOOKUP(TEXT(B4979,"0"),STOCK!A:H,7,0),1)</f>
        <v>1</v>
      </c>
    </row>
    <row r="4980" spans="7:10" ht="35.450000000000003" hidden="1" customHeight="1">
      <c r="G4980" s="113"/>
      <c r="J4980" s="28">
        <f>IFERROR(VLOOKUP(TEXT(B4980,"0"),STOCK!A:H,7,0),1)</f>
        <v>1</v>
      </c>
    </row>
    <row r="4981" spans="7:10" ht="35.450000000000003" hidden="1" customHeight="1">
      <c r="G4981" s="113"/>
      <c r="J4981" s="28">
        <f>IFERROR(VLOOKUP(TEXT(B4981,"0"),STOCK!A:H,7,0),1)</f>
        <v>1</v>
      </c>
    </row>
    <row r="4982" spans="7:10" ht="35.450000000000003" hidden="1" customHeight="1">
      <c r="G4982" s="113"/>
      <c r="J4982" s="28">
        <f>IFERROR(VLOOKUP(TEXT(B4982,"0"),STOCK!A:H,7,0),1)</f>
        <v>1</v>
      </c>
    </row>
    <row r="4983" spans="7:10" ht="35.450000000000003" hidden="1" customHeight="1">
      <c r="G4983" s="113"/>
      <c r="J4983" s="28">
        <f>IFERROR(VLOOKUP(TEXT(B4983,"0"),STOCK!A:H,7,0),1)</f>
        <v>1</v>
      </c>
    </row>
    <row r="4984" spans="7:10" ht="35.450000000000003" hidden="1" customHeight="1">
      <c r="G4984" s="113"/>
      <c r="J4984" s="28">
        <f>IFERROR(VLOOKUP(TEXT(B4984,"0"),STOCK!A:H,7,0),1)</f>
        <v>1</v>
      </c>
    </row>
    <row r="4985" spans="7:10" ht="35.450000000000003" hidden="1" customHeight="1">
      <c r="G4985" s="113"/>
      <c r="J4985" s="28">
        <f>IFERROR(VLOOKUP(TEXT(B4985,"0"),STOCK!A:H,7,0),1)</f>
        <v>1</v>
      </c>
    </row>
    <row r="4986" spans="7:10" ht="35.450000000000003" hidden="1" customHeight="1">
      <c r="G4986" s="113"/>
      <c r="J4986" s="28">
        <f>IFERROR(VLOOKUP(TEXT(B4986,"0"),STOCK!A:H,7,0),1)</f>
        <v>1</v>
      </c>
    </row>
    <row r="4987" spans="7:10" ht="35.450000000000003" hidden="1" customHeight="1">
      <c r="G4987" s="113"/>
      <c r="J4987" s="28">
        <f>IFERROR(VLOOKUP(TEXT(B4987,"0"),STOCK!A:H,7,0),1)</f>
        <v>1</v>
      </c>
    </row>
    <row r="4988" spans="7:10" ht="35.450000000000003" hidden="1" customHeight="1">
      <c r="G4988" s="113"/>
      <c r="J4988" s="28">
        <f>IFERROR(VLOOKUP(TEXT(B4988,"0"),STOCK!A:H,7,0),1)</f>
        <v>1</v>
      </c>
    </row>
    <row r="4989" spans="7:10" ht="35.450000000000003" hidden="1" customHeight="1">
      <c r="G4989" s="113"/>
      <c r="J4989" s="28">
        <f>IFERROR(VLOOKUP(TEXT(B4989,"0"),STOCK!A:H,7,0),1)</f>
        <v>1</v>
      </c>
    </row>
    <row r="4990" spans="7:10" ht="35.450000000000003" hidden="1" customHeight="1">
      <c r="G4990" s="113"/>
      <c r="J4990" s="28">
        <f>IFERROR(VLOOKUP(TEXT(B4990,"0"),STOCK!A:H,7,0),1)</f>
        <v>1</v>
      </c>
    </row>
    <row r="4991" spans="7:10" ht="35.450000000000003" hidden="1" customHeight="1">
      <c r="G4991" s="113"/>
      <c r="J4991" s="28">
        <f>IFERROR(VLOOKUP(TEXT(B4991,"0"),STOCK!A:H,7,0),1)</f>
        <v>1</v>
      </c>
    </row>
    <row r="4992" spans="7:10" ht="35.450000000000003" hidden="1" customHeight="1">
      <c r="G4992" s="113"/>
      <c r="J4992" s="28">
        <f>IFERROR(VLOOKUP(TEXT(B4992,"0"),STOCK!A:H,7,0),1)</f>
        <v>1</v>
      </c>
    </row>
    <row r="4993" spans="7:10" ht="35.450000000000003" hidden="1" customHeight="1">
      <c r="G4993" s="113"/>
      <c r="J4993" s="28">
        <f>IFERROR(VLOOKUP(TEXT(B4993,"0"),STOCK!A:H,7,0),1)</f>
        <v>1</v>
      </c>
    </row>
    <row r="4994" spans="7:10" ht="35.450000000000003" hidden="1" customHeight="1">
      <c r="G4994" s="113"/>
      <c r="J4994" s="28">
        <f>IFERROR(VLOOKUP(TEXT(B4994,"0"),STOCK!A:H,7,0),1)</f>
        <v>1</v>
      </c>
    </row>
    <row r="4995" spans="7:10" ht="35.450000000000003" hidden="1" customHeight="1">
      <c r="G4995" s="113"/>
      <c r="J4995" s="28">
        <f>IFERROR(VLOOKUP(TEXT(B4995,"0"),STOCK!A:H,7,0),1)</f>
        <v>1</v>
      </c>
    </row>
    <row r="4996" spans="7:10" ht="35.450000000000003" hidden="1" customHeight="1">
      <c r="G4996" s="113"/>
      <c r="J4996" s="28">
        <f>IFERROR(VLOOKUP(TEXT(B4996,"0"),STOCK!A:H,7,0),1)</f>
        <v>1</v>
      </c>
    </row>
    <row r="4997" spans="7:10" ht="35.450000000000003" hidden="1" customHeight="1">
      <c r="G4997" s="113"/>
      <c r="J4997" s="28">
        <f>IFERROR(VLOOKUP(TEXT(B4997,"0"),STOCK!A:H,7,0),1)</f>
        <v>1</v>
      </c>
    </row>
    <row r="4998" spans="7:10" ht="35.450000000000003" hidden="1" customHeight="1">
      <c r="G4998" s="113"/>
      <c r="J4998" s="28">
        <f>IFERROR(VLOOKUP(TEXT(B4998,"0"),STOCK!A:H,7,0),1)</f>
        <v>1</v>
      </c>
    </row>
    <row r="4999" spans="7:10" ht="35.450000000000003" hidden="1" customHeight="1">
      <c r="G4999" s="113"/>
      <c r="J4999" s="28">
        <f>IFERROR(VLOOKUP(TEXT(B4999,"0"),STOCK!A:H,7,0),1)</f>
        <v>1</v>
      </c>
    </row>
    <row r="5000" spans="7:10" ht="35.450000000000003" hidden="1" customHeight="1">
      <c r="G5000" s="113"/>
      <c r="J5000" s="28">
        <f>IFERROR(VLOOKUP(TEXT(B5000,"0"),STOCK!A:H,7,0),1)</f>
        <v>1</v>
      </c>
    </row>
    <row r="5001" spans="7:10" ht="35.450000000000003" hidden="1" customHeight="1">
      <c r="G5001" s="113"/>
      <c r="J5001" s="28">
        <f>IFERROR(VLOOKUP(TEXT(B5001,"0"),STOCK!A:H,7,0),1)</f>
        <v>1</v>
      </c>
    </row>
    <row r="5002" spans="7:10" ht="35.450000000000003" hidden="1" customHeight="1">
      <c r="G5002" s="113"/>
      <c r="J5002" s="28">
        <f>IFERROR(VLOOKUP(TEXT(B5002,"0"),STOCK!A:H,7,0),1)</f>
        <v>1</v>
      </c>
    </row>
    <row r="5003" spans="7:10" ht="35.450000000000003" hidden="1" customHeight="1">
      <c r="G5003" s="113"/>
      <c r="J5003" s="28">
        <f>IFERROR(VLOOKUP(TEXT(B5003,"0"),STOCK!A:H,7,0),1)</f>
        <v>1</v>
      </c>
    </row>
    <row r="5004" spans="7:10" ht="35.450000000000003" hidden="1" customHeight="1">
      <c r="G5004" s="113"/>
      <c r="J5004" s="28">
        <f>IFERROR(VLOOKUP(TEXT(B5004,"0"),STOCK!A:H,7,0),1)</f>
        <v>1</v>
      </c>
    </row>
    <row r="5005" spans="7:10" ht="35.450000000000003" hidden="1" customHeight="1">
      <c r="G5005" s="113"/>
      <c r="J5005" s="28">
        <f>IFERROR(VLOOKUP(TEXT(B5005,"0"),STOCK!A:H,7,0),1)</f>
        <v>1</v>
      </c>
    </row>
    <row r="5006" spans="7:10" ht="35.450000000000003" hidden="1" customHeight="1">
      <c r="G5006" s="113"/>
      <c r="J5006" s="28">
        <f>IFERROR(VLOOKUP(TEXT(B5006,"0"),STOCK!A:H,7,0),1)</f>
        <v>1</v>
      </c>
    </row>
    <row r="5007" spans="7:10" ht="35.450000000000003" hidden="1" customHeight="1">
      <c r="G5007" s="113"/>
      <c r="J5007" s="28">
        <f>IFERROR(VLOOKUP(TEXT(B5007,"0"),STOCK!A:H,7,0),1)</f>
        <v>1</v>
      </c>
    </row>
    <row r="5008" spans="7:10" ht="35.450000000000003" hidden="1" customHeight="1">
      <c r="G5008" s="113"/>
      <c r="J5008" s="28">
        <f>IFERROR(VLOOKUP(TEXT(B5008,"0"),STOCK!A:H,7,0),1)</f>
        <v>1</v>
      </c>
    </row>
    <row r="5009" spans="7:10" ht="35.450000000000003" hidden="1" customHeight="1">
      <c r="G5009" s="113"/>
      <c r="J5009" s="28">
        <f>IFERROR(VLOOKUP(TEXT(B5009,"0"),STOCK!A:H,7,0),1)</f>
        <v>1</v>
      </c>
    </row>
    <row r="5010" spans="7:10" ht="35.450000000000003" hidden="1" customHeight="1">
      <c r="G5010" s="113"/>
      <c r="J5010" s="28">
        <f>IFERROR(VLOOKUP(TEXT(B5010,"0"),STOCK!A:H,7,0),1)</f>
        <v>1</v>
      </c>
    </row>
    <row r="5011" spans="7:10" ht="35.450000000000003" hidden="1" customHeight="1">
      <c r="G5011" s="113"/>
      <c r="J5011" s="28">
        <f>IFERROR(VLOOKUP(TEXT(B5011,"0"),STOCK!A:H,7,0),1)</f>
        <v>1</v>
      </c>
    </row>
    <row r="5012" spans="7:10" ht="35.450000000000003" hidden="1" customHeight="1">
      <c r="G5012" s="113"/>
      <c r="J5012" s="28">
        <f>IFERROR(VLOOKUP(TEXT(B5012,"0"),STOCK!A:H,7,0),1)</f>
        <v>1</v>
      </c>
    </row>
    <row r="5013" spans="7:10" ht="35.450000000000003" hidden="1" customHeight="1">
      <c r="G5013" s="113"/>
      <c r="J5013" s="28">
        <f>IFERROR(VLOOKUP(TEXT(B5013,"0"),STOCK!A:H,7,0),1)</f>
        <v>1</v>
      </c>
    </row>
    <row r="5014" spans="7:10" ht="35.450000000000003" hidden="1" customHeight="1">
      <c r="G5014" s="113"/>
      <c r="J5014" s="28">
        <f>IFERROR(VLOOKUP(TEXT(B5014,"0"),STOCK!A:H,7,0),1)</f>
        <v>1</v>
      </c>
    </row>
    <row r="5015" spans="7:10" ht="35.450000000000003" hidden="1" customHeight="1">
      <c r="G5015" s="113"/>
      <c r="J5015" s="28">
        <f>IFERROR(VLOOKUP(TEXT(B5015,"0"),STOCK!A:H,7,0),1)</f>
        <v>1</v>
      </c>
    </row>
    <row r="5016" spans="7:10" ht="35.450000000000003" hidden="1" customHeight="1">
      <c r="G5016" s="113"/>
      <c r="J5016" s="28">
        <f>IFERROR(VLOOKUP(TEXT(B5016,"0"),STOCK!A:H,7,0),1)</f>
        <v>1</v>
      </c>
    </row>
    <row r="5017" spans="7:10" ht="35.450000000000003" hidden="1" customHeight="1">
      <c r="G5017" s="113"/>
      <c r="J5017" s="28">
        <f>IFERROR(VLOOKUP(TEXT(B5017,"0"),STOCK!A:H,7,0),1)</f>
        <v>1</v>
      </c>
    </row>
    <row r="5018" spans="7:10" ht="35.450000000000003" hidden="1" customHeight="1">
      <c r="G5018" s="113"/>
      <c r="J5018" s="28">
        <f>IFERROR(VLOOKUP(TEXT(B5018,"0"),STOCK!A:H,7,0),1)</f>
        <v>1</v>
      </c>
    </row>
    <row r="5019" spans="7:10" ht="35.450000000000003" hidden="1" customHeight="1">
      <c r="G5019" s="113"/>
      <c r="J5019" s="28">
        <f>IFERROR(VLOOKUP(TEXT(B5019,"0"),STOCK!A:H,7,0),1)</f>
        <v>1</v>
      </c>
    </row>
    <row r="5020" spans="7:10" ht="35.450000000000003" hidden="1" customHeight="1">
      <c r="G5020" s="113"/>
      <c r="J5020" s="28">
        <f>IFERROR(VLOOKUP(TEXT(B5020,"0"),STOCK!A:H,7,0),1)</f>
        <v>1</v>
      </c>
    </row>
    <row r="5021" spans="7:10" ht="35.450000000000003" hidden="1" customHeight="1">
      <c r="G5021" s="113"/>
      <c r="J5021" s="28">
        <f>IFERROR(VLOOKUP(TEXT(B5021,"0"),STOCK!A:H,7,0),1)</f>
        <v>1</v>
      </c>
    </row>
    <row r="5022" spans="7:10" ht="35.450000000000003" hidden="1" customHeight="1">
      <c r="G5022" s="113"/>
      <c r="J5022" s="28">
        <f>IFERROR(VLOOKUP(TEXT(B5022,"0"),STOCK!A:H,7,0),1)</f>
        <v>1</v>
      </c>
    </row>
    <row r="5023" spans="7:10" ht="35.450000000000003" hidden="1" customHeight="1">
      <c r="G5023" s="113"/>
      <c r="J5023" s="28">
        <f>IFERROR(VLOOKUP(TEXT(B5023,"0"),STOCK!A:H,7,0),1)</f>
        <v>1</v>
      </c>
    </row>
    <row r="5024" spans="7:10" ht="35.450000000000003" hidden="1" customHeight="1">
      <c r="G5024" s="113"/>
      <c r="J5024" s="28">
        <f>IFERROR(VLOOKUP(TEXT(B5024,"0"),STOCK!A:H,7,0),1)</f>
        <v>1</v>
      </c>
    </row>
    <row r="5025" spans="7:10" ht="35.450000000000003" hidden="1" customHeight="1">
      <c r="G5025" s="113"/>
      <c r="J5025" s="28">
        <f>IFERROR(VLOOKUP(TEXT(B5025,"0"),STOCK!A:H,7,0),1)</f>
        <v>1</v>
      </c>
    </row>
    <row r="5026" spans="7:10" ht="35.450000000000003" hidden="1" customHeight="1">
      <c r="G5026" s="113"/>
      <c r="J5026" s="28">
        <f>IFERROR(VLOOKUP(TEXT(B5026,"0"),STOCK!A:H,7,0),1)</f>
        <v>1</v>
      </c>
    </row>
    <row r="5027" spans="7:10" ht="35.450000000000003" hidden="1" customHeight="1">
      <c r="G5027" s="113"/>
      <c r="J5027" s="28">
        <f>IFERROR(VLOOKUP(TEXT(B5027,"0"),STOCK!A:H,7,0),1)</f>
        <v>1</v>
      </c>
    </row>
    <row r="5028" spans="7:10" ht="35.450000000000003" hidden="1" customHeight="1">
      <c r="G5028" s="113"/>
      <c r="J5028" s="28">
        <f>IFERROR(VLOOKUP(TEXT(B5028,"0"),STOCK!A:H,7,0),1)</f>
        <v>1</v>
      </c>
    </row>
    <row r="5029" spans="7:10" ht="35.450000000000003" hidden="1" customHeight="1">
      <c r="G5029" s="113"/>
      <c r="J5029" s="28">
        <f>IFERROR(VLOOKUP(TEXT(B5029,"0"),STOCK!A:H,7,0),1)</f>
        <v>1</v>
      </c>
    </row>
    <row r="5030" spans="7:10" ht="35.450000000000003" hidden="1" customHeight="1">
      <c r="G5030" s="113"/>
      <c r="J5030" s="28">
        <f>IFERROR(VLOOKUP(TEXT(B5030,"0"),STOCK!A:H,7,0),1)</f>
        <v>1</v>
      </c>
    </row>
    <row r="5031" spans="7:10" ht="35.450000000000003" hidden="1" customHeight="1">
      <c r="G5031" s="113"/>
      <c r="J5031" s="28">
        <f>IFERROR(VLOOKUP(TEXT(B5031,"0"),STOCK!A:H,7,0),1)</f>
        <v>1</v>
      </c>
    </row>
    <row r="5032" spans="7:10" ht="35.450000000000003" hidden="1" customHeight="1">
      <c r="G5032" s="113"/>
      <c r="J5032" s="28">
        <f>IFERROR(VLOOKUP(TEXT(B5032,"0"),STOCK!A:H,7,0),1)</f>
        <v>1</v>
      </c>
    </row>
    <row r="5033" spans="7:10" ht="35.450000000000003" hidden="1" customHeight="1">
      <c r="G5033" s="113"/>
      <c r="J5033" s="28">
        <f>IFERROR(VLOOKUP(TEXT(B5033,"0"),STOCK!A:H,7,0),1)</f>
        <v>1</v>
      </c>
    </row>
    <row r="5034" spans="7:10" ht="35.450000000000003" hidden="1" customHeight="1">
      <c r="G5034" s="113"/>
      <c r="J5034" s="28">
        <f>IFERROR(VLOOKUP(TEXT(B5034,"0"),STOCK!A:H,7,0),1)</f>
        <v>1</v>
      </c>
    </row>
    <row r="5035" spans="7:10" ht="35.450000000000003" hidden="1" customHeight="1">
      <c r="G5035" s="113"/>
      <c r="J5035" s="28">
        <f>IFERROR(VLOOKUP(TEXT(B5035,"0"),STOCK!A:H,7,0),1)</f>
        <v>1</v>
      </c>
    </row>
    <row r="5036" spans="7:10" ht="35.450000000000003" hidden="1" customHeight="1">
      <c r="G5036" s="113"/>
      <c r="J5036" s="28">
        <f>IFERROR(VLOOKUP(TEXT(B5036,"0"),STOCK!A:H,7,0),1)</f>
        <v>1</v>
      </c>
    </row>
    <row r="5037" spans="7:10" ht="35.450000000000003" hidden="1" customHeight="1">
      <c r="G5037" s="113"/>
      <c r="J5037" s="28">
        <f>IFERROR(VLOOKUP(TEXT(B5037,"0"),STOCK!A:H,7,0),1)</f>
        <v>1</v>
      </c>
    </row>
    <row r="5038" spans="7:10" ht="35.450000000000003" hidden="1" customHeight="1">
      <c r="G5038" s="113"/>
      <c r="J5038" s="28">
        <f>IFERROR(VLOOKUP(TEXT(B5038,"0"),STOCK!A:H,7,0),1)</f>
        <v>1</v>
      </c>
    </row>
    <row r="5039" spans="7:10" ht="35.450000000000003" hidden="1" customHeight="1">
      <c r="G5039" s="113"/>
      <c r="J5039" s="28">
        <f>IFERROR(VLOOKUP(TEXT(B5039,"0"),STOCK!A:H,7,0),1)</f>
        <v>1</v>
      </c>
    </row>
    <row r="5040" spans="7:10" ht="35.450000000000003" hidden="1" customHeight="1">
      <c r="G5040" s="113"/>
      <c r="J5040" s="28">
        <f>IFERROR(VLOOKUP(TEXT(B5040,"0"),STOCK!A:H,7,0),1)</f>
        <v>1</v>
      </c>
    </row>
    <row r="5041" spans="7:10" ht="35.450000000000003" hidden="1" customHeight="1">
      <c r="G5041" s="113"/>
      <c r="J5041" s="28">
        <f>IFERROR(VLOOKUP(TEXT(B5041,"0"),STOCK!A:H,7,0),1)</f>
        <v>1</v>
      </c>
    </row>
    <row r="5042" spans="7:10" ht="35.450000000000003" hidden="1" customHeight="1">
      <c r="G5042" s="113"/>
      <c r="J5042" s="28">
        <f>IFERROR(VLOOKUP(TEXT(B5042,"0"),STOCK!A:H,7,0),1)</f>
        <v>1</v>
      </c>
    </row>
    <row r="5043" spans="7:10" ht="35.450000000000003" hidden="1" customHeight="1">
      <c r="G5043" s="113"/>
      <c r="J5043" s="28">
        <f>IFERROR(VLOOKUP(TEXT(B5043,"0"),STOCK!A:H,7,0),1)</f>
        <v>1</v>
      </c>
    </row>
    <row r="5044" spans="7:10" ht="35.450000000000003" hidden="1" customHeight="1">
      <c r="G5044" s="113"/>
      <c r="J5044" s="28">
        <f>IFERROR(VLOOKUP(TEXT(B5044,"0"),STOCK!A:H,7,0),1)</f>
        <v>1</v>
      </c>
    </row>
    <row r="5045" spans="7:10" ht="35.450000000000003" hidden="1" customHeight="1">
      <c r="G5045" s="113"/>
      <c r="J5045" s="28">
        <f>IFERROR(VLOOKUP(TEXT(B5045,"0"),STOCK!A:H,7,0),1)</f>
        <v>1</v>
      </c>
    </row>
    <row r="5046" spans="7:10" ht="35.450000000000003" hidden="1" customHeight="1">
      <c r="G5046" s="113"/>
      <c r="J5046" s="28">
        <f>IFERROR(VLOOKUP(TEXT(B5046,"0"),STOCK!A:H,7,0),1)</f>
        <v>1</v>
      </c>
    </row>
    <row r="5047" spans="7:10" ht="35.450000000000003" hidden="1" customHeight="1">
      <c r="G5047" s="113"/>
      <c r="J5047" s="28">
        <f>IFERROR(VLOOKUP(TEXT(B5047,"0"),STOCK!A:H,7,0),1)</f>
        <v>1</v>
      </c>
    </row>
    <row r="5048" spans="7:10" ht="35.450000000000003" hidden="1" customHeight="1">
      <c r="G5048" s="113"/>
      <c r="J5048" s="28">
        <f>IFERROR(VLOOKUP(TEXT(B5048,"0"),STOCK!A:H,7,0),1)</f>
        <v>1</v>
      </c>
    </row>
    <row r="5049" spans="7:10" ht="35.450000000000003" hidden="1" customHeight="1">
      <c r="G5049" s="113"/>
      <c r="J5049" s="28">
        <f>IFERROR(VLOOKUP(TEXT(B5049,"0"),STOCK!A:H,7,0),1)</f>
        <v>1</v>
      </c>
    </row>
    <row r="5050" spans="7:10" ht="35.450000000000003" hidden="1" customHeight="1">
      <c r="G5050" s="113"/>
      <c r="J5050" s="28">
        <f>IFERROR(VLOOKUP(TEXT(B5050,"0"),STOCK!A:H,7,0),1)</f>
        <v>1</v>
      </c>
    </row>
    <row r="5051" spans="7:10" ht="35.450000000000003" hidden="1" customHeight="1">
      <c r="G5051" s="113"/>
      <c r="J5051" s="28">
        <f>IFERROR(VLOOKUP(TEXT(B5051,"0"),STOCK!A:H,7,0),1)</f>
        <v>1</v>
      </c>
    </row>
    <row r="5052" spans="7:10" ht="35.450000000000003" hidden="1" customHeight="1">
      <c r="G5052" s="113"/>
      <c r="J5052" s="28">
        <f>IFERROR(VLOOKUP(TEXT(B5052,"0"),STOCK!A:H,7,0),1)</f>
        <v>1</v>
      </c>
    </row>
    <row r="5053" spans="7:10" ht="35.450000000000003" hidden="1" customHeight="1">
      <c r="G5053" s="113"/>
      <c r="J5053" s="28">
        <f>IFERROR(VLOOKUP(TEXT(B5053,"0"),STOCK!A:H,7,0),1)</f>
        <v>1</v>
      </c>
    </row>
    <row r="5054" spans="7:10" ht="35.450000000000003" hidden="1" customHeight="1">
      <c r="G5054" s="113"/>
      <c r="J5054" s="28">
        <f>IFERROR(VLOOKUP(TEXT(B5054,"0"),STOCK!A:H,7,0),1)</f>
        <v>1</v>
      </c>
    </row>
    <row r="5055" spans="7:10" ht="35.450000000000003" hidden="1" customHeight="1">
      <c r="G5055" s="113"/>
      <c r="J5055" s="28">
        <f>IFERROR(VLOOKUP(TEXT(B5055,"0"),STOCK!A:H,7,0),1)</f>
        <v>1</v>
      </c>
    </row>
    <row r="5056" spans="7:10" ht="35.450000000000003" hidden="1" customHeight="1">
      <c r="G5056" s="113"/>
      <c r="J5056" s="28">
        <f>IFERROR(VLOOKUP(TEXT(B5056,"0"),STOCK!A:H,7,0),1)</f>
        <v>1</v>
      </c>
    </row>
    <row r="5057" spans="7:10" ht="35.450000000000003" hidden="1" customHeight="1">
      <c r="G5057" s="113"/>
      <c r="J5057" s="28">
        <f>IFERROR(VLOOKUP(TEXT(B5057,"0"),STOCK!A:H,7,0),1)</f>
        <v>1</v>
      </c>
    </row>
    <row r="5058" spans="7:10" ht="35.450000000000003" hidden="1" customHeight="1">
      <c r="G5058" s="113"/>
      <c r="J5058" s="28">
        <f>IFERROR(VLOOKUP(TEXT(B5058,"0"),STOCK!A:H,7,0),1)</f>
        <v>1</v>
      </c>
    </row>
    <row r="5059" spans="7:10" ht="35.450000000000003" hidden="1" customHeight="1">
      <c r="G5059" s="113"/>
      <c r="J5059" s="28">
        <f>IFERROR(VLOOKUP(TEXT(B5059,"0"),STOCK!A:H,7,0),1)</f>
        <v>1</v>
      </c>
    </row>
    <row r="5060" spans="7:10" ht="35.450000000000003" hidden="1" customHeight="1">
      <c r="G5060" s="113"/>
      <c r="J5060" s="28">
        <f>IFERROR(VLOOKUP(TEXT(B5060,"0"),STOCK!A:H,7,0),1)</f>
        <v>1</v>
      </c>
    </row>
    <row r="5061" spans="7:10" ht="35.450000000000003" hidden="1" customHeight="1">
      <c r="G5061" s="113"/>
      <c r="J5061" s="28">
        <f>IFERROR(VLOOKUP(TEXT(B5061,"0"),STOCK!A:H,7,0),1)</f>
        <v>1</v>
      </c>
    </row>
    <row r="5062" spans="7:10" ht="35.450000000000003" hidden="1" customHeight="1">
      <c r="G5062" s="113"/>
      <c r="J5062" s="28">
        <f>IFERROR(VLOOKUP(TEXT(B5062,"0"),STOCK!A:H,7,0),1)</f>
        <v>1</v>
      </c>
    </row>
    <row r="5063" spans="7:10" ht="35.450000000000003" hidden="1" customHeight="1">
      <c r="G5063" s="113"/>
      <c r="J5063" s="28">
        <f>IFERROR(VLOOKUP(TEXT(B5063,"0"),STOCK!A:H,7,0),1)</f>
        <v>1</v>
      </c>
    </row>
    <row r="5064" spans="7:10" ht="35.450000000000003" hidden="1" customHeight="1">
      <c r="G5064" s="113"/>
      <c r="J5064" s="28">
        <f>IFERROR(VLOOKUP(TEXT(B5064,"0"),STOCK!A:H,7,0),1)</f>
        <v>1</v>
      </c>
    </row>
    <row r="5065" spans="7:10" ht="35.450000000000003" hidden="1" customHeight="1">
      <c r="G5065" s="113"/>
      <c r="J5065" s="28">
        <f>IFERROR(VLOOKUP(TEXT(B5065,"0"),STOCK!A:H,7,0),1)</f>
        <v>1</v>
      </c>
    </row>
    <row r="5066" spans="7:10" ht="35.450000000000003" hidden="1" customHeight="1">
      <c r="G5066" s="113"/>
      <c r="J5066" s="28">
        <f>IFERROR(VLOOKUP(TEXT(B5066,"0"),STOCK!A:H,7,0),1)</f>
        <v>1</v>
      </c>
    </row>
    <row r="5067" spans="7:10" ht="35.450000000000003" hidden="1" customHeight="1">
      <c r="G5067" s="113"/>
      <c r="J5067" s="28">
        <f>IFERROR(VLOOKUP(TEXT(B5067,"0"),STOCK!A:H,7,0),1)</f>
        <v>1</v>
      </c>
    </row>
    <row r="5068" spans="7:10" ht="35.450000000000003" hidden="1" customHeight="1">
      <c r="G5068" s="113"/>
      <c r="J5068" s="28">
        <f>IFERROR(VLOOKUP(TEXT(B5068,"0"),STOCK!A:H,7,0),1)</f>
        <v>1</v>
      </c>
    </row>
    <row r="5069" spans="7:10" ht="35.450000000000003" hidden="1" customHeight="1">
      <c r="G5069" s="113"/>
      <c r="J5069" s="28">
        <f>IFERROR(VLOOKUP(TEXT(B5069,"0"),STOCK!A:H,7,0),1)</f>
        <v>1</v>
      </c>
    </row>
    <row r="5070" spans="7:10" ht="35.450000000000003" hidden="1" customHeight="1">
      <c r="G5070" s="113"/>
      <c r="J5070" s="28">
        <f>IFERROR(VLOOKUP(TEXT(B5070,"0"),STOCK!A:H,7,0),1)</f>
        <v>1</v>
      </c>
    </row>
    <row r="5071" spans="7:10" ht="35.450000000000003" hidden="1" customHeight="1">
      <c r="G5071" s="113"/>
      <c r="J5071" s="28">
        <f>IFERROR(VLOOKUP(TEXT(B5071,"0"),STOCK!A:H,7,0),1)</f>
        <v>1</v>
      </c>
    </row>
    <row r="5072" spans="7:10" ht="35.450000000000003" hidden="1" customHeight="1">
      <c r="G5072" s="113"/>
      <c r="J5072" s="28">
        <f>IFERROR(VLOOKUP(TEXT(B5072,"0"),STOCK!A:H,7,0),1)</f>
        <v>1</v>
      </c>
    </row>
    <row r="5073" spans="7:10" ht="35.450000000000003" hidden="1" customHeight="1">
      <c r="G5073" s="113"/>
      <c r="J5073" s="28">
        <f>IFERROR(VLOOKUP(TEXT(B5073,"0"),STOCK!A:H,7,0),1)</f>
        <v>1</v>
      </c>
    </row>
    <row r="5074" spans="7:10" ht="35.450000000000003" hidden="1" customHeight="1">
      <c r="G5074" s="113"/>
      <c r="J5074" s="28">
        <f>IFERROR(VLOOKUP(TEXT(B5074,"0"),STOCK!A:H,7,0),1)</f>
        <v>1</v>
      </c>
    </row>
    <row r="5075" spans="7:10" ht="35.450000000000003" hidden="1" customHeight="1">
      <c r="G5075" s="113"/>
      <c r="J5075" s="28">
        <f>IFERROR(VLOOKUP(TEXT(B5075,"0"),STOCK!A:H,7,0),1)</f>
        <v>1</v>
      </c>
    </row>
    <row r="5076" spans="7:10" ht="35.450000000000003" hidden="1" customHeight="1">
      <c r="G5076" s="113"/>
      <c r="J5076" s="28">
        <f>IFERROR(VLOOKUP(TEXT(B5076,"0"),STOCK!A:H,7,0),1)</f>
        <v>1</v>
      </c>
    </row>
    <row r="5077" spans="7:10" ht="35.450000000000003" hidden="1" customHeight="1">
      <c r="G5077" s="113"/>
      <c r="J5077" s="28">
        <f>IFERROR(VLOOKUP(TEXT(B5077,"0"),STOCK!A:H,7,0),1)</f>
        <v>1</v>
      </c>
    </row>
    <row r="5078" spans="7:10" ht="35.450000000000003" hidden="1" customHeight="1">
      <c r="G5078" s="113"/>
      <c r="J5078" s="28">
        <f>IFERROR(VLOOKUP(TEXT(B5078,"0"),STOCK!A:H,7,0),1)</f>
        <v>1</v>
      </c>
    </row>
    <row r="5079" spans="7:10" ht="35.450000000000003" hidden="1" customHeight="1">
      <c r="G5079" s="113"/>
      <c r="J5079" s="28">
        <f>IFERROR(VLOOKUP(TEXT(B5079,"0"),STOCK!A:H,7,0),1)</f>
        <v>1</v>
      </c>
    </row>
    <row r="5080" spans="7:10" ht="35.450000000000003" hidden="1" customHeight="1">
      <c r="G5080" s="113"/>
      <c r="J5080" s="28">
        <f>IFERROR(VLOOKUP(TEXT(B5080,"0"),STOCK!A:H,7,0),1)</f>
        <v>1</v>
      </c>
    </row>
    <row r="5081" spans="7:10" ht="35.450000000000003" hidden="1" customHeight="1">
      <c r="G5081" s="113"/>
      <c r="J5081" s="28">
        <f>IFERROR(VLOOKUP(TEXT(B5081,"0"),STOCK!A:H,7,0),1)</f>
        <v>1</v>
      </c>
    </row>
    <row r="5082" spans="7:10" ht="35.450000000000003" hidden="1" customHeight="1">
      <c r="G5082" s="113"/>
      <c r="J5082" s="28">
        <f>IFERROR(VLOOKUP(TEXT(B5082,"0"),STOCK!A:H,7,0),1)</f>
        <v>1</v>
      </c>
    </row>
    <row r="5083" spans="7:10" ht="35.450000000000003" hidden="1" customHeight="1">
      <c r="G5083" s="113"/>
      <c r="J5083" s="28">
        <f>IFERROR(VLOOKUP(TEXT(B5083,"0"),STOCK!A:H,7,0),1)</f>
        <v>1</v>
      </c>
    </row>
    <row r="5084" spans="7:10" ht="35.450000000000003" hidden="1" customHeight="1">
      <c r="G5084" s="113"/>
      <c r="J5084" s="28">
        <f>IFERROR(VLOOKUP(TEXT(B5084,"0"),STOCK!A:H,7,0),1)</f>
        <v>1</v>
      </c>
    </row>
    <row r="5085" spans="7:10" ht="35.450000000000003" hidden="1" customHeight="1">
      <c r="G5085" s="113"/>
      <c r="J5085" s="28">
        <f>IFERROR(VLOOKUP(TEXT(B5085,"0"),STOCK!A:H,7,0),1)</f>
        <v>1</v>
      </c>
    </row>
    <row r="5086" spans="7:10" ht="35.450000000000003" hidden="1" customHeight="1">
      <c r="G5086" s="113"/>
      <c r="J5086" s="28">
        <f>IFERROR(VLOOKUP(TEXT(B5086,"0"),STOCK!A:H,7,0),1)</f>
        <v>1</v>
      </c>
    </row>
    <row r="5087" spans="7:10" ht="35.450000000000003" hidden="1" customHeight="1">
      <c r="G5087" s="113"/>
      <c r="J5087" s="28">
        <f>IFERROR(VLOOKUP(TEXT(B5087,"0"),STOCK!A:H,7,0),1)</f>
        <v>1</v>
      </c>
    </row>
    <row r="5088" spans="7:10" ht="35.450000000000003" hidden="1" customHeight="1">
      <c r="G5088" s="113"/>
      <c r="J5088" s="28">
        <f>IFERROR(VLOOKUP(TEXT(B5088,"0"),STOCK!A:H,7,0),1)</f>
        <v>1</v>
      </c>
    </row>
    <row r="5089" spans="7:10" ht="35.450000000000003" hidden="1" customHeight="1">
      <c r="G5089" s="113"/>
      <c r="J5089" s="28">
        <f>IFERROR(VLOOKUP(TEXT(B5089,"0"),STOCK!A:H,7,0),1)</f>
        <v>1</v>
      </c>
    </row>
    <row r="5090" spans="7:10" ht="35.450000000000003" hidden="1" customHeight="1">
      <c r="G5090" s="113"/>
      <c r="J5090" s="28">
        <f>IFERROR(VLOOKUP(TEXT(B5090,"0"),STOCK!A:H,7,0),1)</f>
        <v>1</v>
      </c>
    </row>
    <row r="5091" spans="7:10" ht="35.450000000000003" hidden="1" customHeight="1">
      <c r="G5091" s="113"/>
      <c r="J5091" s="28">
        <f>IFERROR(VLOOKUP(TEXT(B5091,"0"),STOCK!A:H,7,0),1)</f>
        <v>1</v>
      </c>
    </row>
    <row r="5092" spans="7:10" ht="35.450000000000003" hidden="1" customHeight="1">
      <c r="G5092" s="113"/>
      <c r="J5092" s="28">
        <f>IFERROR(VLOOKUP(TEXT(B5092,"0"),STOCK!A:H,7,0),1)</f>
        <v>1</v>
      </c>
    </row>
    <row r="5093" spans="7:10" ht="35.450000000000003" hidden="1" customHeight="1">
      <c r="G5093" s="113"/>
      <c r="J5093" s="28">
        <f>IFERROR(VLOOKUP(TEXT(B5093,"0"),STOCK!A:H,7,0),1)</f>
        <v>1</v>
      </c>
    </row>
    <row r="5094" spans="7:10" ht="35.450000000000003" hidden="1" customHeight="1">
      <c r="G5094" s="113"/>
      <c r="J5094" s="28">
        <f>IFERROR(VLOOKUP(TEXT(B5094,"0"),STOCK!A:H,7,0),1)</f>
        <v>1</v>
      </c>
    </row>
    <row r="5095" spans="7:10" ht="35.450000000000003" hidden="1" customHeight="1">
      <c r="G5095" s="113"/>
      <c r="J5095" s="28">
        <f>IFERROR(VLOOKUP(TEXT(B5095,"0"),STOCK!A:H,7,0),1)</f>
        <v>1</v>
      </c>
    </row>
    <row r="5096" spans="7:10" ht="35.450000000000003" hidden="1" customHeight="1">
      <c r="G5096" s="113"/>
      <c r="J5096" s="28">
        <f>IFERROR(VLOOKUP(TEXT(B5096,"0"),STOCK!A:H,7,0),1)</f>
        <v>1</v>
      </c>
    </row>
    <row r="5097" spans="7:10" ht="35.450000000000003" hidden="1" customHeight="1">
      <c r="G5097" s="113"/>
      <c r="J5097" s="28">
        <f>IFERROR(VLOOKUP(TEXT(B5097,"0"),STOCK!A:H,7,0),1)</f>
        <v>1</v>
      </c>
    </row>
    <row r="5098" spans="7:10" ht="35.450000000000003" hidden="1" customHeight="1">
      <c r="G5098" s="113"/>
      <c r="J5098" s="28">
        <f>IFERROR(VLOOKUP(TEXT(B5098,"0"),STOCK!A:H,7,0),1)</f>
        <v>1</v>
      </c>
    </row>
    <row r="5099" spans="7:10" ht="35.450000000000003" hidden="1" customHeight="1">
      <c r="G5099" s="113"/>
      <c r="J5099" s="28">
        <f>IFERROR(VLOOKUP(TEXT(B5099,"0"),STOCK!A:H,7,0),1)</f>
        <v>1</v>
      </c>
    </row>
    <row r="5100" spans="7:10" ht="35.450000000000003" hidden="1" customHeight="1">
      <c r="G5100" s="113"/>
      <c r="J5100" s="28">
        <f>IFERROR(VLOOKUP(TEXT(B5100,"0"),STOCK!A:H,7,0),1)</f>
        <v>1</v>
      </c>
    </row>
    <row r="5101" spans="7:10" ht="35.450000000000003" hidden="1" customHeight="1">
      <c r="G5101" s="113"/>
      <c r="J5101" s="28">
        <f>IFERROR(VLOOKUP(TEXT(B5101,"0"),STOCK!A:H,7,0),1)</f>
        <v>1</v>
      </c>
    </row>
    <row r="5102" spans="7:10" ht="35.450000000000003" hidden="1" customHeight="1">
      <c r="G5102" s="113"/>
      <c r="J5102" s="28">
        <f>IFERROR(VLOOKUP(TEXT(B5102,"0"),STOCK!A:H,7,0),1)</f>
        <v>1</v>
      </c>
    </row>
    <row r="5103" spans="7:10" ht="35.450000000000003" hidden="1" customHeight="1">
      <c r="G5103" s="113"/>
      <c r="J5103" s="28">
        <f>IFERROR(VLOOKUP(TEXT(B5103,"0"),STOCK!A:H,7,0),1)</f>
        <v>1</v>
      </c>
    </row>
    <row r="5104" spans="7:10" ht="35.450000000000003" hidden="1" customHeight="1">
      <c r="G5104" s="113"/>
      <c r="J5104" s="28">
        <f>IFERROR(VLOOKUP(TEXT(B5104,"0"),STOCK!A:H,7,0),1)</f>
        <v>1</v>
      </c>
    </row>
    <row r="5105" spans="7:10" ht="35.450000000000003" hidden="1" customHeight="1">
      <c r="G5105" s="113"/>
      <c r="J5105" s="28">
        <f>IFERROR(VLOOKUP(TEXT(B5105,"0"),STOCK!A:H,7,0),1)</f>
        <v>1</v>
      </c>
    </row>
    <row r="5106" spans="7:10" ht="35.450000000000003" hidden="1" customHeight="1">
      <c r="G5106" s="113"/>
      <c r="J5106" s="28">
        <f>IFERROR(VLOOKUP(TEXT(B5106,"0"),STOCK!A:H,7,0),1)</f>
        <v>1</v>
      </c>
    </row>
    <row r="5107" spans="7:10" ht="35.450000000000003" hidden="1" customHeight="1">
      <c r="G5107" s="113"/>
      <c r="J5107" s="28">
        <f>IFERROR(VLOOKUP(TEXT(B5107,"0"),STOCK!A:H,7,0),1)</f>
        <v>1</v>
      </c>
    </row>
    <row r="5108" spans="7:10" ht="35.450000000000003" hidden="1" customHeight="1">
      <c r="G5108" s="113"/>
      <c r="J5108" s="28">
        <f>IFERROR(VLOOKUP(TEXT(B5108,"0"),STOCK!A:H,7,0),1)</f>
        <v>1</v>
      </c>
    </row>
    <row r="5109" spans="7:10" ht="35.450000000000003" hidden="1" customHeight="1">
      <c r="G5109" s="113"/>
      <c r="J5109" s="28">
        <f>IFERROR(VLOOKUP(TEXT(B5109,"0"),STOCK!A:H,7,0),1)</f>
        <v>1</v>
      </c>
    </row>
    <row r="5110" spans="7:10" ht="35.450000000000003" hidden="1" customHeight="1">
      <c r="G5110" s="113"/>
      <c r="J5110" s="28">
        <f>IFERROR(VLOOKUP(TEXT(B5110,"0"),STOCK!A:H,7,0),1)</f>
        <v>1</v>
      </c>
    </row>
    <row r="5111" spans="7:10" ht="35.450000000000003" hidden="1" customHeight="1">
      <c r="G5111" s="113"/>
      <c r="J5111" s="28">
        <f>IFERROR(VLOOKUP(TEXT(B5111,"0"),STOCK!A:H,7,0),1)</f>
        <v>1</v>
      </c>
    </row>
    <row r="5112" spans="7:10" ht="35.450000000000003" hidden="1" customHeight="1">
      <c r="G5112" s="113"/>
      <c r="J5112" s="28">
        <f>IFERROR(VLOOKUP(TEXT(B5112,"0"),STOCK!A:H,7,0),1)</f>
        <v>1</v>
      </c>
    </row>
    <row r="5113" spans="7:10" ht="35.450000000000003" hidden="1" customHeight="1">
      <c r="G5113" s="113"/>
      <c r="J5113" s="28">
        <f>IFERROR(VLOOKUP(TEXT(B5113,"0"),STOCK!A:H,7,0),1)</f>
        <v>1</v>
      </c>
    </row>
    <row r="5114" spans="7:10" ht="35.450000000000003" hidden="1" customHeight="1">
      <c r="G5114" s="113"/>
      <c r="J5114" s="28">
        <f>IFERROR(VLOOKUP(TEXT(B5114,"0"),STOCK!A:H,7,0),1)</f>
        <v>1</v>
      </c>
    </row>
    <row r="5115" spans="7:10" ht="35.450000000000003" hidden="1" customHeight="1">
      <c r="G5115" s="113"/>
      <c r="J5115" s="28">
        <f>IFERROR(VLOOKUP(TEXT(B5115,"0"),STOCK!A:H,7,0),1)</f>
        <v>1</v>
      </c>
    </row>
    <row r="5116" spans="7:10" ht="35.450000000000003" hidden="1" customHeight="1">
      <c r="G5116" s="113"/>
      <c r="J5116" s="28">
        <f>IFERROR(VLOOKUP(TEXT(B5116,"0"),STOCK!A:H,7,0),1)</f>
        <v>1</v>
      </c>
    </row>
    <row r="5117" spans="7:10" ht="35.450000000000003" hidden="1" customHeight="1">
      <c r="G5117" s="113"/>
      <c r="J5117" s="28">
        <f>IFERROR(VLOOKUP(TEXT(B5117,"0"),STOCK!A:H,7,0),1)</f>
        <v>1</v>
      </c>
    </row>
    <row r="5118" spans="7:10" ht="35.450000000000003" hidden="1" customHeight="1">
      <c r="G5118" s="113"/>
      <c r="J5118" s="28">
        <f>IFERROR(VLOOKUP(TEXT(B5118,"0"),STOCK!A:H,7,0),1)</f>
        <v>1</v>
      </c>
    </row>
    <row r="5119" spans="7:10" ht="35.450000000000003" hidden="1" customHeight="1">
      <c r="G5119" s="113"/>
      <c r="J5119" s="28">
        <f>IFERROR(VLOOKUP(TEXT(B5119,"0"),STOCK!A:H,7,0),1)</f>
        <v>1</v>
      </c>
    </row>
    <row r="5120" spans="7:10" ht="35.450000000000003" hidden="1" customHeight="1">
      <c r="G5120" s="113"/>
      <c r="J5120" s="28">
        <f>IFERROR(VLOOKUP(TEXT(B5120,"0"),STOCK!A:H,7,0),1)</f>
        <v>1</v>
      </c>
    </row>
    <row r="5121" spans="7:10" ht="35.450000000000003" hidden="1" customHeight="1">
      <c r="G5121" s="113"/>
      <c r="J5121" s="28">
        <f>IFERROR(VLOOKUP(TEXT(B5121,"0"),STOCK!A:H,7,0),1)</f>
        <v>1</v>
      </c>
    </row>
    <row r="5122" spans="7:10" ht="35.450000000000003" hidden="1" customHeight="1">
      <c r="G5122" s="113"/>
      <c r="J5122" s="28">
        <f>IFERROR(VLOOKUP(TEXT(B5122,"0"),STOCK!A:H,7,0),1)</f>
        <v>1</v>
      </c>
    </row>
    <row r="5123" spans="7:10" ht="35.450000000000003" hidden="1" customHeight="1">
      <c r="G5123" s="113"/>
      <c r="J5123" s="28">
        <f>IFERROR(VLOOKUP(TEXT(B5123,"0"),STOCK!A:H,7,0),1)</f>
        <v>1</v>
      </c>
    </row>
    <row r="5124" spans="7:10" ht="35.450000000000003" hidden="1" customHeight="1">
      <c r="G5124" s="113"/>
      <c r="J5124" s="28">
        <f>IFERROR(VLOOKUP(TEXT(B5124,"0"),STOCK!A:H,7,0),1)</f>
        <v>1</v>
      </c>
    </row>
    <row r="5125" spans="7:10" ht="35.450000000000003" hidden="1" customHeight="1">
      <c r="G5125" s="113"/>
      <c r="J5125" s="28">
        <f>IFERROR(VLOOKUP(TEXT(B5125,"0"),STOCK!A:H,7,0),1)</f>
        <v>1</v>
      </c>
    </row>
    <row r="5126" spans="7:10" ht="35.450000000000003" hidden="1" customHeight="1">
      <c r="G5126" s="113"/>
      <c r="J5126" s="28">
        <f>IFERROR(VLOOKUP(TEXT(B5126,"0"),STOCK!A:H,7,0),1)</f>
        <v>1</v>
      </c>
    </row>
    <row r="5127" spans="7:10" ht="35.450000000000003" hidden="1" customHeight="1">
      <c r="G5127" s="113"/>
      <c r="J5127" s="28">
        <f>IFERROR(VLOOKUP(TEXT(B5127,"0"),STOCK!A:H,7,0),1)</f>
        <v>1</v>
      </c>
    </row>
    <row r="5128" spans="7:10" ht="35.450000000000003" hidden="1" customHeight="1">
      <c r="G5128" s="113"/>
      <c r="J5128" s="28">
        <f>IFERROR(VLOOKUP(TEXT(B5128,"0"),STOCK!A:H,7,0),1)</f>
        <v>1</v>
      </c>
    </row>
    <row r="5129" spans="7:10" ht="35.450000000000003" hidden="1" customHeight="1">
      <c r="G5129" s="113"/>
      <c r="J5129" s="28">
        <f>IFERROR(VLOOKUP(TEXT(B5129,"0"),STOCK!A:H,7,0),1)</f>
        <v>1</v>
      </c>
    </row>
    <row r="5130" spans="7:10" ht="35.450000000000003" hidden="1" customHeight="1">
      <c r="G5130" s="113"/>
      <c r="J5130" s="28">
        <f>IFERROR(VLOOKUP(TEXT(B5130,"0"),STOCK!A:H,7,0),1)</f>
        <v>1</v>
      </c>
    </row>
    <row r="5131" spans="7:10" ht="35.450000000000003" hidden="1" customHeight="1">
      <c r="G5131" s="113"/>
      <c r="J5131" s="28">
        <f>IFERROR(VLOOKUP(TEXT(B5131,"0"),STOCK!A:H,7,0),1)</f>
        <v>1</v>
      </c>
    </row>
    <row r="5132" spans="7:10" ht="35.450000000000003" hidden="1" customHeight="1">
      <c r="G5132" s="113"/>
      <c r="J5132" s="28">
        <f>IFERROR(VLOOKUP(TEXT(B5132,"0"),STOCK!A:H,7,0),1)</f>
        <v>1</v>
      </c>
    </row>
    <row r="5133" spans="7:10" ht="35.450000000000003" hidden="1" customHeight="1">
      <c r="G5133" s="113"/>
      <c r="J5133" s="28">
        <f>IFERROR(VLOOKUP(TEXT(B5133,"0"),STOCK!A:H,7,0),1)</f>
        <v>1</v>
      </c>
    </row>
    <row r="5134" spans="7:10" ht="35.450000000000003" hidden="1" customHeight="1">
      <c r="G5134" s="113"/>
      <c r="J5134" s="28">
        <f>IFERROR(VLOOKUP(TEXT(B5134,"0"),STOCK!A:H,7,0),1)</f>
        <v>1</v>
      </c>
    </row>
    <row r="5135" spans="7:10" ht="35.450000000000003" hidden="1" customHeight="1">
      <c r="G5135" s="113"/>
      <c r="J5135" s="28">
        <f>IFERROR(VLOOKUP(TEXT(B5135,"0"),STOCK!A:H,7,0),1)</f>
        <v>1</v>
      </c>
    </row>
    <row r="5136" spans="7:10" ht="35.450000000000003" hidden="1" customHeight="1">
      <c r="G5136" s="113"/>
      <c r="J5136" s="28">
        <f>IFERROR(VLOOKUP(TEXT(B5136,"0"),STOCK!A:H,7,0),1)</f>
        <v>1</v>
      </c>
    </row>
    <row r="5137" spans="7:10" ht="35.450000000000003" hidden="1" customHeight="1">
      <c r="G5137" s="113"/>
      <c r="J5137" s="28">
        <f>IFERROR(VLOOKUP(TEXT(B5137,"0"),STOCK!A:H,7,0),1)</f>
        <v>1</v>
      </c>
    </row>
    <row r="5138" spans="7:10" ht="35.450000000000003" hidden="1" customHeight="1">
      <c r="G5138" s="113"/>
      <c r="J5138" s="28">
        <f>IFERROR(VLOOKUP(TEXT(B5138,"0"),STOCK!A:H,7,0),1)</f>
        <v>1</v>
      </c>
    </row>
    <row r="5139" spans="7:10" ht="35.450000000000003" hidden="1" customHeight="1">
      <c r="G5139" s="113"/>
      <c r="J5139" s="28">
        <f>IFERROR(VLOOKUP(TEXT(B5139,"0"),STOCK!A:H,7,0),1)</f>
        <v>1</v>
      </c>
    </row>
    <row r="5140" spans="7:10" ht="35.450000000000003" hidden="1" customHeight="1">
      <c r="G5140" s="113"/>
      <c r="J5140" s="28">
        <f>IFERROR(VLOOKUP(TEXT(B5140,"0"),STOCK!A:H,7,0),1)</f>
        <v>1</v>
      </c>
    </row>
    <row r="5141" spans="7:10" ht="35.450000000000003" hidden="1" customHeight="1">
      <c r="G5141" s="113"/>
      <c r="J5141" s="28">
        <f>IFERROR(VLOOKUP(TEXT(B5141,"0"),STOCK!A:H,7,0),1)</f>
        <v>1</v>
      </c>
    </row>
    <row r="5142" spans="7:10" ht="35.450000000000003" hidden="1" customHeight="1">
      <c r="G5142" s="113"/>
      <c r="J5142" s="28">
        <f>IFERROR(VLOOKUP(TEXT(B5142,"0"),STOCK!A:H,7,0),1)</f>
        <v>1</v>
      </c>
    </row>
    <row r="5143" spans="7:10" ht="35.450000000000003" hidden="1" customHeight="1">
      <c r="G5143" s="113"/>
      <c r="J5143" s="28">
        <f>IFERROR(VLOOKUP(TEXT(B5143,"0"),STOCK!A:H,7,0),1)</f>
        <v>1</v>
      </c>
    </row>
    <row r="5144" spans="7:10" ht="35.450000000000003" hidden="1" customHeight="1">
      <c r="G5144" s="113"/>
      <c r="J5144" s="28">
        <f>IFERROR(VLOOKUP(TEXT(B5144,"0"),STOCK!A:H,7,0),1)</f>
        <v>1</v>
      </c>
    </row>
    <row r="5145" spans="7:10" ht="35.450000000000003" hidden="1" customHeight="1">
      <c r="G5145" s="113"/>
      <c r="J5145" s="28">
        <f>IFERROR(VLOOKUP(TEXT(B5145,"0"),STOCK!A:H,7,0),1)</f>
        <v>1</v>
      </c>
    </row>
    <row r="5146" spans="7:10" ht="35.450000000000003" hidden="1" customHeight="1">
      <c r="G5146" s="113"/>
      <c r="J5146" s="28">
        <f>IFERROR(VLOOKUP(TEXT(B5146,"0"),STOCK!A:H,7,0),1)</f>
        <v>1</v>
      </c>
    </row>
    <row r="5147" spans="7:10" ht="35.450000000000003" hidden="1" customHeight="1">
      <c r="G5147" s="113"/>
      <c r="J5147" s="28">
        <f>IFERROR(VLOOKUP(TEXT(B5147,"0"),STOCK!A:H,7,0),1)</f>
        <v>1</v>
      </c>
    </row>
    <row r="5148" spans="7:10" ht="35.450000000000003" hidden="1" customHeight="1">
      <c r="G5148" s="113"/>
      <c r="J5148" s="28">
        <f>IFERROR(VLOOKUP(TEXT(B5148,"0"),STOCK!A:H,7,0),1)</f>
        <v>1</v>
      </c>
    </row>
    <row r="5149" spans="7:10" ht="35.450000000000003" hidden="1" customHeight="1">
      <c r="G5149" s="113"/>
      <c r="J5149" s="28">
        <f>IFERROR(VLOOKUP(TEXT(B5149,"0"),STOCK!A:H,7,0),1)</f>
        <v>1</v>
      </c>
    </row>
    <row r="5150" spans="7:10" ht="35.450000000000003" hidden="1" customHeight="1">
      <c r="G5150" s="113"/>
      <c r="J5150" s="28">
        <f>IFERROR(VLOOKUP(TEXT(B5150,"0"),STOCK!A:H,7,0),1)</f>
        <v>1</v>
      </c>
    </row>
    <row r="5151" spans="7:10" ht="35.450000000000003" hidden="1" customHeight="1">
      <c r="G5151" s="113"/>
      <c r="J5151" s="28">
        <f>IFERROR(VLOOKUP(TEXT(B5151,"0"),STOCK!A:H,7,0),1)</f>
        <v>1</v>
      </c>
    </row>
    <row r="5152" spans="7:10" ht="35.450000000000003" hidden="1" customHeight="1">
      <c r="G5152" s="113"/>
      <c r="J5152" s="28">
        <f>IFERROR(VLOOKUP(TEXT(B5152,"0"),STOCK!A:H,7,0),1)</f>
        <v>1</v>
      </c>
    </row>
    <row r="5153" spans="7:10" ht="35.450000000000003" hidden="1" customHeight="1">
      <c r="G5153" s="113"/>
      <c r="J5153" s="28">
        <f>IFERROR(VLOOKUP(TEXT(B5153,"0"),STOCK!A:H,7,0),1)</f>
        <v>1</v>
      </c>
    </row>
    <row r="5154" spans="7:10" ht="35.450000000000003" hidden="1" customHeight="1">
      <c r="G5154" s="113"/>
      <c r="J5154" s="28">
        <f>IFERROR(VLOOKUP(TEXT(B5154,"0"),STOCK!A:H,7,0),1)</f>
        <v>1</v>
      </c>
    </row>
    <row r="5155" spans="7:10" ht="35.450000000000003" hidden="1" customHeight="1">
      <c r="G5155" s="113"/>
      <c r="J5155" s="28">
        <f>IFERROR(VLOOKUP(TEXT(B5155,"0"),STOCK!A:H,7,0),1)</f>
        <v>1</v>
      </c>
    </row>
    <row r="5156" spans="7:10" ht="35.450000000000003" hidden="1" customHeight="1">
      <c r="G5156" s="113"/>
      <c r="J5156" s="28">
        <f>IFERROR(VLOOKUP(TEXT(B5156,"0"),STOCK!A:H,7,0),1)</f>
        <v>1</v>
      </c>
    </row>
    <row r="5157" spans="7:10" ht="35.450000000000003" hidden="1" customHeight="1">
      <c r="G5157" s="113"/>
      <c r="J5157" s="28">
        <f>IFERROR(VLOOKUP(TEXT(B5157,"0"),STOCK!A:H,7,0),1)</f>
        <v>1</v>
      </c>
    </row>
    <row r="5158" spans="7:10" ht="35.450000000000003" hidden="1" customHeight="1">
      <c r="G5158" s="113"/>
      <c r="J5158" s="28">
        <f>IFERROR(VLOOKUP(TEXT(B5158,"0"),STOCK!A:H,7,0),1)</f>
        <v>1</v>
      </c>
    </row>
    <row r="5159" spans="7:10" ht="35.450000000000003" hidden="1" customHeight="1">
      <c r="G5159" s="113"/>
      <c r="J5159" s="28">
        <f>IFERROR(VLOOKUP(TEXT(B5159,"0"),STOCK!A:H,7,0),1)</f>
        <v>1</v>
      </c>
    </row>
    <row r="5160" spans="7:10" ht="35.450000000000003" hidden="1" customHeight="1">
      <c r="G5160" s="113"/>
      <c r="J5160" s="28">
        <f>IFERROR(VLOOKUP(TEXT(B5160,"0"),STOCK!A:H,7,0),1)</f>
        <v>1</v>
      </c>
    </row>
    <row r="5161" spans="7:10" ht="35.450000000000003" hidden="1" customHeight="1">
      <c r="G5161" s="113"/>
      <c r="J5161" s="28">
        <f>IFERROR(VLOOKUP(TEXT(B5161,"0"),STOCK!A:H,7,0),1)</f>
        <v>1</v>
      </c>
    </row>
    <row r="5162" spans="7:10" ht="35.450000000000003" hidden="1" customHeight="1">
      <c r="G5162" s="113"/>
      <c r="J5162" s="28">
        <f>IFERROR(VLOOKUP(TEXT(B5162,"0"),STOCK!A:H,7,0),1)</f>
        <v>1</v>
      </c>
    </row>
    <row r="5163" spans="7:10" ht="35.450000000000003" hidden="1" customHeight="1">
      <c r="G5163" s="113"/>
      <c r="J5163" s="28">
        <f>IFERROR(VLOOKUP(TEXT(B5163,"0"),STOCK!A:H,7,0),1)</f>
        <v>1</v>
      </c>
    </row>
    <row r="5164" spans="7:10" ht="35.450000000000003" hidden="1" customHeight="1">
      <c r="G5164" s="113"/>
      <c r="J5164" s="28">
        <f>IFERROR(VLOOKUP(TEXT(B5164,"0"),STOCK!A:H,7,0),1)</f>
        <v>1</v>
      </c>
    </row>
    <row r="5165" spans="7:10" ht="35.450000000000003" hidden="1" customHeight="1">
      <c r="G5165" s="113"/>
      <c r="J5165" s="28">
        <f>IFERROR(VLOOKUP(TEXT(B5165,"0"),STOCK!A:H,7,0),1)</f>
        <v>1</v>
      </c>
    </row>
    <row r="5166" spans="7:10" ht="35.450000000000003" hidden="1" customHeight="1">
      <c r="G5166" s="113"/>
      <c r="J5166" s="28">
        <f>IFERROR(VLOOKUP(TEXT(B5166,"0"),STOCK!A:H,7,0),1)</f>
        <v>1</v>
      </c>
    </row>
    <row r="5167" spans="7:10" ht="35.450000000000003" hidden="1" customHeight="1">
      <c r="G5167" s="113"/>
      <c r="J5167" s="28">
        <f>IFERROR(VLOOKUP(TEXT(B5167,"0"),STOCK!A:H,7,0),1)</f>
        <v>1</v>
      </c>
    </row>
    <row r="5168" spans="7:10" ht="35.450000000000003" hidden="1" customHeight="1">
      <c r="G5168" s="113"/>
      <c r="J5168" s="28">
        <f>IFERROR(VLOOKUP(TEXT(B5168,"0"),STOCK!A:H,7,0),1)</f>
        <v>1</v>
      </c>
    </row>
    <row r="5169" spans="7:10" ht="35.450000000000003" hidden="1" customHeight="1">
      <c r="G5169" s="113"/>
      <c r="J5169" s="28">
        <f>IFERROR(VLOOKUP(TEXT(B5169,"0"),STOCK!A:H,7,0),1)</f>
        <v>1</v>
      </c>
    </row>
    <row r="5170" spans="7:10" ht="35.450000000000003" hidden="1" customHeight="1">
      <c r="G5170" s="113"/>
      <c r="J5170" s="28">
        <f>IFERROR(VLOOKUP(TEXT(B5170,"0"),STOCK!A:H,7,0),1)</f>
        <v>1</v>
      </c>
    </row>
    <row r="5171" spans="7:10" ht="35.450000000000003" hidden="1" customHeight="1">
      <c r="G5171" s="113"/>
      <c r="J5171" s="28">
        <f>IFERROR(VLOOKUP(TEXT(B5171,"0"),STOCK!A:H,7,0),1)</f>
        <v>1</v>
      </c>
    </row>
    <row r="5172" spans="7:10" ht="35.450000000000003" hidden="1" customHeight="1">
      <c r="G5172" s="113"/>
      <c r="J5172" s="28">
        <f>IFERROR(VLOOKUP(TEXT(B5172,"0"),STOCK!A:H,7,0),1)</f>
        <v>1</v>
      </c>
    </row>
    <row r="5173" spans="7:10" ht="35.450000000000003" hidden="1" customHeight="1">
      <c r="G5173" s="113"/>
      <c r="J5173" s="28">
        <f>IFERROR(VLOOKUP(TEXT(B5173,"0"),STOCK!A:H,7,0),1)</f>
        <v>1</v>
      </c>
    </row>
    <row r="5174" spans="7:10" ht="35.450000000000003" hidden="1" customHeight="1">
      <c r="G5174" s="113"/>
      <c r="J5174" s="28">
        <f>IFERROR(VLOOKUP(TEXT(B5174,"0"),STOCK!A:H,7,0),1)</f>
        <v>1</v>
      </c>
    </row>
    <row r="5175" spans="7:10" ht="35.450000000000003" hidden="1" customHeight="1">
      <c r="G5175" s="113"/>
      <c r="J5175" s="28">
        <f>IFERROR(VLOOKUP(TEXT(B5175,"0"),STOCK!A:H,7,0),1)</f>
        <v>1</v>
      </c>
    </row>
    <row r="5176" spans="7:10" ht="35.450000000000003" hidden="1" customHeight="1">
      <c r="G5176" s="113"/>
      <c r="J5176" s="28">
        <f>IFERROR(VLOOKUP(TEXT(B5176,"0"),STOCK!A:H,7,0),1)</f>
        <v>1</v>
      </c>
    </row>
    <row r="5177" spans="7:10" ht="35.450000000000003" hidden="1" customHeight="1">
      <c r="G5177" s="113"/>
      <c r="J5177" s="28">
        <f>IFERROR(VLOOKUP(TEXT(B5177,"0"),STOCK!A:H,7,0),1)</f>
        <v>1</v>
      </c>
    </row>
    <row r="5178" spans="7:10" ht="35.450000000000003" hidden="1" customHeight="1">
      <c r="G5178" s="113"/>
      <c r="J5178" s="28">
        <f>IFERROR(VLOOKUP(TEXT(B5178,"0"),STOCK!A:H,7,0),1)</f>
        <v>1</v>
      </c>
    </row>
    <row r="5179" spans="7:10" ht="35.450000000000003" hidden="1" customHeight="1">
      <c r="G5179" s="113"/>
      <c r="J5179" s="28">
        <f>IFERROR(VLOOKUP(TEXT(B5179,"0"),STOCK!A:H,7,0),1)</f>
        <v>1</v>
      </c>
    </row>
    <row r="5180" spans="7:10" ht="35.450000000000003" hidden="1" customHeight="1">
      <c r="G5180" s="113"/>
      <c r="J5180" s="28">
        <f>IFERROR(VLOOKUP(TEXT(B5180,"0"),STOCK!A:H,7,0),1)</f>
        <v>1</v>
      </c>
    </row>
    <row r="5181" spans="7:10" ht="35.450000000000003" hidden="1" customHeight="1">
      <c r="G5181" s="113"/>
      <c r="J5181" s="28">
        <f>IFERROR(VLOOKUP(TEXT(B5181,"0"),STOCK!A:H,7,0),1)</f>
        <v>1</v>
      </c>
    </row>
    <row r="5182" spans="7:10" ht="35.450000000000003" hidden="1" customHeight="1">
      <c r="G5182" s="113"/>
      <c r="J5182" s="28">
        <f>IFERROR(VLOOKUP(TEXT(B5182,"0"),STOCK!A:H,7,0),1)</f>
        <v>1</v>
      </c>
    </row>
    <row r="5183" spans="7:10" ht="35.450000000000003" hidden="1" customHeight="1">
      <c r="G5183" s="113"/>
      <c r="J5183" s="28">
        <f>IFERROR(VLOOKUP(TEXT(B5183,"0"),STOCK!A:H,7,0),1)</f>
        <v>1</v>
      </c>
    </row>
    <row r="5184" spans="7:10" ht="35.450000000000003" hidden="1" customHeight="1">
      <c r="G5184" s="113"/>
      <c r="J5184" s="28">
        <f>IFERROR(VLOOKUP(TEXT(B5184,"0"),STOCK!A:H,7,0),1)</f>
        <v>1</v>
      </c>
    </row>
    <row r="5185" spans="7:10" ht="35.450000000000003" hidden="1" customHeight="1">
      <c r="G5185" s="113"/>
      <c r="J5185" s="28">
        <f>IFERROR(VLOOKUP(TEXT(B5185,"0"),STOCK!A:H,7,0),1)</f>
        <v>1</v>
      </c>
    </row>
    <row r="5186" spans="7:10" ht="35.450000000000003" hidden="1" customHeight="1">
      <c r="G5186" s="113"/>
      <c r="J5186" s="28">
        <f>IFERROR(VLOOKUP(TEXT(B5186,"0"),STOCK!A:H,7,0),1)</f>
        <v>1</v>
      </c>
    </row>
    <row r="5187" spans="7:10" ht="35.450000000000003" hidden="1" customHeight="1">
      <c r="G5187" s="113"/>
      <c r="J5187" s="28">
        <f>IFERROR(VLOOKUP(TEXT(B5187,"0"),STOCK!A:H,7,0),1)</f>
        <v>1</v>
      </c>
    </row>
    <row r="5188" spans="7:10" ht="35.450000000000003" hidden="1" customHeight="1">
      <c r="G5188" s="113"/>
      <c r="J5188" s="28">
        <f>IFERROR(VLOOKUP(TEXT(B5188,"0"),STOCK!A:H,7,0),1)</f>
        <v>1</v>
      </c>
    </row>
    <row r="5189" spans="7:10" ht="35.450000000000003" hidden="1" customHeight="1">
      <c r="G5189" s="113"/>
      <c r="J5189" s="28">
        <f>IFERROR(VLOOKUP(TEXT(B5189,"0"),STOCK!A:H,7,0),1)</f>
        <v>1</v>
      </c>
    </row>
    <row r="5190" spans="7:10" ht="35.450000000000003" hidden="1" customHeight="1">
      <c r="G5190" s="113"/>
      <c r="J5190" s="28">
        <f>IFERROR(VLOOKUP(TEXT(B5190,"0"),STOCK!A:H,7,0),1)</f>
        <v>1</v>
      </c>
    </row>
    <row r="5191" spans="7:10" ht="35.450000000000003" hidden="1" customHeight="1">
      <c r="G5191" s="113"/>
      <c r="J5191" s="28">
        <f>IFERROR(VLOOKUP(TEXT(B5191,"0"),STOCK!A:H,7,0),1)</f>
        <v>1</v>
      </c>
    </row>
    <row r="5192" spans="7:10" ht="35.450000000000003" hidden="1" customHeight="1">
      <c r="G5192" s="113"/>
      <c r="J5192" s="28">
        <f>IFERROR(VLOOKUP(TEXT(B5192,"0"),STOCK!A:H,7,0),1)</f>
        <v>1</v>
      </c>
    </row>
    <row r="5193" spans="7:10" ht="35.450000000000003" hidden="1" customHeight="1">
      <c r="G5193" s="113"/>
      <c r="J5193" s="28">
        <f>IFERROR(VLOOKUP(TEXT(B5193,"0"),STOCK!A:H,7,0),1)</f>
        <v>1</v>
      </c>
    </row>
    <row r="5194" spans="7:10" ht="35.450000000000003" hidden="1" customHeight="1">
      <c r="G5194" s="113"/>
      <c r="J5194" s="28">
        <f>IFERROR(VLOOKUP(TEXT(B5194,"0"),STOCK!A:H,7,0),1)</f>
        <v>1</v>
      </c>
    </row>
    <row r="5195" spans="7:10" ht="35.450000000000003" hidden="1" customHeight="1">
      <c r="G5195" s="113"/>
      <c r="J5195" s="28">
        <f>IFERROR(VLOOKUP(TEXT(B5195,"0"),STOCK!A:H,7,0),1)</f>
        <v>1</v>
      </c>
    </row>
    <row r="5196" spans="7:10" ht="35.450000000000003" hidden="1" customHeight="1">
      <c r="G5196" s="113"/>
      <c r="J5196" s="28">
        <f>IFERROR(VLOOKUP(TEXT(B5196,"0"),STOCK!A:H,7,0),1)</f>
        <v>1</v>
      </c>
    </row>
    <row r="5197" spans="7:10" ht="35.450000000000003" hidden="1" customHeight="1">
      <c r="G5197" s="113"/>
      <c r="J5197" s="28">
        <f>IFERROR(VLOOKUP(TEXT(B5197,"0"),STOCK!A:H,7,0),1)</f>
        <v>1</v>
      </c>
    </row>
    <row r="5198" spans="7:10" ht="35.450000000000003" hidden="1" customHeight="1">
      <c r="G5198" s="113"/>
      <c r="J5198" s="28">
        <f>IFERROR(VLOOKUP(TEXT(B5198,"0"),STOCK!A:H,7,0),1)</f>
        <v>1</v>
      </c>
    </row>
    <row r="5199" spans="7:10" ht="35.450000000000003" hidden="1" customHeight="1">
      <c r="G5199" s="113"/>
      <c r="J5199" s="28">
        <f>IFERROR(VLOOKUP(TEXT(B5199,"0"),STOCK!A:H,7,0),1)</f>
        <v>1</v>
      </c>
    </row>
    <row r="5200" spans="7:10" ht="35.450000000000003" hidden="1" customHeight="1">
      <c r="G5200" s="113"/>
      <c r="J5200" s="28">
        <f>IFERROR(VLOOKUP(TEXT(B5200,"0"),STOCK!A:H,7,0),1)</f>
        <v>1</v>
      </c>
    </row>
    <row r="5201" spans="7:10" ht="35.450000000000003" hidden="1" customHeight="1">
      <c r="G5201" s="113"/>
      <c r="J5201" s="28">
        <f>IFERROR(VLOOKUP(TEXT(B5201,"0"),STOCK!A:H,7,0),1)</f>
        <v>1</v>
      </c>
    </row>
    <row r="5202" spans="7:10" ht="35.450000000000003" hidden="1" customHeight="1">
      <c r="G5202" s="113"/>
      <c r="J5202" s="28">
        <f>IFERROR(VLOOKUP(TEXT(B5202,"0"),STOCK!A:H,7,0),1)</f>
        <v>1</v>
      </c>
    </row>
    <row r="5203" spans="7:10" ht="35.450000000000003" hidden="1" customHeight="1">
      <c r="G5203" s="113"/>
      <c r="J5203" s="28">
        <f>IFERROR(VLOOKUP(TEXT(B5203,"0"),STOCK!A:H,7,0),1)</f>
        <v>1</v>
      </c>
    </row>
    <row r="5204" spans="7:10" ht="35.450000000000003" hidden="1" customHeight="1">
      <c r="G5204" s="113"/>
      <c r="J5204" s="28">
        <f>IFERROR(VLOOKUP(TEXT(B5204,"0"),STOCK!A:H,7,0),1)</f>
        <v>1</v>
      </c>
    </row>
    <row r="5205" spans="7:10" ht="35.450000000000003" hidden="1" customHeight="1">
      <c r="G5205" s="113"/>
      <c r="J5205" s="28">
        <f>IFERROR(VLOOKUP(TEXT(B5205,"0"),STOCK!A:H,7,0),1)</f>
        <v>1</v>
      </c>
    </row>
    <row r="5206" spans="7:10" ht="35.450000000000003" hidden="1" customHeight="1">
      <c r="G5206" s="113"/>
      <c r="J5206" s="28">
        <f>IFERROR(VLOOKUP(TEXT(B5206,"0"),STOCK!A:H,7,0),1)</f>
        <v>1</v>
      </c>
    </row>
    <row r="5207" spans="7:10" ht="35.450000000000003" hidden="1" customHeight="1">
      <c r="G5207" s="113"/>
      <c r="J5207" s="28">
        <f>IFERROR(VLOOKUP(TEXT(B5207,"0"),STOCK!A:H,7,0),1)</f>
        <v>1</v>
      </c>
    </row>
    <row r="5208" spans="7:10" ht="35.450000000000003" hidden="1" customHeight="1">
      <c r="G5208" s="113"/>
      <c r="J5208" s="28">
        <f>IFERROR(VLOOKUP(TEXT(B5208,"0"),STOCK!A:H,7,0),1)</f>
        <v>1</v>
      </c>
    </row>
    <row r="5209" spans="7:10" ht="35.450000000000003" hidden="1" customHeight="1">
      <c r="G5209" s="113"/>
      <c r="J5209" s="28">
        <f>IFERROR(VLOOKUP(TEXT(B5209,"0"),STOCK!A:H,7,0),1)</f>
        <v>1</v>
      </c>
    </row>
    <row r="5210" spans="7:10" ht="35.450000000000003" hidden="1" customHeight="1">
      <c r="G5210" s="113"/>
      <c r="J5210" s="28">
        <f>IFERROR(VLOOKUP(TEXT(B5210,"0"),STOCK!A:H,7,0),1)</f>
        <v>1</v>
      </c>
    </row>
    <row r="5211" spans="7:10" ht="35.450000000000003" hidden="1" customHeight="1">
      <c r="G5211" s="113"/>
      <c r="J5211" s="28">
        <f>IFERROR(VLOOKUP(TEXT(B5211,"0"),STOCK!A:H,7,0),1)</f>
        <v>1</v>
      </c>
    </row>
    <row r="5212" spans="7:10" ht="35.450000000000003" hidden="1" customHeight="1">
      <c r="G5212" s="113"/>
      <c r="J5212" s="28">
        <f>IFERROR(VLOOKUP(TEXT(B5212,"0"),STOCK!A:H,7,0),1)</f>
        <v>1</v>
      </c>
    </row>
    <row r="5213" spans="7:10" ht="35.450000000000003" hidden="1" customHeight="1">
      <c r="G5213" s="113"/>
      <c r="J5213" s="28">
        <f>IFERROR(VLOOKUP(TEXT(B5213,"0"),STOCK!A:H,7,0),1)</f>
        <v>1</v>
      </c>
    </row>
    <row r="5214" spans="7:10" ht="35.450000000000003" hidden="1" customHeight="1">
      <c r="G5214" s="113"/>
      <c r="J5214" s="28">
        <f>IFERROR(VLOOKUP(TEXT(B5214,"0"),STOCK!A:H,7,0),1)</f>
        <v>1</v>
      </c>
    </row>
    <row r="5215" spans="7:10" ht="35.450000000000003" hidden="1" customHeight="1">
      <c r="G5215" s="113"/>
      <c r="J5215" s="28">
        <f>IFERROR(VLOOKUP(TEXT(B5215,"0"),STOCK!A:H,7,0),1)</f>
        <v>1</v>
      </c>
    </row>
    <row r="5216" spans="7:10" ht="35.450000000000003" hidden="1" customHeight="1">
      <c r="G5216" s="113"/>
      <c r="J5216" s="28">
        <f>IFERROR(VLOOKUP(TEXT(B5216,"0"),STOCK!A:H,7,0),1)</f>
        <v>1</v>
      </c>
    </row>
    <row r="5217" spans="7:10" ht="35.450000000000003" hidden="1" customHeight="1">
      <c r="G5217" s="113"/>
      <c r="J5217" s="28">
        <f>IFERROR(VLOOKUP(TEXT(B5217,"0"),STOCK!A:H,7,0),1)</f>
        <v>1</v>
      </c>
    </row>
    <row r="5218" spans="7:10" ht="35.450000000000003" hidden="1" customHeight="1">
      <c r="G5218" s="113"/>
      <c r="J5218" s="28">
        <f>IFERROR(VLOOKUP(TEXT(B5218,"0"),STOCK!A:H,7,0),1)</f>
        <v>1</v>
      </c>
    </row>
    <row r="5219" spans="7:10" ht="35.450000000000003" hidden="1" customHeight="1">
      <c r="G5219" s="113"/>
      <c r="J5219" s="28">
        <f>IFERROR(VLOOKUP(TEXT(B5219,"0"),STOCK!A:H,7,0),1)</f>
        <v>1</v>
      </c>
    </row>
    <row r="5220" spans="7:10" ht="35.450000000000003" hidden="1" customHeight="1">
      <c r="G5220" s="113"/>
      <c r="J5220" s="28">
        <f>IFERROR(VLOOKUP(TEXT(B5220,"0"),STOCK!A:H,7,0),1)</f>
        <v>1</v>
      </c>
    </row>
    <row r="5221" spans="7:10" ht="35.450000000000003" hidden="1" customHeight="1">
      <c r="G5221" s="113"/>
      <c r="J5221" s="28">
        <f>IFERROR(VLOOKUP(TEXT(B5221,"0"),STOCK!A:H,7,0),1)</f>
        <v>1</v>
      </c>
    </row>
    <row r="5222" spans="7:10" ht="35.450000000000003" hidden="1" customHeight="1">
      <c r="G5222" s="113"/>
      <c r="J5222" s="28">
        <f>IFERROR(VLOOKUP(TEXT(B5222,"0"),STOCK!A:H,7,0),1)</f>
        <v>1</v>
      </c>
    </row>
    <row r="5223" spans="7:10" ht="35.450000000000003" hidden="1" customHeight="1">
      <c r="G5223" s="113"/>
      <c r="J5223" s="28">
        <f>IFERROR(VLOOKUP(TEXT(B5223,"0"),STOCK!A:H,7,0),1)</f>
        <v>1</v>
      </c>
    </row>
    <row r="5224" spans="7:10" ht="35.450000000000003" hidden="1" customHeight="1">
      <c r="G5224" s="113"/>
      <c r="J5224" s="28">
        <f>IFERROR(VLOOKUP(TEXT(B5224,"0"),STOCK!A:H,7,0),1)</f>
        <v>1</v>
      </c>
    </row>
    <row r="5225" spans="7:10" ht="35.450000000000003" hidden="1" customHeight="1">
      <c r="G5225" s="113"/>
      <c r="J5225" s="28">
        <f>IFERROR(VLOOKUP(TEXT(B5225,"0"),STOCK!A:H,7,0),1)</f>
        <v>1</v>
      </c>
    </row>
    <row r="5226" spans="7:10" ht="35.450000000000003" hidden="1" customHeight="1">
      <c r="G5226" s="113"/>
      <c r="J5226" s="28">
        <f>IFERROR(VLOOKUP(TEXT(B5226,"0"),STOCK!A:H,7,0),1)</f>
        <v>1</v>
      </c>
    </row>
    <row r="5227" spans="7:10" ht="35.450000000000003" hidden="1" customHeight="1">
      <c r="G5227" s="113"/>
      <c r="J5227" s="28">
        <f>IFERROR(VLOOKUP(TEXT(B5227,"0"),STOCK!A:H,7,0),1)</f>
        <v>1</v>
      </c>
    </row>
    <row r="5228" spans="7:10" ht="35.450000000000003" hidden="1" customHeight="1">
      <c r="G5228" s="113"/>
      <c r="J5228" s="28">
        <f>IFERROR(VLOOKUP(TEXT(B5228,"0"),STOCK!A:H,7,0),1)</f>
        <v>1</v>
      </c>
    </row>
    <row r="5229" spans="7:10" ht="35.450000000000003" hidden="1" customHeight="1">
      <c r="G5229" s="113"/>
      <c r="J5229" s="28">
        <f>IFERROR(VLOOKUP(TEXT(B5229,"0"),STOCK!A:H,7,0),1)</f>
        <v>1</v>
      </c>
    </row>
    <row r="5230" spans="7:10" ht="35.450000000000003" hidden="1" customHeight="1">
      <c r="G5230" s="113"/>
      <c r="J5230" s="28">
        <f>IFERROR(VLOOKUP(TEXT(B5230,"0"),STOCK!A:H,7,0),1)</f>
        <v>1</v>
      </c>
    </row>
    <row r="5231" spans="7:10" ht="35.450000000000003" hidden="1" customHeight="1">
      <c r="G5231" s="113"/>
      <c r="J5231" s="28">
        <f>IFERROR(VLOOKUP(TEXT(B5231,"0"),STOCK!A:H,7,0),1)</f>
        <v>1</v>
      </c>
    </row>
    <row r="5232" spans="7:10" ht="35.450000000000003" hidden="1" customHeight="1">
      <c r="G5232" s="113"/>
      <c r="J5232" s="28">
        <f>IFERROR(VLOOKUP(TEXT(B5232,"0"),STOCK!A:H,7,0),1)</f>
        <v>1</v>
      </c>
    </row>
    <row r="5233" spans="7:10" ht="35.450000000000003" hidden="1" customHeight="1">
      <c r="G5233" s="113"/>
      <c r="J5233" s="28">
        <f>IFERROR(VLOOKUP(TEXT(B5233,"0"),STOCK!A:H,7,0),1)</f>
        <v>1</v>
      </c>
    </row>
    <row r="5234" spans="7:10" ht="35.450000000000003" hidden="1" customHeight="1">
      <c r="G5234" s="113"/>
      <c r="J5234" s="28">
        <f>IFERROR(VLOOKUP(TEXT(B5234,"0"),STOCK!A:H,7,0),1)</f>
        <v>1</v>
      </c>
    </row>
    <row r="5235" spans="7:10" ht="35.450000000000003" hidden="1" customHeight="1">
      <c r="G5235" s="113"/>
      <c r="J5235" s="28">
        <f>IFERROR(VLOOKUP(TEXT(B5235,"0"),STOCK!A:H,7,0),1)</f>
        <v>1</v>
      </c>
    </row>
    <row r="5236" spans="7:10" ht="35.450000000000003" hidden="1" customHeight="1">
      <c r="G5236" s="113"/>
      <c r="J5236" s="28">
        <f>IFERROR(VLOOKUP(TEXT(B5236,"0"),STOCK!A:H,7,0),1)</f>
        <v>1</v>
      </c>
    </row>
    <row r="5237" spans="7:10" ht="35.450000000000003" hidden="1" customHeight="1">
      <c r="G5237" s="113"/>
      <c r="J5237" s="28">
        <f>IFERROR(VLOOKUP(TEXT(B5237,"0"),STOCK!A:H,7,0),1)</f>
        <v>1</v>
      </c>
    </row>
    <row r="5238" spans="7:10" ht="35.450000000000003" hidden="1" customHeight="1">
      <c r="G5238" s="113"/>
      <c r="J5238" s="28">
        <f>IFERROR(VLOOKUP(TEXT(B5238,"0"),STOCK!A:H,7,0),1)</f>
        <v>1</v>
      </c>
    </row>
    <row r="5239" spans="7:10" ht="35.450000000000003" hidden="1" customHeight="1">
      <c r="G5239" s="113"/>
      <c r="J5239" s="28">
        <f>IFERROR(VLOOKUP(TEXT(B5239,"0"),STOCK!A:H,7,0),1)</f>
        <v>1</v>
      </c>
    </row>
    <row r="5240" spans="7:10" ht="35.450000000000003" hidden="1" customHeight="1">
      <c r="G5240" s="113"/>
      <c r="J5240" s="28">
        <f>IFERROR(VLOOKUP(TEXT(B5240,"0"),STOCK!A:H,7,0),1)</f>
        <v>1</v>
      </c>
    </row>
    <row r="5241" spans="7:10" ht="35.450000000000003" hidden="1" customHeight="1">
      <c r="G5241" s="113"/>
      <c r="J5241" s="28">
        <f>IFERROR(VLOOKUP(TEXT(B5241,"0"),STOCK!A:H,7,0),1)</f>
        <v>1</v>
      </c>
    </row>
    <row r="5242" spans="7:10" ht="35.450000000000003" hidden="1" customHeight="1">
      <c r="G5242" s="113"/>
      <c r="J5242" s="28">
        <f>IFERROR(VLOOKUP(TEXT(B5242,"0"),STOCK!A:H,7,0),1)</f>
        <v>1</v>
      </c>
    </row>
    <row r="5243" spans="7:10" ht="35.450000000000003" hidden="1" customHeight="1">
      <c r="G5243" s="113"/>
      <c r="J5243" s="28">
        <f>IFERROR(VLOOKUP(TEXT(B5243,"0"),STOCK!A:H,7,0),1)</f>
        <v>1</v>
      </c>
    </row>
    <row r="5244" spans="7:10" ht="35.450000000000003" hidden="1" customHeight="1">
      <c r="G5244" s="113"/>
      <c r="J5244" s="28">
        <f>IFERROR(VLOOKUP(TEXT(B5244,"0"),STOCK!A:H,7,0),1)</f>
        <v>1</v>
      </c>
    </row>
    <row r="5245" spans="7:10" ht="35.450000000000003" hidden="1" customHeight="1">
      <c r="G5245" s="113"/>
      <c r="J5245" s="28">
        <f>IFERROR(VLOOKUP(TEXT(B5245,"0"),STOCK!A:H,7,0),1)</f>
        <v>1</v>
      </c>
    </row>
    <row r="5246" spans="7:10" ht="35.450000000000003" hidden="1" customHeight="1">
      <c r="G5246" s="113"/>
      <c r="J5246" s="28">
        <f>IFERROR(VLOOKUP(TEXT(B5246,"0"),STOCK!A:H,7,0),1)</f>
        <v>1</v>
      </c>
    </row>
    <row r="5247" spans="7:10" ht="35.450000000000003" hidden="1" customHeight="1">
      <c r="G5247" s="113"/>
      <c r="J5247" s="28">
        <f>IFERROR(VLOOKUP(TEXT(B5247,"0"),STOCK!A:H,7,0),1)</f>
        <v>1</v>
      </c>
    </row>
    <row r="5248" spans="7:10" ht="35.450000000000003" hidden="1" customHeight="1">
      <c r="G5248" s="113"/>
      <c r="J5248" s="28">
        <f>IFERROR(VLOOKUP(TEXT(B5248,"0"),STOCK!A:H,7,0),1)</f>
        <v>1</v>
      </c>
    </row>
    <row r="5249" spans="7:10" ht="35.450000000000003" hidden="1" customHeight="1">
      <c r="G5249" s="113"/>
      <c r="J5249" s="28">
        <f>IFERROR(VLOOKUP(TEXT(B5249,"0"),STOCK!A:H,7,0),1)</f>
        <v>1</v>
      </c>
    </row>
    <row r="5250" spans="7:10" ht="35.450000000000003" hidden="1" customHeight="1">
      <c r="G5250" s="113"/>
      <c r="J5250" s="28">
        <f>IFERROR(VLOOKUP(TEXT(B5250,"0"),STOCK!A:H,7,0),1)</f>
        <v>1</v>
      </c>
    </row>
    <row r="5251" spans="7:10" ht="35.450000000000003" hidden="1" customHeight="1">
      <c r="G5251" s="113"/>
      <c r="J5251" s="28">
        <f>IFERROR(VLOOKUP(TEXT(B5251,"0"),STOCK!A:H,7,0),1)</f>
        <v>1</v>
      </c>
    </row>
    <row r="5252" spans="7:10" ht="35.450000000000003" hidden="1" customHeight="1">
      <c r="G5252" s="113"/>
      <c r="J5252" s="28">
        <f>IFERROR(VLOOKUP(TEXT(B5252,"0"),STOCK!A:H,7,0),1)</f>
        <v>1</v>
      </c>
    </row>
    <row r="5253" spans="7:10" ht="35.450000000000003" hidden="1" customHeight="1">
      <c r="G5253" s="113"/>
      <c r="J5253" s="28">
        <f>IFERROR(VLOOKUP(TEXT(B5253,"0"),STOCK!A:H,7,0),1)</f>
        <v>1</v>
      </c>
    </row>
    <row r="5254" spans="7:10" ht="35.450000000000003" hidden="1" customHeight="1">
      <c r="G5254" s="113"/>
      <c r="J5254" s="28">
        <f>IFERROR(VLOOKUP(TEXT(B5254,"0"),STOCK!A:H,7,0),1)</f>
        <v>1</v>
      </c>
    </row>
    <row r="5255" spans="7:10" ht="35.450000000000003" hidden="1" customHeight="1">
      <c r="G5255" s="113"/>
      <c r="J5255" s="28">
        <f>IFERROR(VLOOKUP(TEXT(B5255,"0"),STOCK!A:H,7,0),1)</f>
        <v>1</v>
      </c>
    </row>
    <row r="5256" spans="7:10" ht="35.450000000000003" hidden="1" customHeight="1">
      <c r="G5256" s="113"/>
      <c r="J5256" s="28">
        <f>IFERROR(VLOOKUP(TEXT(B5256,"0"),STOCK!A:H,7,0),1)</f>
        <v>1</v>
      </c>
    </row>
    <row r="5257" spans="7:10" ht="35.450000000000003" hidden="1" customHeight="1">
      <c r="G5257" s="113"/>
      <c r="J5257" s="28">
        <f>IFERROR(VLOOKUP(TEXT(B5257,"0"),STOCK!A:H,7,0),1)</f>
        <v>1</v>
      </c>
    </row>
    <row r="5258" spans="7:10" ht="35.450000000000003" hidden="1" customHeight="1">
      <c r="G5258" s="113"/>
      <c r="J5258" s="28">
        <f>IFERROR(VLOOKUP(TEXT(B5258,"0"),STOCK!A:H,7,0),1)</f>
        <v>1</v>
      </c>
    </row>
    <row r="5259" spans="7:10" ht="35.450000000000003" hidden="1" customHeight="1">
      <c r="G5259" s="113"/>
      <c r="J5259" s="28">
        <f>IFERROR(VLOOKUP(TEXT(B5259,"0"),STOCK!A:H,7,0),1)</f>
        <v>1</v>
      </c>
    </row>
    <row r="5260" spans="7:10" ht="35.450000000000003" hidden="1" customHeight="1">
      <c r="G5260" s="113"/>
      <c r="J5260" s="28">
        <f>IFERROR(VLOOKUP(TEXT(B5260,"0"),STOCK!A:H,7,0),1)</f>
        <v>1</v>
      </c>
    </row>
    <row r="5261" spans="7:10" ht="35.450000000000003" hidden="1" customHeight="1">
      <c r="G5261" s="113"/>
      <c r="J5261" s="28">
        <f>IFERROR(VLOOKUP(TEXT(B5261,"0"),STOCK!A:H,7,0),1)</f>
        <v>1</v>
      </c>
    </row>
    <row r="5262" spans="7:10" ht="35.450000000000003" hidden="1" customHeight="1">
      <c r="G5262" s="113"/>
      <c r="J5262" s="28">
        <f>IFERROR(VLOOKUP(TEXT(B5262,"0"),STOCK!A:H,7,0),1)</f>
        <v>1</v>
      </c>
    </row>
    <row r="5263" spans="7:10" ht="35.450000000000003" hidden="1" customHeight="1">
      <c r="G5263" s="113"/>
      <c r="J5263" s="28">
        <f>IFERROR(VLOOKUP(TEXT(B5263,"0"),STOCK!A:H,7,0),1)</f>
        <v>1</v>
      </c>
    </row>
    <row r="5264" spans="7:10" ht="35.450000000000003" hidden="1" customHeight="1">
      <c r="G5264" s="113"/>
      <c r="J5264" s="28">
        <f>IFERROR(VLOOKUP(TEXT(B5264,"0"),STOCK!A:H,7,0),1)</f>
        <v>1</v>
      </c>
    </row>
    <row r="5265" spans="7:10" ht="35.450000000000003" hidden="1" customHeight="1">
      <c r="G5265" s="113"/>
      <c r="J5265" s="28">
        <f>IFERROR(VLOOKUP(TEXT(B5265,"0"),STOCK!A:H,7,0),1)</f>
        <v>1</v>
      </c>
    </row>
    <row r="5266" spans="7:10" ht="35.450000000000003" hidden="1" customHeight="1">
      <c r="G5266" s="113"/>
      <c r="J5266" s="28">
        <f>IFERROR(VLOOKUP(TEXT(B5266,"0"),STOCK!A:H,7,0),1)</f>
        <v>1</v>
      </c>
    </row>
    <row r="5267" spans="7:10" ht="35.450000000000003" hidden="1" customHeight="1">
      <c r="G5267" s="113"/>
      <c r="J5267" s="28">
        <f>IFERROR(VLOOKUP(TEXT(B5267,"0"),STOCK!A:H,7,0),1)</f>
        <v>1</v>
      </c>
    </row>
    <row r="5268" spans="7:10" ht="35.450000000000003" hidden="1" customHeight="1">
      <c r="G5268" s="113"/>
      <c r="J5268" s="28">
        <f>IFERROR(VLOOKUP(TEXT(B5268,"0"),STOCK!A:H,7,0),1)</f>
        <v>1</v>
      </c>
    </row>
    <row r="5269" spans="7:10" ht="35.450000000000003" hidden="1" customHeight="1">
      <c r="G5269" s="113"/>
      <c r="J5269" s="28">
        <f>IFERROR(VLOOKUP(TEXT(B5269,"0"),STOCK!A:H,7,0),1)</f>
        <v>1</v>
      </c>
    </row>
    <row r="5270" spans="7:10" ht="35.450000000000003" hidden="1" customHeight="1">
      <c r="G5270" s="113"/>
      <c r="J5270" s="28">
        <f>IFERROR(VLOOKUP(TEXT(B5270,"0"),STOCK!A:H,7,0),1)</f>
        <v>1</v>
      </c>
    </row>
    <row r="5271" spans="7:10" ht="35.450000000000003" hidden="1" customHeight="1">
      <c r="G5271" s="113"/>
      <c r="J5271" s="28">
        <f>IFERROR(VLOOKUP(TEXT(B5271,"0"),STOCK!A:H,7,0),1)</f>
        <v>1</v>
      </c>
    </row>
    <row r="5272" spans="7:10" ht="35.450000000000003" hidden="1" customHeight="1">
      <c r="G5272" s="113"/>
      <c r="J5272" s="28">
        <f>IFERROR(VLOOKUP(TEXT(B5272,"0"),STOCK!A:H,7,0),1)</f>
        <v>1</v>
      </c>
    </row>
    <row r="5273" spans="7:10" ht="35.450000000000003" hidden="1" customHeight="1">
      <c r="G5273" s="113"/>
      <c r="J5273" s="28">
        <f>IFERROR(VLOOKUP(TEXT(B5273,"0"),STOCK!A:H,7,0),1)</f>
        <v>1</v>
      </c>
    </row>
    <row r="5274" spans="7:10" ht="35.450000000000003" hidden="1" customHeight="1">
      <c r="G5274" s="113"/>
      <c r="J5274" s="28">
        <f>IFERROR(VLOOKUP(TEXT(B5274,"0"),STOCK!A:H,7,0),1)</f>
        <v>1</v>
      </c>
    </row>
    <row r="5275" spans="7:10" ht="35.450000000000003" hidden="1" customHeight="1">
      <c r="G5275" s="113"/>
      <c r="J5275" s="28">
        <f>IFERROR(VLOOKUP(TEXT(B5275,"0"),STOCK!A:H,7,0),1)</f>
        <v>1</v>
      </c>
    </row>
    <row r="5276" spans="7:10" ht="35.450000000000003" hidden="1" customHeight="1">
      <c r="G5276" s="113"/>
      <c r="J5276" s="28">
        <f>IFERROR(VLOOKUP(TEXT(B5276,"0"),STOCK!A:H,7,0),1)</f>
        <v>1</v>
      </c>
    </row>
    <row r="5277" spans="7:10" ht="35.450000000000003" hidden="1" customHeight="1">
      <c r="G5277" s="113"/>
      <c r="J5277" s="28">
        <f>IFERROR(VLOOKUP(TEXT(B5277,"0"),STOCK!A:H,7,0),1)</f>
        <v>1</v>
      </c>
    </row>
    <row r="5278" spans="7:10" ht="35.450000000000003" hidden="1" customHeight="1">
      <c r="G5278" s="113"/>
      <c r="J5278" s="28">
        <f>IFERROR(VLOOKUP(TEXT(B5278,"0"),STOCK!A:H,7,0),1)</f>
        <v>1</v>
      </c>
    </row>
    <row r="5279" spans="7:10" ht="35.450000000000003" hidden="1" customHeight="1">
      <c r="G5279" s="113"/>
      <c r="J5279" s="28">
        <f>IFERROR(VLOOKUP(TEXT(B5279,"0"),STOCK!A:H,7,0),1)</f>
        <v>1</v>
      </c>
    </row>
    <row r="5280" spans="7:10" ht="35.450000000000003" hidden="1" customHeight="1">
      <c r="G5280" s="113"/>
      <c r="J5280" s="28">
        <f>IFERROR(VLOOKUP(TEXT(B5280,"0"),STOCK!A:H,7,0),1)</f>
        <v>1</v>
      </c>
    </row>
    <row r="5281" spans="7:10" ht="35.450000000000003" hidden="1" customHeight="1">
      <c r="G5281" s="113"/>
      <c r="J5281" s="28">
        <f>IFERROR(VLOOKUP(TEXT(B5281,"0"),STOCK!A:H,7,0),1)</f>
        <v>1</v>
      </c>
    </row>
    <row r="5282" spans="7:10" ht="35.450000000000003" hidden="1" customHeight="1">
      <c r="G5282" s="113"/>
      <c r="J5282" s="28">
        <f>IFERROR(VLOOKUP(TEXT(B5282,"0"),STOCK!A:H,7,0),1)</f>
        <v>1</v>
      </c>
    </row>
    <row r="5283" spans="7:10" ht="35.450000000000003" hidden="1" customHeight="1">
      <c r="G5283" s="113"/>
      <c r="J5283" s="28">
        <f>IFERROR(VLOOKUP(TEXT(B5283,"0"),STOCK!A:H,7,0),1)</f>
        <v>1</v>
      </c>
    </row>
    <row r="5284" spans="7:10" ht="35.450000000000003" hidden="1" customHeight="1">
      <c r="G5284" s="113"/>
      <c r="J5284" s="28">
        <f>IFERROR(VLOOKUP(TEXT(B5284,"0"),STOCK!A:H,7,0),1)</f>
        <v>1</v>
      </c>
    </row>
    <row r="5285" spans="7:10" ht="35.450000000000003" hidden="1" customHeight="1">
      <c r="G5285" s="113"/>
      <c r="J5285" s="28">
        <f>IFERROR(VLOOKUP(TEXT(B5285,"0"),STOCK!A:H,7,0),1)</f>
        <v>1</v>
      </c>
    </row>
    <row r="5286" spans="7:10" ht="35.450000000000003" hidden="1" customHeight="1">
      <c r="G5286" s="113"/>
      <c r="J5286" s="28">
        <f>IFERROR(VLOOKUP(TEXT(B5286,"0"),STOCK!A:H,7,0),1)</f>
        <v>1</v>
      </c>
    </row>
    <row r="5287" spans="7:10" ht="35.450000000000003" hidden="1" customHeight="1">
      <c r="G5287" s="113"/>
      <c r="J5287" s="28">
        <f>IFERROR(VLOOKUP(TEXT(B5287,"0"),STOCK!A:H,7,0),1)</f>
        <v>1</v>
      </c>
    </row>
    <row r="5288" spans="7:10" ht="35.450000000000003" hidden="1" customHeight="1">
      <c r="G5288" s="113"/>
      <c r="J5288" s="28">
        <f>IFERROR(VLOOKUP(TEXT(B5288,"0"),STOCK!A:H,7,0),1)</f>
        <v>1</v>
      </c>
    </row>
    <row r="5289" spans="7:10" ht="35.450000000000003" hidden="1" customHeight="1">
      <c r="G5289" s="113"/>
      <c r="J5289" s="28">
        <f>IFERROR(VLOOKUP(TEXT(B5289,"0"),STOCK!A:H,7,0),1)</f>
        <v>1</v>
      </c>
    </row>
    <row r="5290" spans="7:10" ht="35.450000000000003" hidden="1" customHeight="1">
      <c r="G5290" s="113"/>
      <c r="J5290" s="28">
        <f>IFERROR(VLOOKUP(TEXT(B5290,"0"),STOCK!A:H,7,0),1)</f>
        <v>1</v>
      </c>
    </row>
    <row r="5291" spans="7:10" ht="35.450000000000003" hidden="1" customHeight="1">
      <c r="G5291" s="113"/>
      <c r="J5291" s="28">
        <f>IFERROR(VLOOKUP(TEXT(B5291,"0"),STOCK!A:H,7,0),1)</f>
        <v>1</v>
      </c>
    </row>
    <row r="5292" spans="7:10" ht="35.450000000000003" hidden="1" customHeight="1">
      <c r="G5292" s="113"/>
      <c r="J5292" s="28">
        <f>IFERROR(VLOOKUP(TEXT(B5292,"0"),STOCK!A:H,7,0),1)</f>
        <v>1</v>
      </c>
    </row>
    <row r="5293" spans="7:10" ht="35.450000000000003" hidden="1" customHeight="1">
      <c r="G5293" s="113"/>
      <c r="J5293" s="28">
        <f>IFERROR(VLOOKUP(TEXT(B5293,"0"),STOCK!A:H,7,0),1)</f>
        <v>1</v>
      </c>
    </row>
    <row r="5294" spans="7:10" ht="35.450000000000003" hidden="1" customHeight="1">
      <c r="G5294" s="113"/>
      <c r="J5294" s="28">
        <f>IFERROR(VLOOKUP(TEXT(B5294,"0"),STOCK!A:H,7,0),1)</f>
        <v>1</v>
      </c>
    </row>
    <row r="5295" spans="7:10" ht="35.450000000000003" hidden="1" customHeight="1">
      <c r="G5295" s="113"/>
      <c r="J5295" s="28">
        <f>IFERROR(VLOOKUP(TEXT(B5295,"0"),STOCK!A:H,7,0),1)</f>
        <v>1</v>
      </c>
    </row>
    <row r="5296" spans="7:10" ht="35.450000000000003" hidden="1" customHeight="1">
      <c r="G5296" s="113"/>
      <c r="J5296" s="28">
        <f>IFERROR(VLOOKUP(TEXT(B5296,"0"),STOCK!A:H,7,0),1)</f>
        <v>1</v>
      </c>
    </row>
    <row r="5297" spans="7:10" ht="35.450000000000003" hidden="1" customHeight="1">
      <c r="G5297" s="113"/>
      <c r="J5297" s="28">
        <f>IFERROR(VLOOKUP(TEXT(B5297,"0"),STOCK!A:H,7,0),1)</f>
        <v>1</v>
      </c>
    </row>
    <row r="5298" spans="7:10" ht="35.450000000000003" hidden="1" customHeight="1">
      <c r="G5298" s="113"/>
      <c r="J5298" s="28">
        <f>IFERROR(VLOOKUP(TEXT(B5298,"0"),STOCK!A:H,7,0),1)</f>
        <v>1</v>
      </c>
    </row>
    <row r="5299" spans="7:10" ht="35.450000000000003" hidden="1" customHeight="1">
      <c r="G5299" s="113"/>
      <c r="J5299" s="28">
        <f>IFERROR(VLOOKUP(TEXT(B5299,"0"),STOCK!A:H,7,0),1)</f>
        <v>1</v>
      </c>
    </row>
    <row r="5300" spans="7:10" ht="35.450000000000003" hidden="1" customHeight="1">
      <c r="G5300" s="113"/>
      <c r="J5300" s="28">
        <f>IFERROR(VLOOKUP(TEXT(B5300,"0"),STOCK!A:H,7,0),1)</f>
        <v>1</v>
      </c>
    </row>
    <row r="5301" spans="7:10" ht="35.450000000000003" hidden="1" customHeight="1">
      <c r="G5301" s="113"/>
      <c r="J5301" s="28">
        <f>IFERROR(VLOOKUP(TEXT(B5301,"0"),STOCK!A:H,7,0),1)</f>
        <v>1</v>
      </c>
    </row>
    <row r="5302" spans="7:10" ht="35.450000000000003" hidden="1" customHeight="1">
      <c r="G5302" s="113"/>
      <c r="J5302" s="28">
        <f>IFERROR(VLOOKUP(TEXT(B5302,"0"),STOCK!A:H,7,0),1)</f>
        <v>1</v>
      </c>
    </row>
    <row r="5303" spans="7:10" ht="35.450000000000003" hidden="1" customHeight="1">
      <c r="G5303" s="113"/>
      <c r="J5303" s="28">
        <f>IFERROR(VLOOKUP(TEXT(B5303,"0"),STOCK!A:H,7,0),1)</f>
        <v>1</v>
      </c>
    </row>
    <row r="5304" spans="7:10" ht="35.450000000000003" hidden="1" customHeight="1">
      <c r="G5304" s="113"/>
      <c r="J5304" s="28">
        <f>IFERROR(VLOOKUP(TEXT(B5304,"0"),STOCK!A:H,7,0),1)</f>
        <v>1</v>
      </c>
    </row>
    <row r="5305" spans="7:10" ht="35.450000000000003" hidden="1" customHeight="1">
      <c r="G5305" s="113"/>
      <c r="J5305" s="28">
        <f>IFERROR(VLOOKUP(TEXT(B5305,"0"),STOCK!A:H,7,0),1)</f>
        <v>1</v>
      </c>
    </row>
    <row r="5306" spans="7:10" ht="35.450000000000003" hidden="1" customHeight="1">
      <c r="G5306" s="113"/>
      <c r="J5306" s="28">
        <f>IFERROR(VLOOKUP(TEXT(B5306,"0"),STOCK!A:H,7,0),1)</f>
        <v>1</v>
      </c>
    </row>
    <row r="5307" spans="7:10" ht="35.450000000000003" hidden="1" customHeight="1">
      <c r="G5307" s="113"/>
      <c r="J5307" s="28">
        <f>IFERROR(VLOOKUP(TEXT(B5307,"0"),STOCK!A:H,7,0),1)</f>
        <v>1</v>
      </c>
    </row>
    <row r="5308" spans="7:10" ht="35.450000000000003" hidden="1" customHeight="1">
      <c r="G5308" s="113"/>
      <c r="J5308" s="28">
        <f>IFERROR(VLOOKUP(TEXT(B5308,"0"),STOCK!A:H,7,0),1)</f>
        <v>1</v>
      </c>
    </row>
    <row r="5309" spans="7:10" ht="35.450000000000003" hidden="1" customHeight="1">
      <c r="G5309" s="113"/>
      <c r="J5309" s="28">
        <f>IFERROR(VLOOKUP(TEXT(B5309,"0"),STOCK!A:H,7,0),1)</f>
        <v>1</v>
      </c>
    </row>
    <row r="5310" spans="7:10" ht="35.450000000000003" hidden="1" customHeight="1">
      <c r="G5310" s="113"/>
      <c r="J5310" s="28">
        <f>IFERROR(VLOOKUP(TEXT(B5310,"0"),STOCK!A:H,7,0),1)</f>
        <v>1</v>
      </c>
    </row>
    <row r="5311" spans="7:10" ht="35.450000000000003" hidden="1" customHeight="1">
      <c r="G5311" s="113"/>
      <c r="J5311" s="28">
        <f>IFERROR(VLOOKUP(TEXT(B5311,"0"),STOCK!A:H,7,0),1)</f>
        <v>1</v>
      </c>
    </row>
    <row r="5312" spans="7:10" ht="35.450000000000003" hidden="1" customHeight="1">
      <c r="G5312" s="113"/>
      <c r="J5312" s="28">
        <f>IFERROR(VLOOKUP(TEXT(B5312,"0"),STOCK!A:H,7,0),1)</f>
        <v>1</v>
      </c>
    </row>
    <row r="5313" spans="7:10" ht="35.450000000000003" hidden="1" customHeight="1">
      <c r="G5313" s="113"/>
      <c r="J5313" s="28">
        <f>IFERROR(VLOOKUP(TEXT(B5313,"0"),STOCK!A:H,7,0),1)</f>
        <v>1</v>
      </c>
    </row>
    <row r="5314" spans="7:10" ht="35.450000000000003" hidden="1" customHeight="1">
      <c r="G5314" s="113"/>
      <c r="J5314" s="28">
        <f>IFERROR(VLOOKUP(TEXT(B5314,"0"),STOCK!A:H,7,0),1)</f>
        <v>1</v>
      </c>
    </row>
    <row r="5315" spans="7:10" ht="35.450000000000003" hidden="1" customHeight="1">
      <c r="G5315" s="113"/>
      <c r="J5315" s="28">
        <f>IFERROR(VLOOKUP(TEXT(B5315,"0"),STOCK!A:H,7,0),1)</f>
        <v>1</v>
      </c>
    </row>
    <row r="5316" spans="7:10" ht="35.450000000000003" hidden="1" customHeight="1">
      <c r="G5316" s="113"/>
      <c r="J5316" s="28">
        <f>IFERROR(VLOOKUP(TEXT(B5316,"0"),STOCK!A:H,7,0),1)</f>
        <v>1</v>
      </c>
    </row>
    <row r="5317" spans="7:10" ht="35.450000000000003" hidden="1" customHeight="1">
      <c r="G5317" s="113"/>
      <c r="J5317" s="28">
        <f>IFERROR(VLOOKUP(TEXT(B5317,"0"),STOCK!A:H,7,0),1)</f>
        <v>1</v>
      </c>
    </row>
    <row r="5318" spans="7:10" ht="35.450000000000003" hidden="1" customHeight="1">
      <c r="G5318" s="113"/>
      <c r="J5318" s="28">
        <f>IFERROR(VLOOKUP(TEXT(B5318,"0"),STOCK!A:H,7,0),1)</f>
        <v>1</v>
      </c>
    </row>
    <row r="5319" spans="7:10" ht="35.450000000000003" hidden="1" customHeight="1">
      <c r="G5319" s="113"/>
      <c r="J5319" s="28">
        <f>IFERROR(VLOOKUP(TEXT(B5319,"0"),STOCK!A:H,7,0),1)</f>
        <v>1</v>
      </c>
    </row>
    <row r="5320" spans="7:10" ht="35.450000000000003" hidden="1" customHeight="1">
      <c r="G5320" s="113"/>
      <c r="J5320" s="28">
        <f>IFERROR(VLOOKUP(TEXT(B5320,"0"),STOCK!A:H,7,0),1)</f>
        <v>1</v>
      </c>
    </row>
    <row r="5321" spans="7:10" ht="35.450000000000003" hidden="1" customHeight="1">
      <c r="G5321" s="113"/>
      <c r="J5321" s="28">
        <f>IFERROR(VLOOKUP(TEXT(B5321,"0"),STOCK!A:H,7,0),1)</f>
        <v>1</v>
      </c>
    </row>
    <row r="5322" spans="7:10" ht="35.450000000000003" hidden="1" customHeight="1">
      <c r="G5322" s="113"/>
      <c r="J5322" s="28">
        <f>IFERROR(VLOOKUP(TEXT(B5322,"0"),STOCK!A:H,7,0),1)</f>
        <v>1</v>
      </c>
    </row>
    <row r="5323" spans="7:10" ht="35.450000000000003" hidden="1" customHeight="1">
      <c r="G5323" s="113"/>
      <c r="J5323" s="28">
        <f>IFERROR(VLOOKUP(TEXT(B5323,"0"),STOCK!A:H,7,0),1)</f>
        <v>1</v>
      </c>
    </row>
    <row r="5324" spans="7:10" ht="35.450000000000003" hidden="1" customHeight="1">
      <c r="G5324" s="113"/>
      <c r="J5324" s="28">
        <f>IFERROR(VLOOKUP(TEXT(B5324,"0"),STOCK!A:H,7,0),1)</f>
        <v>1</v>
      </c>
    </row>
    <row r="5325" spans="7:10" ht="35.450000000000003" hidden="1" customHeight="1">
      <c r="G5325" s="113"/>
      <c r="J5325" s="28">
        <f>IFERROR(VLOOKUP(TEXT(B5325,"0"),STOCK!A:H,7,0),1)</f>
        <v>1</v>
      </c>
    </row>
    <row r="5326" spans="7:10" ht="35.450000000000003" hidden="1" customHeight="1">
      <c r="G5326" s="113"/>
      <c r="J5326" s="28">
        <f>IFERROR(VLOOKUP(TEXT(B5326,"0"),STOCK!A:H,7,0),1)</f>
        <v>1</v>
      </c>
    </row>
    <row r="5327" spans="7:10" ht="35.450000000000003" hidden="1" customHeight="1">
      <c r="G5327" s="113"/>
      <c r="J5327" s="28">
        <f>IFERROR(VLOOKUP(TEXT(B5327,"0"),STOCK!A:H,7,0),1)</f>
        <v>1</v>
      </c>
    </row>
    <row r="5328" spans="7:10" ht="35.450000000000003" hidden="1" customHeight="1">
      <c r="G5328" s="113"/>
      <c r="J5328" s="28">
        <f>IFERROR(VLOOKUP(TEXT(B5328,"0"),STOCK!A:H,7,0),1)</f>
        <v>1</v>
      </c>
    </row>
    <row r="5329" spans="7:10" ht="35.450000000000003" hidden="1" customHeight="1">
      <c r="G5329" s="113"/>
      <c r="J5329" s="28">
        <f>IFERROR(VLOOKUP(TEXT(B5329,"0"),STOCK!A:H,7,0),1)</f>
        <v>1</v>
      </c>
    </row>
    <row r="5330" spans="7:10" ht="35.450000000000003" hidden="1" customHeight="1">
      <c r="G5330" s="113"/>
      <c r="J5330" s="28">
        <f>IFERROR(VLOOKUP(TEXT(B5330,"0"),STOCK!A:H,7,0),1)</f>
        <v>1</v>
      </c>
    </row>
    <row r="5331" spans="7:10" ht="35.450000000000003" hidden="1" customHeight="1">
      <c r="G5331" s="113"/>
      <c r="J5331" s="28">
        <f>IFERROR(VLOOKUP(TEXT(B5331,"0"),STOCK!A:H,7,0),1)</f>
        <v>1</v>
      </c>
    </row>
    <row r="5332" spans="7:10" ht="35.450000000000003" hidden="1" customHeight="1">
      <c r="G5332" s="113"/>
      <c r="J5332" s="28">
        <f>IFERROR(VLOOKUP(TEXT(B5332,"0"),STOCK!A:H,7,0),1)</f>
        <v>1</v>
      </c>
    </row>
    <row r="5333" spans="7:10" ht="35.450000000000003" hidden="1" customHeight="1">
      <c r="G5333" s="113"/>
      <c r="J5333" s="28">
        <f>IFERROR(VLOOKUP(TEXT(B5333,"0"),STOCK!A:H,7,0),1)</f>
        <v>1</v>
      </c>
    </row>
    <row r="5334" spans="7:10" ht="35.450000000000003" hidden="1" customHeight="1">
      <c r="G5334" s="113"/>
      <c r="J5334" s="28">
        <f>IFERROR(VLOOKUP(TEXT(B5334,"0"),STOCK!A:H,7,0),1)</f>
        <v>1</v>
      </c>
    </row>
    <row r="5335" spans="7:10" ht="35.450000000000003" hidden="1" customHeight="1">
      <c r="G5335" s="113"/>
      <c r="J5335" s="28">
        <f>IFERROR(VLOOKUP(TEXT(B5335,"0"),STOCK!A:H,7,0),1)</f>
        <v>1</v>
      </c>
    </row>
    <row r="5336" spans="7:10" ht="35.450000000000003" hidden="1" customHeight="1">
      <c r="G5336" s="113"/>
      <c r="J5336" s="28">
        <f>IFERROR(VLOOKUP(TEXT(B5336,"0"),STOCK!A:H,7,0),1)</f>
        <v>1</v>
      </c>
    </row>
    <row r="5337" spans="7:10" ht="35.450000000000003" hidden="1" customHeight="1">
      <c r="G5337" s="113"/>
      <c r="J5337" s="28">
        <f>IFERROR(VLOOKUP(TEXT(B5337,"0"),STOCK!A:H,7,0),1)</f>
        <v>1</v>
      </c>
    </row>
    <row r="5338" spans="7:10" ht="35.450000000000003" hidden="1" customHeight="1">
      <c r="G5338" s="113"/>
      <c r="J5338" s="28">
        <f>IFERROR(VLOOKUP(TEXT(B5338,"0"),STOCK!A:H,7,0),1)</f>
        <v>1</v>
      </c>
    </row>
    <row r="5339" spans="7:10" ht="35.450000000000003" hidden="1" customHeight="1">
      <c r="G5339" s="113"/>
      <c r="J5339" s="28">
        <f>IFERROR(VLOOKUP(TEXT(B5339,"0"),STOCK!A:H,7,0),1)</f>
        <v>1</v>
      </c>
    </row>
    <row r="5340" spans="7:10" ht="35.450000000000003" hidden="1" customHeight="1">
      <c r="G5340" s="113"/>
      <c r="J5340" s="28">
        <f>IFERROR(VLOOKUP(TEXT(B5340,"0"),STOCK!A:H,7,0),1)</f>
        <v>1</v>
      </c>
    </row>
    <row r="5341" spans="7:10" ht="35.450000000000003" hidden="1" customHeight="1">
      <c r="G5341" s="113"/>
      <c r="J5341" s="28">
        <f>IFERROR(VLOOKUP(TEXT(B5341,"0"),STOCK!A:H,7,0),1)</f>
        <v>1</v>
      </c>
    </row>
    <row r="5342" spans="7:10" ht="35.450000000000003" hidden="1" customHeight="1">
      <c r="G5342" s="113"/>
      <c r="J5342" s="28">
        <f>IFERROR(VLOOKUP(TEXT(B5342,"0"),STOCK!A:H,7,0),1)</f>
        <v>1</v>
      </c>
    </row>
    <row r="5343" spans="7:10" ht="35.450000000000003" hidden="1" customHeight="1">
      <c r="G5343" s="113"/>
      <c r="J5343" s="28">
        <f>IFERROR(VLOOKUP(TEXT(B5343,"0"),STOCK!A:H,7,0),1)</f>
        <v>1</v>
      </c>
    </row>
    <row r="5344" spans="7:10" ht="35.450000000000003" hidden="1" customHeight="1">
      <c r="G5344" s="113"/>
      <c r="J5344" s="28">
        <f>IFERROR(VLOOKUP(TEXT(B5344,"0"),STOCK!A:H,7,0),1)</f>
        <v>1</v>
      </c>
    </row>
    <row r="5345" spans="7:10" ht="35.450000000000003" hidden="1" customHeight="1">
      <c r="G5345" s="113"/>
      <c r="J5345" s="28">
        <f>IFERROR(VLOOKUP(TEXT(B5345,"0"),STOCK!A:H,7,0),1)</f>
        <v>1</v>
      </c>
    </row>
    <row r="5346" spans="7:10" ht="35.450000000000003" hidden="1" customHeight="1">
      <c r="G5346" s="113"/>
      <c r="J5346" s="28">
        <f>IFERROR(VLOOKUP(TEXT(B5346,"0"),STOCK!A:H,7,0),1)</f>
        <v>1</v>
      </c>
    </row>
    <row r="5347" spans="7:10" ht="35.450000000000003" hidden="1" customHeight="1">
      <c r="G5347" s="113"/>
      <c r="J5347" s="28">
        <f>IFERROR(VLOOKUP(TEXT(B5347,"0"),STOCK!A:H,7,0),1)</f>
        <v>1</v>
      </c>
    </row>
    <row r="5348" spans="7:10" ht="35.450000000000003" hidden="1" customHeight="1">
      <c r="G5348" s="113"/>
      <c r="J5348" s="28">
        <f>IFERROR(VLOOKUP(TEXT(B5348,"0"),STOCK!A:H,7,0),1)</f>
        <v>1</v>
      </c>
    </row>
    <row r="5349" spans="7:10" ht="35.450000000000003" hidden="1" customHeight="1">
      <c r="G5349" s="113"/>
      <c r="J5349" s="28">
        <f>IFERROR(VLOOKUP(TEXT(B5349,"0"),STOCK!A:H,7,0),1)</f>
        <v>1</v>
      </c>
    </row>
    <row r="5350" spans="7:10" ht="35.450000000000003" hidden="1" customHeight="1">
      <c r="G5350" s="113"/>
      <c r="J5350" s="28">
        <f>IFERROR(VLOOKUP(TEXT(B5350,"0"),STOCK!A:H,7,0),1)</f>
        <v>1</v>
      </c>
    </row>
    <row r="5351" spans="7:10" ht="35.450000000000003" hidden="1" customHeight="1">
      <c r="G5351" s="113"/>
      <c r="J5351" s="28">
        <f>IFERROR(VLOOKUP(TEXT(B5351,"0"),STOCK!A:H,7,0),1)</f>
        <v>1</v>
      </c>
    </row>
    <row r="5352" spans="7:10" ht="35.450000000000003" hidden="1" customHeight="1">
      <c r="G5352" s="113"/>
      <c r="J5352" s="28">
        <f>IFERROR(VLOOKUP(TEXT(B5352,"0"),STOCK!A:H,7,0),1)</f>
        <v>1</v>
      </c>
    </row>
    <row r="5353" spans="7:10" ht="35.450000000000003" hidden="1" customHeight="1">
      <c r="G5353" s="113"/>
      <c r="J5353" s="28">
        <f>IFERROR(VLOOKUP(TEXT(B5353,"0"),STOCK!A:H,7,0),1)</f>
        <v>1</v>
      </c>
    </row>
    <row r="5354" spans="7:10" ht="35.450000000000003" hidden="1" customHeight="1">
      <c r="G5354" s="113"/>
      <c r="J5354" s="28">
        <f>IFERROR(VLOOKUP(TEXT(B5354,"0"),STOCK!A:H,7,0),1)</f>
        <v>1</v>
      </c>
    </row>
    <row r="5355" spans="7:10" ht="35.450000000000003" hidden="1" customHeight="1">
      <c r="G5355" s="113"/>
      <c r="J5355" s="28">
        <f>IFERROR(VLOOKUP(TEXT(B5355,"0"),STOCK!A:H,7,0),1)</f>
        <v>1</v>
      </c>
    </row>
    <row r="5356" spans="7:10" ht="35.450000000000003" hidden="1" customHeight="1">
      <c r="G5356" s="113"/>
      <c r="J5356" s="28">
        <f>IFERROR(VLOOKUP(TEXT(B5356,"0"),STOCK!A:H,7,0),1)</f>
        <v>1</v>
      </c>
    </row>
    <row r="5357" spans="7:10" ht="35.450000000000003" hidden="1" customHeight="1">
      <c r="G5357" s="113"/>
      <c r="J5357" s="28">
        <f>IFERROR(VLOOKUP(TEXT(B5357,"0"),STOCK!A:H,7,0),1)</f>
        <v>1</v>
      </c>
    </row>
    <row r="5358" spans="7:10" ht="35.450000000000003" hidden="1" customHeight="1">
      <c r="G5358" s="113"/>
      <c r="J5358" s="28">
        <f>IFERROR(VLOOKUP(TEXT(B5358,"0"),STOCK!A:H,7,0),1)</f>
        <v>1</v>
      </c>
    </row>
    <row r="5359" spans="7:10" ht="35.450000000000003" hidden="1" customHeight="1">
      <c r="G5359" s="113"/>
      <c r="J5359" s="28">
        <f>IFERROR(VLOOKUP(TEXT(B5359,"0"),STOCK!A:H,7,0),1)</f>
        <v>1</v>
      </c>
    </row>
    <row r="5360" spans="7:10" ht="35.450000000000003" hidden="1" customHeight="1">
      <c r="G5360" s="113"/>
      <c r="J5360" s="28">
        <f>IFERROR(VLOOKUP(TEXT(B5360,"0"),STOCK!A:H,7,0),1)</f>
        <v>1</v>
      </c>
    </row>
    <row r="5361" spans="7:10" ht="35.450000000000003" hidden="1" customHeight="1">
      <c r="G5361" s="113"/>
      <c r="J5361" s="28">
        <f>IFERROR(VLOOKUP(TEXT(B5361,"0"),STOCK!A:H,7,0),1)</f>
        <v>1</v>
      </c>
    </row>
    <row r="5362" spans="7:10" ht="35.450000000000003" hidden="1" customHeight="1">
      <c r="G5362" s="113"/>
      <c r="J5362" s="28">
        <f>IFERROR(VLOOKUP(TEXT(B5362,"0"),STOCK!A:H,7,0),1)</f>
        <v>1</v>
      </c>
    </row>
    <row r="5363" spans="7:10" ht="35.450000000000003" hidden="1" customHeight="1">
      <c r="G5363" s="113"/>
      <c r="J5363" s="28">
        <f>IFERROR(VLOOKUP(TEXT(B5363,"0"),STOCK!A:H,7,0),1)</f>
        <v>1</v>
      </c>
    </row>
    <row r="5364" spans="7:10" ht="35.450000000000003" hidden="1" customHeight="1">
      <c r="G5364" s="113"/>
      <c r="J5364" s="28">
        <f>IFERROR(VLOOKUP(TEXT(B5364,"0"),STOCK!A:H,7,0),1)</f>
        <v>1</v>
      </c>
    </row>
    <row r="5365" spans="7:10" ht="35.450000000000003" hidden="1" customHeight="1">
      <c r="G5365" s="113"/>
      <c r="J5365" s="28">
        <f>IFERROR(VLOOKUP(TEXT(B5365,"0"),STOCK!A:H,7,0),1)</f>
        <v>1</v>
      </c>
    </row>
    <row r="5366" spans="7:10" ht="35.450000000000003" hidden="1" customHeight="1">
      <c r="G5366" s="113"/>
      <c r="J5366" s="28">
        <f>IFERROR(VLOOKUP(TEXT(B5366,"0"),STOCK!A:H,7,0),1)</f>
        <v>1</v>
      </c>
    </row>
    <row r="5367" spans="7:10" ht="35.450000000000003" hidden="1" customHeight="1">
      <c r="G5367" s="113"/>
      <c r="J5367" s="28">
        <f>IFERROR(VLOOKUP(TEXT(B5367,"0"),STOCK!A:H,7,0),1)</f>
        <v>1</v>
      </c>
    </row>
    <row r="5368" spans="7:10" ht="35.450000000000003" hidden="1" customHeight="1">
      <c r="G5368" s="113"/>
      <c r="J5368" s="28">
        <f>IFERROR(VLOOKUP(TEXT(B5368,"0"),STOCK!A:H,7,0),1)</f>
        <v>1</v>
      </c>
    </row>
    <row r="5369" spans="7:10" ht="35.450000000000003" hidden="1" customHeight="1">
      <c r="G5369" s="113"/>
      <c r="J5369" s="28">
        <f>IFERROR(VLOOKUP(TEXT(B5369,"0"),STOCK!A:H,7,0),1)</f>
        <v>1</v>
      </c>
    </row>
    <row r="5370" spans="7:10" ht="35.450000000000003" hidden="1" customHeight="1">
      <c r="G5370" s="113"/>
      <c r="J5370" s="28">
        <f>IFERROR(VLOOKUP(TEXT(B5370,"0"),STOCK!A:H,7,0),1)</f>
        <v>1</v>
      </c>
    </row>
    <row r="5371" spans="7:10" ht="35.450000000000003" hidden="1" customHeight="1">
      <c r="G5371" s="113"/>
      <c r="J5371" s="28">
        <f>IFERROR(VLOOKUP(TEXT(B5371,"0"),STOCK!A:H,7,0),1)</f>
        <v>1</v>
      </c>
    </row>
    <row r="5372" spans="7:10" ht="35.450000000000003" hidden="1" customHeight="1">
      <c r="G5372" s="113"/>
      <c r="J5372" s="28">
        <f>IFERROR(VLOOKUP(TEXT(B5372,"0"),STOCK!A:H,7,0),1)</f>
        <v>1</v>
      </c>
    </row>
    <row r="5373" spans="7:10" ht="35.450000000000003" hidden="1" customHeight="1">
      <c r="G5373" s="113"/>
      <c r="J5373" s="28">
        <f>IFERROR(VLOOKUP(TEXT(B5373,"0"),STOCK!A:H,7,0),1)</f>
        <v>1</v>
      </c>
    </row>
    <row r="5374" spans="7:10" ht="35.450000000000003" hidden="1" customHeight="1">
      <c r="G5374" s="113"/>
      <c r="J5374" s="28">
        <f>IFERROR(VLOOKUP(TEXT(B5374,"0"),STOCK!A:H,7,0),1)</f>
        <v>1</v>
      </c>
    </row>
    <row r="5375" spans="7:10" ht="35.450000000000003" hidden="1" customHeight="1">
      <c r="G5375" s="113"/>
      <c r="J5375" s="28">
        <f>IFERROR(VLOOKUP(TEXT(B5375,"0"),STOCK!A:H,7,0),1)</f>
        <v>1</v>
      </c>
    </row>
    <row r="5376" spans="7:10" ht="35.450000000000003" hidden="1" customHeight="1">
      <c r="G5376" s="113"/>
      <c r="J5376" s="28">
        <f>IFERROR(VLOOKUP(TEXT(B5376,"0"),STOCK!A:H,7,0),1)</f>
        <v>1</v>
      </c>
    </row>
    <row r="5377" spans="7:10" ht="35.450000000000003" hidden="1" customHeight="1">
      <c r="G5377" s="113"/>
      <c r="J5377" s="28">
        <f>IFERROR(VLOOKUP(TEXT(B5377,"0"),STOCK!A:H,7,0),1)</f>
        <v>1</v>
      </c>
    </row>
    <row r="5378" spans="7:10" ht="35.450000000000003" hidden="1" customHeight="1">
      <c r="G5378" s="113"/>
      <c r="J5378" s="28">
        <f>IFERROR(VLOOKUP(TEXT(B5378,"0"),STOCK!A:H,7,0),1)</f>
        <v>1</v>
      </c>
    </row>
    <row r="5379" spans="7:10" ht="35.450000000000003" hidden="1" customHeight="1">
      <c r="G5379" s="113"/>
      <c r="J5379" s="28">
        <f>IFERROR(VLOOKUP(TEXT(B5379,"0"),STOCK!A:H,7,0),1)</f>
        <v>1</v>
      </c>
    </row>
    <row r="5380" spans="7:10" ht="35.450000000000003" hidden="1" customHeight="1">
      <c r="G5380" s="113"/>
      <c r="J5380" s="28">
        <f>IFERROR(VLOOKUP(TEXT(B5380,"0"),STOCK!A:H,7,0),1)</f>
        <v>1</v>
      </c>
    </row>
    <row r="5381" spans="7:10" ht="35.450000000000003" hidden="1" customHeight="1">
      <c r="G5381" s="113"/>
      <c r="J5381" s="28">
        <f>IFERROR(VLOOKUP(TEXT(B5381,"0"),STOCK!A:H,7,0),1)</f>
        <v>1</v>
      </c>
    </row>
    <row r="5382" spans="7:10" ht="35.450000000000003" hidden="1" customHeight="1">
      <c r="G5382" s="113"/>
      <c r="J5382" s="28">
        <f>IFERROR(VLOOKUP(TEXT(B5382,"0"),STOCK!A:H,7,0),1)</f>
        <v>1</v>
      </c>
    </row>
    <row r="5383" spans="7:10" ht="35.450000000000003" hidden="1" customHeight="1">
      <c r="G5383" s="113"/>
      <c r="J5383" s="28">
        <f>IFERROR(VLOOKUP(TEXT(B5383,"0"),STOCK!A:H,7,0),1)</f>
        <v>1</v>
      </c>
    </row>
    <row r="5384" spans="7:10" ht="35.450000000000003" hidden="1" customHeight="1">
      <c r="G5384" s="113"/>
      <c r="J5384" s="28">
        <f>IFERROR(VLOOKUP(TEXT(B5384,"0"),STOCK!A:H,7,0),1)</f>
        <v>1</v>
      </c>
    </row>
    <row r="5385" spans="7:10" ht="35.450000000000003" hidden="1" customHeight="1">
      <c r="G5385" s="113"/>
      <c r="J5385" s="28">
        <f>IFERROR(VLOOKUP(TEXT(B5385,"0"),STOCK!A:H,7,0),1)</f>
        <v>1</v>
      </c>
    </row>
    <row r="5386" spans="7:10" ht="35.450000000000003" hidden="1" customHeight="1">
      <c r="G5386" s="113"/>
      <c r="J5386" s="28">
        <f>IFERROR(VLOOKUP(TEXT(B5386,"0"),STOCK!A:H,7,0),1)</f>
        <v>1</v>
      </c>
    </row>
    <row r="5387" spans="7:10" ht="35.450000000000003" hidden="1" customHeight="1">
      <c r="G5387" s="113"/>
      <c r="J5387" s="28">
        <f>IFERROR(VLOOKUP(TEXT(B5387,"0"),STOCK!A:H,7,0),1)</f>
        <v>1</v>
      </c>
    </row>
    <row r="5388" spans="7:10" ht="35.450000000000003" hidden="1" customHeight="1">
      <c r="G5388" s="113"/>
      <c r="J5388" s="28">
        <f>IFERROR(VLOOKUP(TEXT(B5388,"0"),STOCK!A:H,7,0),1)</f>
        <v>1</v>
      </c>
    </row>
    <row r="5389" spans="7:10" ht="35.450000000000003" hidden="1" customHeight="1">
      <c r="G5389" s="113"/>
      <c r="J5389" s="28">
        <f>IFERROR(VLOOKUP(TEXT(B5389,"0"),STOCK!A:H,7,0),1)</f>
        <v>1</v>
      </c>
    </row>
    <row r="5390" spans="7:10" ht="35.450000000000003" hidden="1" customHeight="1">
      <c r="G5390" s="113"/>
      <c r="J5390" s="28">
        <f>IFERROR(VLOOKUP(TEXT(B5390,"0"),STOCK!A:H,7,0),1)</f>
        <v>1</v>
      </c>
    </row>
    <row r="5391" spans="7:10" ht="35.450000000000003" hidden="1" customHeight="1">
      <c r="G5391" s="113"/>
      <c r="J5391" s="28">
        <f>IFERROR(VLOOKUP(TEXT(B5391,"0"),STOCK!A:H,7,0),1)</f>
        <v>1</v>
      </c>
    </row>
    <row r="5392" spans="7:10" ht="35.450000000000003" hidden="1" customHeight="1">
      <c r="G5392" s="113"/>
      <c r="J5392" s="28">
        <f>IFERROR(VLOOKUP(TEXT(B5392,"0"),STOCK!A:H,7,0),1)</f>
        <v>1</v>
      </c>
    </row>
    <row r="5393" spans="7:10" ht="35.450000000000003" hidden="1" customHeight="1">
      <c r="G5393" s="113"/>
      <c r="J5393" s="28">
        <f>IFERROR(VLOOKUP(TEXT(B5393,"0"),STOCK!A:H,7,0),1)</f>
        <v>1</v>
      </c>
    </row>
    <row r="5394" spans="7:10" ht="35.450000000000003" hidden="1" customHeight="1">
      <c r="G5394" s="113"/>
      <c r="J5394" s="28">
        <f>IFERROR(VLOOKUP(TEXT(B5394,"0"),STOCK!A:H,7,0),1)</f>
        <v>1</v>
      </c>
    </row>
    <row r="5395" spans="7:10" ht="35.450000000000003" hidden="1" customHeight="1">
      <c r="G5395" s="113"/>
      <c r="J5395" s="28">
        <f>IFERROR(VLOOKUP(TEXT(B5395,"0"),STOCK!A:H,7,0),1)</f>
        <v>1</v>
      </c>
    </row>
    <row r="5396" spans="7:10" ht="35.450000000000003" hidden="1" customHeight="1">
      <c r="G5396" s="113"/>
      <c r="J5396" s="28">
        <f>IFERROR(VLOOKUP(TEXT(B5396,"0"),STOCK!A:H,7,0),1)</f>
        <v>1</v>
      </c>
    </row>
    <row r="5397" spans="7:10" ht="35.450000000000003" hidden="1" customHeight="1">
      <c r="G5397" s="113"/>
      <c r="J5397" s="28">
        <f>IFERROR(VLOOKUP(TEXT(B5397,"0"),STOCK!A:H,7,0),1)</f>
        <v>1</v>
      </c>
    </row>
    <row r="5398" spans="7:10" ht="35.450000000000003" hidden="1" customHeight="1">
      <c r="G5398" s="113"/>
      <c r="J5398" s="28">
        <f>IFERROR(VLOOKUP(TEXT(B5398,"0"),STOCK!A:H,7,0),1)</f>
        <v>1</v>
      </c>
    </row>
    <row r="5399" spans="7:10" ht="35.450000000000003" hidden="1" customHeight="1">
      <c r="G5399" s="113"/>
      <c r="J5399" s="28">
        <f>IFERROR(VLOOKUP(TEXT(B5399,"0"),STOCK!A:H,7,0),1)</f>
        <v>1</v>
      </c>
    </row>
    <row r="5400" spans="7:10" ht="35.450000000000003" hidden="1" customHeight="1">
      <c r="G5400" s="113"/>
      <c r="J5400" s="28">
        <f>IFERROR(VLOOKUP(TEXT(B5400,"0"),STOCK!A:H,7,0),1)</f>
        <v>1</v>
      </c>
    </row>
    <row r="5401" spans="7:10" ht="35.450000000000003" hidden="1" customHeight="1">
      <c r="G5401" s="113"/>
      <c r="J5401" s="28">
        <f>IFERROR(VLOOKUP(TEXT(B5401,"0"),STOCK!A:H,7,0),1)</f>
        <v>1</v>
      </c>
    </row>
    <row r="5402" spans="7:10" ht="35.450000000000003" hidden="1" customHeight="1">
      <c r="G5402" s="113"/>
      <c r="J5402" s="28">
        <f>IFERROR(VLOOKUP(TEXT(B5402,"0"),STOCK!A:H,7,0),1)</f>
        <v>1</v>
      </c>
    </row>
    <row r="5403" spans="7:10" ht="35.450000000000003" hidden="1" customHeight="1">
      <c r="G5403" s="113"/>
      <c r="J5403" s="28">
        <f>IFERROR(VLOOKUP(TEXT(B5403,"0"),STOCK!A:H,7,0),1)</f>
        <v>1</v>
      </c>
    </row>
    <row r="5404" spans="7:10" ht="35.450000000000003" hidden="1" customHeight="1">
      <c r="G5404" s="113"/>
      <c r="J5404" s="28">
        <f>IFERROR(VLOOKUP(TEXT(B5404,"0"),STOCK!A:H,7,0),1)</f>
        <v>1</v>
      </c>
    </row>
    <row r="5405" spans="7:10" ht="35.450000000000003" hidden="1" customHeight="1">
      <c r="G5405" s="113"/>
      <c r="J5405" s="28">
        <f>IFERROR(VLOOKUP(TEXT(B5405,"0"),STOCK!A:H,7,0),1)</f>
        <v>1</v>
      </c>
    </row>
    <row r="5406" spans="7:10" ht="35.450000000000003" hidden="1" customHeight="1">
      <c r="G5406" s="113"/>
      <c r="J5406" s="28">
        <f>IFERROR(VLOOKUP(TEXT(B5406,"0"),STOCK!A:H,7,0),1)</f>
        <v>1</v>
      </c>
    </row>
    <row r="5407" spans="7:10" ht="35.450000000000003" hidden="1" customHeight="1">
      <c r="G5407" s="113"/>
      <c r="J5407" s="28">
        <f>IFERROR(VLOOKUP(TEXT(B5407,"0"),STOCK!A:H,7,0),1)</f>
        <v>1</v>
      </c>
    </row>
    <row r="5408" spans="7:10" ht="35.450000000000003" hidden="1" customHeight="1">
      <c r="G5408" s="113"/>
      <c r="J5408" s="28">
        <f>IFERROR(VLOOKUP(TEXT(B5408,"0"),STOCK!A:H,7,0),1)</f>
        <v>1</v>
      </c>
    </row>
    <row r="5409" spans="7:10" ht="35.450000000000003" hidden="1" customHeight="1">
      <c r="G5409" s="113"/>
      <c r="J5409" s="28">
        <f>IFERROR(VLOOKUP(TEXT(B5409,"0"),STOCK!A:H,7,0),1)</f>
        <v>1</v>
      </c>
    </row>
    <row r="5410" spans="7:10" ht="35.450000000000003" hidden="1" customHeight="1">
      <c r="G5410" s="113"/>
      <c r="J5410" s="28">
        <f>IFERROR(VLOOKUP(TEXT(B5410,"0"),STOCK!A:H,7,0),1)</f>
        <v>1</v>
      </c>
    </row>
    <row r="5411" spans="7:10" ht="35.450000000000003" hidden="1" customHeight="1">
      <c r="G5411" s="113"/>
      <c r="J5411" s="28">
        <f>IFERROR(VLOOKUP(TEXT(B5411,"0"),STOCK!A:H,7,0),1)</f>
        <v>1</v>
      </c>
    </row>
    <row r="5412" spans="7:10" ht="35.450000000000003" hidden="1" customHeight="1">
      <c r="G5412" s="113"/>
      <c r="J5412" s="28">
        <f>IFERROR(VLOOKUP(TEXT(B5412,"0"),STOCK!A:H,7,0),1)</f>
        <v>1</v>
      </c>
    </row>
    <row r="5413" spans="7:10" ht="35.450000000000003" hidden="1" customHeight="1">
      <c r="G5413" s="113"/>
      <c r="J5413" s="28">
        <f>IFERROR(VLOOKUP(TEXT(B5413,"0"),STOCK!A:H,7,0),1)</f>
        <v>1</v>
      </c>
    </row>
    <row r="5414" spans="7:10" ht="35.450000000000003" hidden="1" customHeight="1">
      <c r="G5414" s="113"/>
      <c r="J5414" s="28">
        <f>IFERROR(VLOOKUP(TEXT(B5414,"0"),STOCK!A:H,7,0),1)</f>
        <v>1</v>
      </c>
    </row>
    <row r="5415" spans="7:10" ht="35.450000000000003" hidden="1" customHeight="1">
      <c r="G5415" s="113"/>
      <c r="J5415" s="28">
        <f>IFERROR(VLOOKUP(TEXT(B5415,"0"),STOCK!A:H,7,0),1)</f>
        <v>1</v>
      </c>
    </row>
    <row r="5416" spans="7:10" ht="35.450000000000003" hidden="1" customHeight="1">
      <c r="G5416" s="113"/>
      <c r="J5416" s="28">
        <f>IFERROR(VLOOKUP(TEXT(B5416,"0"),STOCK!A:H,7,0),1)</f>
        <v>1</v>
      </c>
    </row>
    <row r="5417" spans="7:10" ht="35.450000000000003" hidden="1" customHeight="1">
      <c r="G5417" s="113"/>
      <c r="J5417" s="28">
        <f>IFERROR(VLOOKUP(TEXT(B5417,"0"),STOCK!A:H,7,0),1)</f>
        <v>1</v>
      </c>
    </row>
    <row r="5418" spans="7:10" ht="35.450000000000003" hidden="1" customHeight="1">
      <c r="G5418" s="113"/>
      <c r="J5418" s="28">
        <f>IFERROR(VLOOKUP(TEXT(B5418,"0"),STOCK!A:H,7,0),1)</f>
        <v>1</v>
      </c>
    </row>
    <row r="5419" spans="7:10" ht="35.450000000000003" hidden="1" customHeight="1">
      <c r="G5419" s="113"/>
      <c r="J5419" s="28">
        <f>IFERROR(VLOOKUP(TEXT(B5419,"0"),STOCK!A:H,7,0),1)</f>
        <v>1</v>
      </c>
    </row>
    <row r="5420" spans="7:10" ht="35.450000000000003" hidden="1" customHeight="1">
      <c r="G5420" s="113"/>
      <c r="J5420" s="28">
        <f>IFERROR(VLOOKUP(TEXT(B5420,"0"),STOCK!A:H,7,0),1)</f>
        <v>1</v>
      </c>
    </row>
    <row r="5421" spans="7:10" ht="35.450000000000003" hidden="1" customHeight="1">
      <c r="G5421" s="113"/>
      <c r="J5421" s="28">
        <f>IFERROR(VLOOKUP(TEXT(B5421,"0"),STOCK!A:H,7,0),1)</f>
        <v>1</v>
      </c>
    </row>
    <row r="5422" spans="7:10" ht="35.450000000000003" hidden="1" customHeight="1">
      <c r="G5422" s="113"/>
      <c r="J5422" s="28">
        <f>IFERROR(VLOOKUP(TEXT(B5422,"0"),STOCK!A:H,7,0),1)</f>
        <v>1</v>
      </c>
    </row>
    <row r="5423" spans="7:10" ht="35.450000000000003" hidden="1" customHeight="1">
      <c r="G5423" s="113"/>
      <c r="J5423" s="28">
        <f>IFERROR(VLOOKUP(TEXT(B5423,"0"),STOCK!A:H,7,0),1)</f>
        <v>1</v>
      </c>
    </row>
    <row r="5424" spans="7:10" ht="35.450000000000003" hidden="1" customHeight="1">
      <c r="G5424" s="113"/>
      <c r="J5424" s="28">
        <f>IFERROR(VLOOKUP(TEXT(B5424,"0"),STOCK!A:H,7,0),1)</f>
        <v>1</v>
      </c>
    </row>
    <row r="5425" spans="7:10" ht="35.450000000000003" hidden="1" customHeight="1">
      <c r="G5425" s="113"/>
      <c r="J5425" s="28">
        <f>IFERROR(VLOOKUP(TEXT(B5425,"0"),STOCK!A:H,7,0),1)</f>
        <v>1</v>
      </c>
    </row>
    <row r="5426" spans="7:10" ht="35.450000000000003" hidden="1" customHeight="1">
      <c r="G5426" s="113"/>
      <c r="J5426" s="28">
        <f>IFERROR(VLOOKUP(TEXT(B5426,"0"),STOCK!A:H,7,0),1)</f>
        <v>1</v>
      </c>
    </row>
    <row r="5427" spans="7:10" ht="35.450000000000003" hidden="1" customHeight="1">
      <c r="G5427" s="113"/>
      <c r="J5427" s="28">
        <f>IFERROR(VLOOKUP(TEXT(B5427,"0"),STOCK!A:H,7,0),1)</f>
        <v>1</v>
      </c>
    </row>
    <row r="5428" spans="7:10" ht="35.450000000000003" hidden="1" customHeight="1">
      <c r="G5428" s="113"/>
      <c r="J5428" s="28">
        <f>IFERROR(VLOOKUP(TEXT(B5428,"0"),STOCK!A:H,7,0),1)</f>
        <v>1</v>
      </c>
    </row>
    <row r="5429" spans="7:10" ht="35.450000000000003" hidden="1" customHeight="1">
      <c r="G5429" s="113"/>
      <c r="J5429" s="28">
        <f>IFERROR(VLOOKUP(TEXT(B5429,"0"),STOCK!A:H,7,0),1)</f>
        <v>1</v>
      </c>
    </row>
    <row r="5430" spans="7:10" ht="35.450000000000003" hidden="1" customHeight="1">
      <c r="G5430" s="113"/>
      <c r="J5430" s="28">
        <f>IFERROR(VLOOKUP(TEXT(B5430,"0"),STOCK!A:H,7,0),1)</f>
        <v>1</v>
      </c>
    </row>
    <row r="5431" spans="7:10" ht="35.450000000000003" hidden="1" customHeight="1">
      <c r="G5431" s="113"/>
      <c r="J5431" s="28">
        <f>IFERROR(VLOOKUP(TEXT(B5431,"0"),STOCK!A:H,7,0),1)</f>
        <v>1</v>
      </c>
    </row>
    <row r="5432" spans="7:10" ht="35.450000000000003" hidden="1" customHeight="1">
      <c r="G5432" s="113"/>
      <c r="J5432" s="28">
        <f>IFERROR(VLOOKUP(TEXT(B5432,"0"),STOCK!A:H,7,0),1)</f>
        <v>1</v>
      </c>
    </row>
    <row r="5433" spans="7:10" ht="35.450000000000003" hidden="1" customHeight="1">
      <c r="G5433" s="113"/>
      <c r="J5433" s="28">
        <f>IFERROR(VLOOKUP(TEXT(B5433,"0"),STOCK!A:H,7,0),1)</f>
        <v>1</v>
      </c>
    </row>
    <row r="5434" spans="7:10" ht="35.450000000000003" hidden="1" customHeight="1">
      <c r="G5434" s="113"/>
      <c r="J5434" s="28">
        <f>IFERROR(VLOOKUP(TEXT(B5434,"0"),STOCK!A:H,7,0),1)</f>
        <v>1</v>
      </c>
    </row>
    <row r="5435" spans="7:10" ht="35.450000000000003" hidden="1" customHeight="1">
      <c r="G5435" s="113"/>
      <c r="J5435" s="28">
        <f>IFERROR(VLOOKUP(TEXT(B5435,"0"),STOCK!A:H,7,0),1)</f>
        <v>1</v>
      </c>
    </row>
    <row r="5436" spans="7:10" ht="35.450000000000003" hidden="1" customHeight="1">
      <c r="G5436" s="113"/>
      <c r="J5436" s="28">
        <f>IFERROR(VLOOKUP(TEXT(B5436,"0"),STOCK!A:H,7,0),1)</f>
        <v>1</v>
      </c>
    </row>
    <row r="5437" spans="7:10" ht="35.450000000000003" hidden="1" customHeight="1">
      <c r="G5437" s="113"/>
      <c r="J5437" s="28">
        <f>IFERROR(VLOOKUP(TEXT(B5437,"0"),STOCK!A:H,7,0),1)</f>
        <v>1</v>
      </c>
    </row>
    <row r="5438" spans="7:10" ht="35.450000000000003" hidden="1" customHeight="1">
      <c r="G5438" s="113"/>
      <c r="J5438" s="28">
        <f>IFERROR(VLOOKUP(TEXT(B5438,"0"),STOCK!A:H,7,0),1)</f>
        <v>1</v>
      </c>
    </row>
    <row r="5439" spans="7:10" ht="35.450000000000003" hidden="1" customHeight="1">
      <c r="G5439" s="113"/>
      <c r="J5439" s="28">
        <f>IFERROR(VLOOKUP(TEXT(B5439,"0"),STOCK!A:H,7,0),1)</f>
        <v>1</v>
      </c>
    </row>
    <row r="5440" spans="7:10" ht="35.450000000000003" hidden="1" customHeight="1">
      <c r="G5440" s="113"/>
      <c r="J5440" s="28">
        <f>IFERROR(VLOOKUP(TEXT(B5440,"0"),STOCK!A:H,7,0),1)</f>
        <v>1</v>
      </c>
    </row>
    <row r="5441" spans="7:10" ht="35.450000000000003" hidden="1" customHeight="1">
      <c r="G5441" s="113"/>
      <c r="J5441" s="28">
        <f>IFERROR(VLOOKUP(TEXT(B5441,"0"),STOCK!A:H,7,0),1)</f>
        <v>1</v>
      </c>
    </row>
    <row r="5442" spans="7:10" ht="35.450000000000003" hidden="1" customHeight="1">
      <c r="G5442" s="113"/>
      <c r="J5442" s="28">
        <f>IFERROR(VLOOKUP(TEXT(B5442,"0"),STOCK!A:H,7,0),1)</f>
        <v>1</v>
      </c>
    </row>
    <row r="5443" spans="7:10" ht="35.450000000000003" hidden="1" customHeight="1">
      <c r="G5443" s="113"/>
      <c r="J5443" s="28">
        <f>IFERROR(VLOOKUP(TEXT(B5443,"0"),STOCK!A:H,7,0),1)</f>
        <v>1</v>
      </c>
    </row>
    <row r="5444" spans="7:10" ht="35.450000000000003" hidden="1" customHeight="1">
      <c r="G5444" s="113"/>
      <c r="J5444" s="28">
        <f>IFERROR(VLOOKUP(TEXT(B5444,"0"),STOCK!A:H,7,0),1)</f>
        <v>1</v>
      </c>
    </row>
    <row r="5445" spans="7:10" ht="35.450000000000003" hidden="1" customHeight="1">
      <c r="G5445" s="113"/>
      <c r="J5445" s="28">
        <f>IFERROR(VLOOKUP(TEXT(B5445,"0"),STOCK!A:H,7,0),1)</f>
        <v>1</v>
      </c>
    </row>
    <row r="5446" spans="7:10" ht="35.450000000000003" hidden="1" customHeight="1">
      <c r="G5446" s="113"/>
      <c r="J5446" s="28">
        <f>IFERROR(VLOOKUP(TEXT(B5446,"0"),STOCK!A:H,7,0),1)</f>
        <v>1</v>
      </c>
    </row>
    <row r="5447" spans="7:10" ht="35.450000000000003" hidden="1" customHeight="1">
      <c r="G5447" s="113"/>
      <c r="J5447" s="28">
        <f>IFERROR(VLOOKUP(TEXT(B5447,"0"),STOCK!A:H,7,0),1)</f>
        <v>1</v>
      </c>
    </row>
    <row r="5448" spans="7:10" ht="35.450000000000003" hidden="1" customHeight="1">
      <c r="G5448" s="113"/>
      <c r="J5448" s="28">
        <f>IFERROR(VLOOKUP(TEXT(B5448,"0"),STOCK!A:H,7,0),1)</f>
        <v>1</v>
      </c>
    </row>
    <row r="5449" spans="7:10" ht="35.450000000000003" hidden="1" customHeight="1">
      <c r="G5449" s="113"/>
      <c r="J5449" s="28">
        <f>IFERROR(VLOOKUP(TEXT(B5449,"0"),STOCK!A:H,7,0),1)</f>
        <v>1</v>
      </c>
    </row>
    <row r="5450" spans="7:10" ht="35.450000000000003" hidden="1" customHeight="1">
      <c r="G5450" s="113"/>
      <c r="J5450" s="28">
        <f>IFERROR(VLOOKUP(TEXT(B5450,"0"),STOCK!A:H,7,0),1)</f>
        <v>1</v>
      </c>
    </row>
    <row r="5451" spans="7:10" ht="35.450000000000003" hidden="1" customHeight="1">
      <c r="G5451" s="113"/>
      <c r="J5451" s="28">
        <f>IFERROR(VLOOKUP(TEXT(B5451,"0"),STOCK!A:H,7,0),1)</f>
        <v>1</v>
      </c>
    </row>
    <row r="5452" spans="7:10" ht="35.450000000000003" hidden="1" customHeight="1">
      <c r="G5452" s="113"/>
      <c r="J5452" s="28">
        <f>IFERROR(VLOOKUP(TEXT(B5452,"0"),STOCK!A:H,7,0),1)</f>
        <v>1</v>
      </c>
    </row>
    <row r="5453" spans="7:10" ht="35.450000000000003" hidden="1" customHeight="1">
      <c r="G5453" s="113"/>
      <c r="J5453" s="28">
        <f>IFERROR(VLOOKUP(TEXT(B5453,"0"),STOCK!A:H,7,0),1)</f>
        <v>1</v>
      </c>
    </row>
    <row r="5454" spans="7:10" ht="35.450000000000003" hidden="1" customHeight="1">
      <c r="G5454" s="113"/>
      <c r="J5454" s="28">
        <f>IFERROR(VLOOKUP(TEXT(B5454,"0"),STOCK!A:H,7,0),1)</f>
        <v>1</v>
      </c>
    </row>
    <row r="5455" spans="7:10" ht="35.450000000000003" hidden="1" customHeight="1">
      <c r="G5455" s="113"/>
      <c r="J5455" s="28">
        <f>IFERROR(VLOOKUP(TEXT(B5455,"0"),STOCK!A:H,7,0),1)</f>
        <v>1</v>
      </c>
    </row>
    <row r="5456" spans="7:10" ht="35.450000000000003" hidden="1" customHeight="1">
      <c r="G5456" s="113"/>
      <c r="J5456" s="28">
        <f>IFERROR(VLOOKUP(TEXT(B5456,"0"),STOCK!A:H,7,0),1)</f>
        <v>1</v>
      </c>
    </row>
    <row r="5457" spans="7:10" ht="35.450000000000003" hidden="1" customHeight="1">
      <c r="G5457" s="113"/>
      <c r="J5457" s="28">
        <f>IFERROR(VLOOKUP(TEXT(B5457,"0"),STOCK!A:H,7,0),1)</f>
        <v>1</v>
      </c>
    </row>
    <row r="5458" spans="7:10" ht="35.450000000000003" hidden="1" customHeight="1">
      <c r="G5458" s="113"/>
      <c r="J5458" s="28">
        <f>IFERROR(VLOOKUP(TEXT(B5458,"0"),STOCK!A:H,7,0),1)</f>
        <v>1</v>
      </c>
    </row>
    <row r="5459" spans="7:10" ht="35.450000000000003" hidden="1" customHeight="1">
      <c r="G5459" s="113"/>
      <c r="J5459" s="28">
        <f>IFERROR(VLOOKUP(TEXT(B5459,"0"),STOCK!A:H,7,0),1)</f>
        <v>1</v>
      </c>
    </row>
    <row r="5460" spans="7:10" ht="35.450000000000003" hidden="1" customHeight="1">
      <c r="G5460" s="113"/>
      <c r="J5460" s="28">
        <f>IFERROR(VLOOKUP(TEXT(B5460,"0"),STOCK!A:H,7,0),1)</f>
        <v>1</v>
      </c>
    </row>
    <row r="5461" spans="7:10" ht="35.450000000000003" hidden="1" customHeight="1">
      <c r="G5461" s="113"/>
      <c r="J5461" s="28">
        <f>IFERROR(VLOOKUP(TEXT(B5461,"0"),STOCK!A:H,7,0),1)</f>
        <v>1</v>
      </c>
    </row>
    <row r="5462" spans="7:10" ht="35.450000000000003" hidden="1" customHeight="1">
      <c r="G5462" s="113"/>
      <c r="J5462" s="28">
        <f>IFERROR(VLOOKUP(TEXT(B5462,"0"),STOCK!A:H,7,0),1)</f>
        <v>1</v>
      </c>
    </row>
    <row r="5463" spans="7:10" ht="35.450000000000003" hidden="1" customHeight="1">
      <c r="G5463" s="113"/>
      <c r="J5463" s="28">
        <f>IFERROR(VLOOKUP(TEXT(B5463,"0"),STOCK!A:H,7,0),1)</f>
        <v>1</v>
      </c>
    </row>
    <row r="5464" spans="7:10" ht="35.450000000000003" hidden="1" customHeight="1">
      <c r="G5464" s="113"/>
      <c r="J5464" s="28">
        <f>IFERROR(VLOOKUP(TEXT(B5464,"0"),STOCK!A:H,7,0),1)</f>
        <v>1</v>
      </c>
    </row>
    <row r="5465" spans="7:10" ht="35.450000000000003" hidden="1" customHeight="1">
      <c r="G5465" s="113"/>
      <c r="J5465" s="28">
        <f>IFERROR(VLOOKUP(TEXT(B5465,"0"),STOCK!A:H,7,0),1)</f>
        <v>1</v>
      </c>
    </row>
    <row r="5466" spans="7:10" ht="35.450000000000003" hidden="1" customHeight="1">
      <c r="G5466" s="113"/>
      <c r="J5466" s="28">
        <f>IFERROR(VLOOKUP(TEXT(B5466,"0"),STOCK!A:H,7,0),1)</f>
        <v>1</v>
      </c>
    </row>
    <row r="5467" spans="7:10" ht="35.450000000000003" hidden="1" customHeight="1">
      <c r="G5467" s="113"/>
      <c r="J5467" s="28">
        <f>IFERROR(VLOOKUP(TEXT(B5467,"0"),STOCK!A:H,7,0),1)</f>
        <v>1</v>
      </c>
    </row>
    <row r="5468" spans="7:10" ht="35.450000000000003" hidden="1" customHeight="1">
      <c r="G5468" s="113"/>
      <c r="J5468" s="28">
        <f>IFERROR(VLOOKUP(TEXT(B5468,"0"),STOCK!A:H,7,0),1)</f>
        <v>1</v>
      </c>
    </row>
    <row r="5469" spans="7:10" ht="35.450000000000003" hidden="1" customHeight="1">
      <c r="G5469" s="113"/>
      <c r="J5469" s="28">
        <f>IFERROR(VLOOKUP(TEXT(B5469,"0"),STOCK!A:H,7,0),1)</f>
        <v>1</v>
      </c>
    </row>
    <row r="5470" spans="7:10" ht="35.450000000000003" hidden="1" customHeight="1">
      <c r="G5470" s="113"/>
      <c r="J5470" s="28">
        <f>IFERROR(VLOOKUP(TEXT(B5470,"0"),STOCK!A:H,7,0),1)</f>
        <v>1</v>
      </c>
    </row>
    <row r="5471" spans="7:10" ht="35.450000000000003" hidden="1" customHeight="1">
      <c r="G5471" s="113"/>
      <c r="J5471" s="28">
        <f>IFERROR(VLOOKUP(TEXT(B5471,"0"),STOCK!A:H,7,0),1)</f>
        <v>1</v>
      </c>
    </row>
    <row r="5472" spans="7:10" ht="35.450000000000003" hidden="1" customHeight="1">
      <c r="G5472" s="113"/>
      <c r="J5472" s="28">
        <f>IFERROR(VLOOKUP(TEXT(B5472,"0"),STOCK!A:H,7,0),1)</f>
        <v>1</v>
      </c>
    </row>
    <row r="5473" spans="7:10" ht="35.450000000000003" hidden="1" customHeight="1">
      <c r="G5473" s="113"/>
      <c r="J5473" s="28">
        <f>IFERROR(VLOOKUP(TEXT(B5473,"0"),STOCK!A:H,7,0),1)</f>
        <v>1</v>
      </c>
    </row>
    <row r="5474" spans="7:10" ht="35.450000000000003" hidden="1" customHeight="1">
      <c r="G5474" s="113"/>
      <c r="J5474" s="28">
        <f>IFERROR(VLOOKUP(TEXT(B5474,"0"),STOCK!A:H,7,0),1)</f>
        <v>1</v>
      </c>
    </row>
    <row r="5475" spans="7:10" ht="35.450000000000003" hidden="1" customHeight="1">
      <c r="G5475" s="113"/>
      <c r="J5475" s="28">
        <f>IFERROR(VLOOKUP(TEXT(B5475,"0"),STOCK!A:H,7,0),1)</f>
        <v>1</v>
      </c>
    </row>
    <row r="5476" spans="7:10" ht="35.450000000000003" hidden="1" customHeight="1">
      <c r="G5476" s="113"/>
      <c r="J5476" s="28">
        <f>IFERROR(VLOOKUP(TEXT(B5476,"0"),STOCK!A:H,7,0),1)</f>
        <v>1</v>
      </c>
    </row>
    <row r="5477" spans="7:10" ht="35.450000000000003" hidden="1" customHeight="1">
      <c r="G5477" s="113"/>
      <c r="J5477" s="28">
        <f>IFERROR(VLOOKUP(TEXT(B5477,"0"),STOCK!A:H,7,0),1)</f>
        <v>1</v>
      </c>
    </row>
    <row r="5478" spans="7:10" ht="35.450000000000003" hidden="1" customHeight="1">
      <c r="G5478" s="113"/>
      <c r="J5478" s="28">
        <f>IFERROR(VLOOKUP(TEXT(B5478,"0"),STOCK!A:H,7,0),1)</f>
        <v>1</v>
      </c>
    </row>
    <row r="5479" spans="7:10" ht="35.450000000000003" hidden="1" customHeight="1">
      <c r="G5479" s="113"/>
      <c r="J5479" s="28">
        <f>IFERROR(VLOOKUP(TEXT(B5479,"0"),STOCK!A:H,7,0),1)</f>
        <v>1</v>
      </c>
    </row>
    <row r="5480" spans="7:10" ht="35.450000000000003" hidden="1" customHeight="1">
      <c r="G5480" s="113"/>
      <c r="J5480" s="28">
        <f>IFERROR(VLOOKUP(TEXT(B5480,"0"),STOCK!A:H,7,0),1)</f>
        <v>1</v>
      </c>
    </row>
    <row r="5481" spans="7:10" ht="35.450000000000003" hidden="1" customHeight="1">
      <c r="G5481" s="113"/>
      <c r="J5481" s="28">
        <f>IFERROR(VLOOKUP(TEXT(B5481,"0"),STOCK!A:H,7,0),1)</f>
        <v>1</v>
      </c>
    </row>
    <row r="5482" spans="7:10" ht="35.450000000000003" hidden="1" customHeight="1">
      <c r="G5482" s="113"/>
      <c r="J5482" s="28">
        <f>IFERROR(VLOOKUP(TEXT(B5482,"0"),STOCK!A:H,7,0),1)</f>
        <v>1</v>
      </c>
    </row>
    <row r="5483" spans="7:10" ht="35.450000000000003" hidden="1" customHeight="1">
      <c r="G5483" s="113"/>
      <c r="J5483" s="28">
        <f>IFERROR(VLOOKUP(TEXT(B5483,"0"),STOCK!A:H,7,0),1)</f>
        <v>1</v>
      </c>
    </row>
    <row r="5484" spans="7:10" ht="35.450000000000003" hidden="1" customHeight="1">
      <c r="G5484" s="113"/>
      <c r="J5484" s="28">
        <f>IFERROR(VLOOKUP(TEXT(B5484,"0"),STOCK!A:H,7,0),1)</f>
        <v>1</v>
      </c>
    </row>
    <row r="5485" spans="7:10" ht="35.450000000000003" hidden="1" customHeight="1">
      <c r="G5485" s="113"/>
      <c r="J5485" s="28">
        <f>IFERROR(VLOOKUP(TEXT(B5485,"0"),STOCK!A:H,7,0),1)</f>
        <v>1</v>
      </c>
    </row>
    <row r="5486" spans="7:10" ht="35.450000000000003" hidden="1" customHeight="1">
      <c r="G5486" s="113"/>
      <c r="J5486" s="28">
        <f>IFERROR(VLOOKUP(TEXT(B5486,"0"),STOCK!A:H,7,0),1)</f>
        <v>1</v>
      </c>
    </row>
    <row r="5487" spans="7:10" ht="35.450000000000003" hidden="1" customHeight="1">
      <c r="G5487" s="113"/>
      <c r="J5487" s="28">
        <f>IFERROR(VLOOKUP(TEXT(B5487,"0"),STOCK!A:H,7,0),1)</f>
        <v>1</v>
      </c>
    </row>
    <row r="5488" spans="7:10" ht="35.450000000000003" hidden="1" customHeight="1">
      <c r="G5488" s="113"/>
      <c r="J5488" s="28">
        <f>IFERROR(VLOOKUP(TEXT(B5488,"0"),STOCK!A:H,7,0),1)</f>
        <v>1</v>
      </c>
    </row>
    <row r="5489" spans="7:10" ht="35.450000000000003" hidden="1" customHeight="1">
      <c r="G5489" s="113"/>
      <c r="J5489" s="28">
        <f>IFERROR(VLOOKUP(TEXT(B5489,"0"),STOCK!A:H,7,0),1)</f>
        <v>1</v>
      </c>
    </row>
    <row r="5490" spans="7:10" ht="35.450000000000003" hidden="1" customHeight="1">
      <c r="G5490" s="113"/>
      <c r="J5490" s="28">
        <f>IFERROR(VLOOKUP(TEXT(B5490,"0"),STOCK!A:H,7,0),1)</f>
        <v>1</v>
      </c>
    </row>
    <row r="5491" spans="7:10" ht="35.450000000000003" hidden="1" customHeight="1">
      <c r="G5491" s="113"/>
      <c r="J5491" s="28">
        <f>IFERROR(VLOOKUP(TEXT(B5491,"0"),STOCK!A:H,7,0),1)</f>
        <v>1</v>
      </c>
    </row>
    <row r="5492" spans="7:10" ht="35.450000000000003" hidden="1" customHeight="1">
      <c r="G5492" s="113"/>
      <c r="J5492" s="28">
        <f>IFERROR(VLOOKUP(TEXT(B5492,"0"),STOCK!A:H,7,0),1)</f>
        <v>1</v>
      </c>
    </row>
    <row r="5493" spans="7:10" ht="35.450000000000003" hidden="1" customHeight="1">
      <c r="G5493" s="113"/>
      <c r="J5493" s="28">
        <f>IFERROR(VLOOKUP(TEXT(B5493,"0"),STOCK!A:H,7,0),1)</f>
        <v>1</v>
      </c>
    </row>
    <row r="5494" spans="7:10" ht="35.450000000000003" hidden="1" customHeight="1">
      <c r="G5494" s="113"/>
      <c r="J5494" s="28">
        <f>IFERROR(VLOOKUP(TEXT(B5494,"0"),STOCK!A:H,7,0),1)</f>
        <v>1</v>
      </c>
    </row>
    <row r="5495" spans="7:10" ht="35.450000000000003" hidden="1" customHeight="1">
      <c r="G5495" s="113"/>
      <c r="J5495" s="28">
        <f>IFERROR(VLOOKUP(TEXT(B5495,"0"),STOCK!A:H,7,0),1)</f>
        <v>1</v>
      </c>
    </row>
    <row r="5496" spans="7:10" ht="35.450000000000003" hidden="1" customHeight="1">
      <c r="G5496" s="113"/>
      <c r="J5496" s="28">
        <f>IFERROR(VLOOKUP(TEXT(B5496,"0"),STOCK!A:H,7,0),1)</f>
        <v>1</v>
      </c>
    </row>
    <row r="5497" spans="7:10" ht="35.450000000000003" hidden="1" customHeight="1">
      <c r="G5497" s="113"/>
      <c r="J5497" s="28">
        <f>IFERROR(VLOOKUP(TEXT(B5497,"0"),STOCK!A:H,7,0),1)</f>
        <v>1</v>
      </c>
    </row>
    <row r="5498" spans="7:10" ht="35.450000000000003" hidden="1" customHeight="1">
      <c r="G5498" s="113"/>
      <c r="J5498" s="28">
        <f>IFERROR(VLOOKUP(TEXT(B5498,"0"),STOCK!A:H,7,0),1)</f>
        <v>1</v>
      </c>
    </row>
    <row r="5499" spans="7:10" ht="35.450000000000003" hidden="1" customHeight="1">
      <c r="G5499" s="113"/>
      <c r="J5499" s="28">
        <f>IFERROR(VLOOKUP(TEXT(B5499,"0"),STOCK!A:H,7,0),1)</f>
        <v>1</v>
      </c>
    </row>
    <row r="5500" spans="7:10" ht="35.450000000000003" hidden="1" customHeight="1">
      <c r="G5500" s="113"/>
      <c r="J5500" s="28">
        <f>IFERROR(VLOOKUP(TEXT(B5500,"0"),STOCK!A:H,7,0),1)</f>
        <v>1</v>
      </c>
    </row>
    <row r="5501" spans="7:10" ht="35.450000000000003" hidden="1" customHeight="1">
      <c r="G5501" s="113"/>
      <c r="J5501" s="28">
        <f>IFERROR(VLOOKUP(TEXT(B5501,"0"),STOCK!A:H,7,0),1)</f>
        <v>1</v>
      </c>
    </row>
    <row r="5502" spans="7:10" ht="35.450000000000003" hidden="1" customHeight="1">
      <c r="G5502" s="113"/>
      <c r="J5502" s="28">
        <f>IFERROR(VLOOKUP(TEXT(B5502,"0"),STOCK!A:H,7,0),1)</f>
        <v>1</v>
      </c>
    </row>
    <row r="5503" spans="7:10" ht="35.450000000000003" hidden="1" customHeight="1">
      <c r="G5503" s="113"/>
      <c r="J5503" s="28">
        <f>IFERROR(VLOOKUP(TEXT(B5503,"0"),STOCK!A:H,7,0),1)</f>
        <v>1</v>
      </c>
    </row>
    <row r="5504" spans="7:10" ht="35.450000000000003" hidden="1" customHeight="1">
      <c r="G5504" s="113"/>
      <c r="J5504" s="28">
        <f>IFERROR(VLOOKUP(TEXT(B5504,"0"),STOCK!A:H,7,0),1)</f>
        <v>1</v>
      </c>
    </row>
    <row r="5505" spans="7:10" ht="35.450000000000003" hidden="1" customHeight="1">
      <c r="G5505" s="113"/>
      <c r="J5505" s="28">
        <f>IFERROR(VLOOKUP(TEXT(B5505,"0"),STOCK!A:H,7,0),1)</f>
        <v>1</v>
      </c>
    </row>
    <row r="5506" spans="7:10" ht="35.450000000000003" hidden="1" customHeight="1">
      <c r="G5506" s="113"/>
      <c r="J5506" s="28">
        <f>IFERROR(VLOOKUP(TEXT(B5506,"0"),STOCK!A:H,7,0),1)</f>
        <v>1</v>
      </c>
    </row>
    <row r="5507" spans="7:10" ht="35.450000000000003" hidden="1" customHeight="1">
      <c r="G5507" s="113"/>
      <c r="J5507" s="28">
        <f>IFERROR(VLOOKUP(TEXT(B5507,"0"),STOCK!A:H,7,0),1)</f>
        <v>1</v>
      </c>
    </row>
    <row r="5508" spans="7:10" ht="35.450000000000003" hidden="1" customHeight="1">
      <c r="G5508" s="113"/>
      <c r="J5508" s="28">
        <f>IFERROR(VLOOKUP(TEXT(B5508,"0"),STOCK!A:H,7,0),1)</f>
        <v>1</v>
      </c>
    </row>
    <row r="5509" spans="7:10" ht="35.450000000000003" hidden="1" customHeight="1">
      <c r="G5509" s="113"/>
      <c r="J5509" s="28">
        <f>IFERROR(VLOOKUP(TEXT(B5509,"0"),STOCK!A:H,7,0),1)</f>
        <v>1</v>
      </c>
    </row>
    <row r="5510" spans="7:10" ht="35.450000000000003" hidden="1" customHeight="1">
      <c r="G5510" s="113"/>
      <c r="J5510" s="28">
        <f>IFERROR(VLOOKUP(TEXT(B5510,"0"),STOCK!A:H,7,0),1)</f>
        <v>1</v>
      </c>
    </row>
    <row r="5511" spans="7:10" ht="35.450000000000003" hidden="1" customHeight="1">
      <c r="G5511" s="113"/>
      <c r="J5511" s="28">
        <f>IFERROR(VLOOKUP(TEXT(B5511,"0"),STOCK!A:H,7,0),1)</f>
        <v>1</v>
      </c>
    </row>
    <row r="5512" spans="7:10" ht="35.450000000000003" hidden="1" customHeight="1">
      <c r="G5512" s="113"/>
      <c r="J5512" s="28">
        <f>IFERROR(VLOOKUP(TEXT(B5512,"0"),STOCK!A:H,7,0),1)</f>
        <v>1</v>
      </c>
    </row>
    <row r="5513" spans="7:10" ht="35.450000000000003" hidden="1" customHeight="1">
      <c r="G5513" s="113"/>
      <c r="J5513" s="28">
        <f>IFERROR(VLOOKUP(TEXT(B5513,"0"),STOCK!A:H,7,0),1)</f>
        <v>1</v>
      </c>
    </row>
    <row r="5514" spans="7:10" ht="35.450000000000003" hidden="1" customHeight="1">
      <c r="G5514" s="113"/>
      <c r="J5514" s="28">
        <f>IFERROR(VLOOKUP(TEXT(B5514,"0"),STOCK!A:H,7,0),1)</f>
        <v>1</v>
      </c>
    </row>
    <row r="5515" spans="7:10" ht="35.450000000000003" hidden="1" customHeight="1">
      <c r="G5515" s="113"/>
      <c r="J5515" s="28">
        <f>IFERROR(VLOOKUP(TEXT(B5515,"0"),STOCK!A:H,7,0),1)</f>
        <v>1</v>
      </c>
    </row>
    <row r="5516" spans="7:10" ht="35.450000000000003" hidden="1" customHeight="1">
      <c r="G5516" s="113"/>
      <c r="J5516" s="28">
        <f>IFERROR(VLOOKUP(TEXT(B5516,"0"),STOCK!A:H,7,0),1)</f>
        <v>1</v>
      </c>
    </row>
    <row r="5517" spans="7:10" ht="35.450000000000003" hidden="1" customHeight="1">
      <c r="G5517" s="113"/>
      <c r="J5517" s="28">
        <f>IFERROR(VLOOKUP(TEXT(B5517,"0"),STOCK!A:H,7,0),1)</f>
        <v>1</v>
      </c>
    </row>
    <row r="5518" spans="7:10" ht="35.450000000000003" hidden="1" customHeight="1">
      <c r="G5518" s="113"/>
      <c r="J5518" s="28">
        <f>IFERROR(VLOOKUP(TEXT(B5518,"0"),STOCK!A:H,7,0),1)</f>
        <v>1</v>
      </c>
    </row>
    <row r="5519" spans="7:10" ht="35.450000000000003" hidden="1" customHeight="1">
      <c r="G5519" s="113"/>
      <c r="J5519" s="28">
        <f>IFERROR(VLOOKUP(TEXT(B5519,"0"),STOCK!A:H,7,0),1)</f>
        <v>1</v>
      </c>
    </row>
    <row r="5520" spans="7:10" ht="35.450000000000003" hidden="1" customHeight="1">
      <c r="G5520" s="113"/>
      <c r="J5520" s="28">
        <f>IFERROR(VLOOKUP(TEXT(B5520,"0"),STOCK!A:H,7,0),1)</f>
        <v>1</v>
      </c>
    </row>
    <row r="5521" spans="7:10" ht="35.450000000000003" hidden="1" customHeight="1">
      <c r="G5521" s="113"/>
      <c r="J5521" s="28">
        <f>IFERROR(VLOOKUP(TEXT(B5521,"0"),STOCK!A:H,7,0),1)</f>
        <v>1</v>
      </c>
    </row>
    <row r="5522" spans="7:10" ht="35.450000000000003" hidden="1" customHeight="1">
      <c r="G5522" s="113"/>
      <c r="J5522" s="28">
        <f>IFERROR(VLOOKUP(TEXT(B5522,"0"),STOCK!A:H,7,0),1)</f>
        <v>1</v>
      </c>
    </row>
    <row r="5523" spans="7:10" ht="35.450000000000003" hidden="1" customHeight="1">
      <c r="G5523" s="113"/>
      <c r="J5523" s="28">
        <f>IFERROR(VLOOKUP(TEXT(B5523,"0"),STOCK!A:H,7,0),1)</f>
        <v>1</v>
      </c>
    </row>
    <row r="5524" spans="7:10" ht="35.450000000000003" hidden="1" customHeight="1">
      <c r="G5524" s="113"/>
      <c r="J5524" s="28">
        <f>IFERROR(VLOOKUP(TEXT(B5524,"0"),STOCK!A:H,7,0),1)</f>
        <v>1</v>
      </c>
    </row>
    <row r="5525" spans="7:10" ht="35.450000000000003" hidden="1" customHeight="1">
      <c r="G5525" s="113"/>
      <c r="J5525" s="28">
        <f>IFERROR(VLOOKUP(TEXT(B5525,"0"),STOCK!A:H,7,0),1)</f>
        <v>1</v>
      </c>
    </row>
    <row r="5526" spans="7:10" ht="35.450000000000003" hidden="1" customHeight="1">
      <c r="G5526" s="113"/>
      <c r="J5526" s="28">
        <f>IFERROR(VLOOKUP(TEXT(B5526,"0"),STOCK!A:H,7,0),1)</f>
        <v>1</v>
      </c>
    </row>
    <row r="5527" spans="7:10" ht="35.450000000000003" hidden="1" customHeight="1">
      <c r="G5527" s="113"/>
      <c r="J5527" s="28">
        <f>IFERROR(VLOOKUP(TEXT(B5527,"0"),STOCK!A:H,7,0),1)</f>
        <v>1</v>
      </c>
    </row>
    <row r="5528" spans="7:10" ht="35.450000000000003" hidden="1" customHeight="1">
      <c r="G5528" s="113"/>
      <c r="J5528" s="28">
        <f>IFERROR(VLOOKUP(TEXT(B5528,"0"),STOCK!A:H,7,0),1)</f>
        <v>1</v>
      </c>
    </row>
    <row r="5529" spans="7:10" ht="35.450000000000003" hidden="1" customHeight="1">
      <c r="G5529" s="113"/>
      <c r="J5529" s="28">
        <f>IFERROR(VLOOKUP(TEXT(B5529,"0"),STOCK!A:H,7,0),1)</f>
        <v>1</v>
      </c>
    </row>
    <row r="5530" spans="7:10" ht="35.450000000000003" hidden="1" customHeight="1">
      <c r="G5530" s="113"/>
      <c r="J5530" s="28">
        <f>IFERROR(VLOOKUP(TEXT(B5530,"0"),STOCK!A:H,7,0),1)</f>
        <v>1</v>
      </c>
    </row>
    <row r="5531" spans="7:10" ht="35.450000000000003" hidden="1" customHeight="1">
      <c r="G5531" s="113"/>
      <c r="J5531" s="28">
        <f>IFERROR(VLOOKUP(TEXT(B5531,"0"),STOCK!A:H,7,0),1)</f>
        <v>1</v>
      </c>
    </row>
    <row r="5532" spans="7:10" ht="35.450000000000003" hidden="1" customHeight="1">
      <c r="G5532" s="113"/>
      <c r="J5532" s="28">
        <f>IFERROR(VLOOKUP(TEXT(B5532,"0"),STOCK!A:H,7,0),1)</f>
        <v>1</v>
      </c>
    </row>
    <row r="5533" spans="7:10" ht="35.450000000000003" hidden="1" customHeight="1">
      <c r="G5533" s="113"/>
      <c r="J5533" s="28">
        <f>IFERROR(VLOOKUP(TEXT(B5533,"0"),STOCK!A:H,7,0),1)</f>
        <v>1</v>
      </c>
    </row>
    <row r="5534" spans="7:10" ht="35.450000000000003" hidden="1" customHeight="1">
      <c r="G5534" s="113"/>
      <c r="J5534" s="28">
        <f>IFERROR(VLOOKUP(TEXT(B5534,"0"),STOCK!A:H,7,0),1)</f>
        <v>1</v>
      </c>
    </row>
    <row r="5535" spans="7:10" ht="35.450000000000003" hidden="1" customHeight="1">
      <c r="G5535" s="113"/>
      <c r="J5535" s="28">
        <f>IFERROR(VLOOKUP(TEXT(B5535,"0"),STOCK!A:H,7,0),1)</f>
        <v>1</v>
      </c>
    </row>
    <row r="5536" spans="7:10" ht="35.450000000000003" hidden="1" customHeight="1">
      <c r="G5536" s="113"/>
      <c r="J5536" s="28">
        <f>IFERROR(VLOOKUP(TEXT(B5536,"0"),STOCK!A:H,7,0),1)</f>
        <v>1</v>
      </c>
    </row>
    <row r="5537" spans="7:10" ht="35.450000000000003" hidden="1" customHeight="1">
      <c r="G5537" s="113"/>
      <c r="J5537" s="28">
        <f>IFERROR(VLOOKUP(TEXT(B5537,"0"),STOCK!A:H,7,0),1)</f>
        <v>1</v>
      </c>
    </row>
    <row r="5538" spans="7:10" ht="35.450000000000003" hidden="1" customHeight="1">
      <c r="G5538" s="113"/>
      <c r="J5538" s="28">
        <f>IFERROR(VLOOKUP(TEXT(B5538,"0"),STOCK!A:H,7,0),1)</f>
        <v>1</v>
      </c>
    </row>
    <row r="5539" spans="7:10" ht="35.450000000000003" hidden="1" customHeight="1">
      <c r="G5539" s="113"/>
      <c r="J5539" s="28">
        <f>IFERROR(VLOOKUP(TEXT(B5539,"0"),STOCK!A:H,7,0),1)</f>
        <v>1</v>
      </c>
    </row>
    <row r="5540" spans="7:10" ht="35.450000000000003" hidden="1" customHeight="1">
      <c r="G5540" s="113"/>
      <c r="J5540" s="28">
        <f>IFERROR(VLOOKUP(TEXT(B5540,"0"),STOCK!A:H,7,0),1)</f>
        <v>1</v>
      </c>
    </row>
    <row r="5541" spans="7:10" ht="35.450000000000003" hidden="1" customHeight="1">
      <c r="G5541" s="113"/>
      <c r="J5541" s="28">
        <f>IFERROR(VLOOKUP(TEXT(B5541,"0"),STOCK!A:H,7,0),1)</f>
        <v>1</v>
      </c>
    </row>
    <row r="5542" spans="7:10" ht="35.450000000000003" hidden="1" customHeight="1">
      <c r="G5542" s="113"/>
      <c r="J5542" s="28">
        <f>IFERROR(VLOOKUP(TEXT(B5542,"0"),STOCK!A:H,7,0),1)</f>
        <v>1</v>
      </c>
    </row>
    <row r="5543" spans="7:10" ht="35.450000000000003" hidden="1" customHeight="1">
      <c r="G5543" s="113"/>
      <c r="J5543" s="28">
        <f>IFERROR(VLOOKUP(TEXT(B5543,"0"),STOCK!A:H,7,0),1)</f>
        <v>1</v>
      </c>
    </row>
    <row r="5544" spans="7:10" ht="35.450000000000003" hidden="1" customHeight="1">
      <c r="G5544" s="113"/>
      <c r="J5544" s="28">
        <f>IFERROR(VLOOKUP(TEXT(B5544,"0"),STOCK!A:H,7,0),1)</f>
        <v>1</v>
      </c>
    </row>
    <row r="5545" spans="7:10" ht="35.450000000000003" hidden="1" customHeight="1">
      <c r="G5545" s="113"/>
      <c r="J5545" s="28">
        <f>IFERROR(VLOOKUP(TEXT(B5545,"0"),STOCK!A:H,7,0),1)</f>
        <v>1</v>
      </c>
    </row>
    <row r="5546" spans="7:10" ht="35.450000000000003" hidden="1" customHeight="1">
      <c r="G5546" s="113"/>
      <c r="J5546" s="28">
        <f>IFERROR(VLOOKUP(TEXT(B5546,"0"),STOCK!A:H,7,0),1)</f>
        <v>1</v>
      </c>
    </row>
    <row r="5547" spans="7:10" ht="35.450000000000003" hidden="1" customHeight="1">
      <c r="G5547" s="113"/>
      <c r="J5547" s="28">
        <f>IFERROR(VLOOKUP(TEXT(B5547,"0"),STOCK!A:H,7,0),1)</f>
        <v>1</v>
      </c>
    </row>
    <row r="5548" spans="7:10" ht="35.450000000000003" hidden="1" customHeight="1">
      <c r="G5548" s="113"/>
      <c r="J5548" s="28">
        <f>IFERROR(VLOOKUP(TEXT(B5548,"0"),STOCK!A:H,7,0),1)</f>
        <v>1</v>
      </c>
    </row>
    <row r="5549" spans="7:10" ht="35.450000000000003" hidden="1" customHeight="1">
      <c r="G5549" s="113"/>
      <c r="J5549" s="28">
        <f>IFERROR(VLOOKUP(TEXT(B5549,"0"),STOCK!A:H,7,0),1)</f>
        <v>1</v>
      </c>
    </row>
    <row r="5550" spans="7:10" ht="35.450000000000003" hidden="1" customHeight="1">
      <c r="G5550" s="113"/>
      <c r="J5550" s="28">
        <f>IFERROR(VLOOKUP(TEXT(B5550,"0"),STOCK!A:H,7,0),1)</f>
        <v>1</v>
      </c>
    </row>
    <row r="5551" spans="7:10" ht="35.450000000000003" hidden="1" customHeight="1">
      <c r="G5551" s="113"/>
      <c r="J5551" s="28">
        <f>IFERROR(VLOOKUP(TEXT(B5551,"0"),STOCK!A:H,7,0),1)</f>
        <v>1</v>
      </c>
    </row>
    <row r="5552" spans="7:10" ht="35.450000000000003" hidden="1" customHeight="1">
      <c r="G5552" s="113"/>
      <c r="J5552" s="28">
        <f>IFERROR(VLOOKUP(TEXT(B5552,"0"),STOCK!A:H,7,0),1)</f>
        <v>1</v>
      </c>
    </row>
    <row r="5553" spans="7:10" ht="35.450000000000003" hidden="1" customHeight="1">
      <c r="G5553" s="113"/>
      <c r="J5553" s="28">
        <f>IFERROR(VLOOKUP(TEXT(B5553,"0"),STOCK!A:H,7,0),1)</f>
        <v>1</v>
      </c>
    </row>
    <row r="5554" spans="7:10" ht="35.450000000000003" hidden="1" customHeight="1">
      <c r="G5554" s="113"/>
      <c r="J5554" s="28">
        <f>IFERROR(VLOOKUP(TEXT(B5554,"0"),STOCK!A:H,7,0),1)</f>
        <v>1</v>
      </c>
    </row>
    <row r="5555" spans="7:10" ht="35.450000000000003" hidden="1" customHeight="1">
      <c r="G5555" s="113"/>
      <c r="J5555" s="28">
        <f>IFERROR(VLOOKUP(TEXT(B5555,"0"),STOCK!A:H,7,0),1)</f>
        <v>1</v>
      </c>
    </row>
    <row r="5556" spans="7:10" ht="35.450000000000003" hidden="1" customHeight="1">
      <c r="G5556" s="113"/>
      <c r="J5556" s="28">
        <f>IFERROR(VLOOKUP(TEXT(B5556,"0"),STOCK!A:H,7,0),1)</f>
        <v>1</v>
      </c>
    </row>
    <row r="5557" spans="7:10" ht="35.450000000000003" hidden="1" customHeight="1">
      <c r="G5557" s="113"/>
      <c r="J5557" s="28">
        <f>IFERROR(VLOOKUP(TEXT(B5557,"0"),STOCK!A:H,7,0),1)</f>
        <v>1</v>
      </c>
    </row>
    <row r="5558" spans="7:10" ht="35.450000000000003" hidden="1" customHeight="1">
      <c r="G5558" s="113"/>
      <c r="J5558" s="28">
        <f>IFERROR(VLOOKUP(TEXT(B5558,"0"),STOCK!A:H,7,0),1)</f>
        <v>1</v>
      </c>
    </row>
    <row r="5559" spans="7:10" ht="35.450000000000003" hidden="1" customHeight="1">
      <c r="G5559" s="113"/>
      <c r="J5559" s="28">
        <f>IFERROR(VLOOKUP(TEXT(B5559,"0"),STOCK!A:H,7,0),1)</f>
        <v>1</v>
      </c>
    </row>
    <row r="5560" spans="7:10" ht="35.450000000000003" hidden="1" customHeight="1">
      <c r="G5560" s="113"/>
      <c r="J5560" s="28">
        <f>IFERROR(VLOOKUP(TEXT(B5560,"0"),STOCK!A:H,7,0),1)</f>
        <v>1</v>
      </c>
    </row>
    <row r="5561" spans="7:10" ht="35.450000000000003" hidden="1" customHeight="1">
      <c r="G5561" s="113"/>
      <c r="J5561" s="28">
        <f>IFERROR(VLOOKUP(TEXT(B5561,"0"),STOCK!A:H,7,0),1)</f>
        <v>1</v>
      </c>
    </row>
    <row r="5562" spans="7:10" ht="35.450000000000003" hidden="1" customHeight="1">
      <c r="G5562" s="113"/>
      <c r="J5562" s="28">
        <f>IFERROR(VLOOKUP(TEXT(B5562,"0"),STOCK!A:H,7,0),1)</f>
        <v>1</v>
      </c>
    </row>
    <row r="5563" spans="7:10" ht="35.450000000000003" hidden="1" customHeight="1">
      <c r="G5563" s="113"/>
      <c r="J5563" s="28">
        <f>IFERROR(VLOOKUP(TEXT(B5563,"0"),STOCK!A:H,7,0),1)</f>
        <v>1</v>
      </c>
    </row>
    <row r="5564" spans="7:10" ht="35.450000000000003" hidden="1" customHeight="1">
      <c r="G5564" s="113"/>
      <c r="J5564" s="28">
        <f>IFERROR(VLOOKUP(TEXT(B5564,"0"),STOCK!A:H,7,0),1)</f>
        <v>1</v>
      </c>
    </row>
    <row r="5565" spans="7:10" ht="35.450000000000003" hidden="1" customHeight="1">
      <c r="G5565" s="113"/>
      <c r="J5565" s="28">
        <f>IFERROR(VLOOKUP(TEXT(B5565,"0"),STOCK!A:H,7,0),1)</f>
        <v>1</v>
      </c>
    </row>
    <row r="5566" spans="7:10" ht="35.450000000000003" hidden="1" customHeight="1">
      <c r="G5566" s="113"/>
      <c r="J5566" s="28">
        <f>IFERROR(VLOOKUP(TEXT(B5566,"0"),STOCK!A:H,7,0),1)</f>
        <v>1</v>
      </c>
    </row>
    <row r="5567" spans="7:10" ht="35.450000000000003" hidden="1" customHeight="1">
      <c r="G5567" s="113"/>
      <c r="J5567" s="28">
        <f>IFERROR(VLOOKUP(TEXT(B5567,"0"),STOCK!A:H,7,0),1)</f>
        <v>1</v>
      </c>
    </row>
    <row r="5568" spans="7:10" ht="35.450000000000003" hidden="1" customHeight="1">
      <c r="G5568" s="113"/>
      <c r="J5568" s="28">
        <f>IFERROR(VLOOKUP(TEXT(B5568,"0"),STOCK!A:H,7,0),1)</f>
        <v>1</v>
      </c>
    </row>
    <row r="5569" spans="7:10" ht="35.450000000000003" hidden="1" customHeight="1">
      <c r="G5569" s="113"/>
      <c r="J5569" s="28">
        <f>IFERROR(VLOOKUP(TEXT(B5569,"0"),STOCK!A:H,7,0),1)</f>
        <v>1</v>
      </c>
    </row>
    <row r="5570" spans="7:10" ht="35.450000000000003" hidden="1" customHeight="1">
      <c r="G5570" s="113"/>
      <c r="J5570" s="28">
        <f>IFERROR(VLOOKUP(TEXT(B5570,"0"),STOCK!A:H,7,0),1)</f>
        <v>1</v>
      </c>
    </row>
    <row r="5571" spans="7:10" ht="35.450000000000003" hidden="1" customHeight="1">
      <c r="G5571" s="113"/>
      <c r="J5571" s="28">
        <f>IFERROR(VLOOKUP(TEXT(B5571,"0"),STOCK!A:H,7,0),1)</f>
        <v>1</v>
      </c>
    </row>
    <row r="5572" spans="7:10" ht="35.450000000000003" hidden="1" customHeight="1">
      <c r="G5572" s="113"/>
      <c r="J5572" s="28">
        <f>IFERROR(VLOOKUP(TEXT(B5572,"0"),STOCK!A:H,7,0),1)</f>
        <v>1</v>
      </c>
    </row>
    <row r="5573" spans="7:10" ht="35.450000000000003" hidden="1" customHeight="1">
      <c r="G5573" s="113"/>
      <c r="J5573" s="28">
        <f>IFERROR(VLOOKUP(TEXT(B5573,"0"),STOCK!A:H,7,0),1)</f>
        <v>1</v>
      </c>
    </row>
    <row r="5574" spans="7:10" ht="35.450000000000003" hidden="1" customHeight="1">
      <c r="G5574" s="113"/>
      <c r="J5574" s="28">
        <f>IFERROR(VLOOKUP(TEXT(B5574,"0"),STOCK!A:H,7,0),1)</f>
        <v>1</v>
      </c>
    </row>
    <row r="5575" spans="7:10" ht="35.450000000000003" hidden="1" customHeight="1">
      <c r="G5575" s="113"/>
      <c r="J5575" s="28">
        <f>IFERROR(VLOOKUP(TEXT(B5575,"0"),STOCK!A:H,7,0),1)</f>
        <v>1</v>
      </c>
    </row>
    <row r="5576" spans="7:10" ht="35.450000000000003" hidden="1" customHeight="1">
      <c r="G5576" s="113"/>
      <c r="J5576" s="28">
        <f>IFERROR(VLOOKUP(TEXT(B5576,"0"),STOCK!A:H,7,0),1)</f>
        <v>1</v>
      </c>
    </row>
    <row r="5577" spans="7:10" ht="35.450000000000003" hidden="1" customHeight="1">
      <c r="G5577" s="113"/>
      <c r="J5577" s="28">
        <f>IFERROR(VLOOKUP(TEXT(B5577,"0"),STOCK!A:H,7,0),1)</f>
        <v>1</v>
      </c>
    </row>
    <row r="5578" spans="7:10" ht="35.450000000000003" hidden="1" customHeight="1">
      <c r="G5578" s="113"/>
      <c r="J5578" s="28">
        <f>IFERROR(VLOOKUP(TEXT(B5578,"0"),STOCK!A:H,7,0),1)</f>
        <v>1</v>
      </c>
    </row>
    <row r="5579" spans="7:10" ht="35.450000000000003" hidden="1" customHeight="1">
      <c r="G5579" s="113"/>
      <c r="J5579" s="28">
        <f>IFERROR(VLOOKUP(TEXT(B5579,"0"),STOCK!A:H,7,0),1)</f>
        <v>1</v>
      </c>
    </row>
    <row r="5580" spans="7:10" ht="35.450000000000003" hidden="1" customHeight="1">
      <c r="G5580" s="113"/>
      <c r="J5580" s="28">
        <f>IFERROR(VLOOKUP(TEXT(B5580,"0"),STOCK!A:H,7,0),1)</f>
        <v>1</v>
      </c>
    </row>
    <row r="5581" spans="7:10" ht="35.450000000000003" hidden="1" customHeight="1">
      <c r="G5581" s="113"/>
      <c r="J5581" s="28">
        <f>IFERROR(VLOOKUP(TEXT(B5581,"0"),STOCK!A:H,7,0),1)</f>
        <v>1</v>
      </c>
    </row>
    <row r="5582" spans="7:10" ht="35.450000000000003" hidden="1" customHeight="1">
      <c r="G5582" s="113"/>
      <c r="J5582" s="28">
        <f>IFERROR(VLOOKUP(TEXT(B5582,"0"),STOCK!A:H,7,0),1)</f>
        <v>1</v>
      </c>
    </row>
    <row r="5583" spans="7:10" ht="35.450000000000003" hidden="1" customHeight="1">
      <c r="G5583" s="113"/>
      <c r="J5583" s="28">
        <f>IFERROR(VLOOKUP(TEXT(B5583,"0"),STOCK!A:H,7,0),1)</f>
        <v>1</v>
      </c>
    </row>
    <row r="5584" spans="7:10" ht="35.450000000000003" hidden="1" customHeight="1">
      <c r="G5584" s="113"/>
      <c r="J5584" s="28">
        <f>IFERROR(VLOOKUP(TEXT(B5584,"0"),STOCK!A:H,7,0),1)</f>
        <v>1</v>
      </c>
    </row>
    <row r="5585" spans="7:10" ht="35.450000000000003" hidden="1" customHeight="1">
      <c r="G5585" s="113"/>
      <c r="J5585" s="28">
        <f>IFERROR(VLOOKUP(TEXT(B5585,"0"),STOCK!A:H,7,0),1)</f>
        <v>1</v>
      </c>
    </row>
    <row r="5586" spans="7:10" ht="35.450000000000003" hidden="1" customHeight="1">
      <c r="G5586" s="113"/>
      <c r="J5586" s="28">
        <f>IFERROR(VLOOKUP(TEXT(B5586,"0"),STOCK!A:H,7,0),1)</f>
        <v>1</v>
      </c>
    </row>
    <row r="5587" spans="7:10" ht="35.450000000000003" hidden="1" customHeight="1">
      <c r="G5587" s="113"/>
      <c r="J5587" s="28">
        <f>IFERROR(VLOOKUP(TEXT(B5587,"0"),STOCK!A:H,7,0),1)</f>
        <v>1</v>
      </c>
    </row>
    <row r="5588" spans="7:10" ht="35.450000000000003" hidden="1" customHeight="1">
      <c r="G5588" s="113"/>
      <c r="J5588" s="28">
        <f>IFERROR(VLOOKUP(TEXT(B5588,"0"),STOCK!A:H,7,0),1)</f>
        <v>1</v>
      </c>
    </row>
    <row r="5589" spans="7:10" ht="35.450000000000003" hidden="1" customHeight="1">
      <c r="G5589" s="113"/>
      <c r="J5589" s="28">
        <f>IFERROR(VLOOKUP(TEXT(B5589,"0"),STOCK!A:H,7,0),1)</f>
        <v>1</v>
      </c>
    </row>
    <row r="5590" spans="7:10" ht="35.450000000000003" hidden="1" customHeight="1">
      <c r="G5590" s="113"/>
      <c r="J5590" s="28">
        <f>IFERROR(VLOOKUP(TEXT(B5590,"0"),STOCK!A:H,7,0),1)</f>
        <v>1</v>
      </c>
    </row>
    <row r="5591" spans="7:10" ht="35.450000000000003" hidden="1" customHeight="1">
      <c r="G5591" s="113"/>
      <c r="J5591" s="28">
        <f>IFERROR(VLOOKUP(TEXT(B5591,"0"),STOCK!A:H,7,0),1)</f>
        <v>1</v>
      </c>
    </row>
    <row r="5592" spans="7:10" ht="35.450000000000003" hidden="1" customHeight="1">
      <c r="G5592" s="113"/>
      <c r="J5592" s="28">
        <f>IFERROR(VLOOKUP(TEXT(B5592,"0"),STOCK!A:H,7,0),1)</f>
        <v>1</v>
      </c>
    </row>
    <row r="5593" spans="7:10" ht="35.450000000000003" hidden="1" customHeight="1">
      <c r="G5593" s="113"/>
      <c r="J5593" s="28">
        <f>IFERROR(VLOOKUP(TEXT(B5593,"0"),STOCK!A:H,7,0),1)</f>
        <v>1</v>
      </c>
    </row>
    <row r="5594" spans="7:10" ht="35.450000000000003" hidden="1" customHeight="1">
      <c r="G5594" s="113"/>
      <c r="J5594" s="28">
        <f>IFERROR(VLOOKUP(TEXT(B5594,"0"),STOCK!A:H,7,0),1)</f>
        <v>1</v>
      </c>
    </row>
    <row r="5595" spans="7:10" ht="35.450000000000003" hidden="1" customHeight="1">
      <c r="G5595" s="113"/>
      <c r="J5595" s="28">
        <f>IFERROR(VLOOKUP(TEXT(B5595,"0"),STOCK!A:H,7,0),1)</f>
        <v>1</v>
      </c>
    </row>
    <row r="5596" spans="7:10" ht="35.450000000000003" hidden="1" customHeight="1">
      <c r="G5596" s="113"/>
      <c r="J5596" s="28">
        <f>IFERROR(VLOOKUP(TEXT(B5596,"0"),STOCK!A:H,7,0),1)</f>
        <v>1</v>
      </c>
    </row>
    <row r="5597" spans="7:10" ht="35.450000000000003" hidden="1" customHeight="1">
      <c r="G5597" s="113"/>
      <c r="J5597" s="28">
        <f>IFERROR(VLOOKUP(TEXT(B5597,"0"),STOCK!A:H,7,0),1)</f>
        <v>1</v>
      </c>
    </row>
    <row r="5598" spans="7:10" ht="35.450000000000003" hidden="1" customHeight="1">
      <c r="G5598" s="113"/>
      <c r="J5598" s="28">
        <f>IFERROR(VLOOKUP(TEXT(B5598,"0"),STOCK!A:H,7,0),1)</f>
        <v>1</v>
      </c>
    </row>
    <row r="5599" spans="7:10" ht="35.450000000000003" hidden="1" customHeight="1">
      <c r="G5599" s="113"/>
      <c r="J5599" s="28">
        <f>IFERROR(VLOOKUP(TEXT(B5599,"0"),STOCK!A:H,7,0),1)</f>
        <v>1</v>
      </c>
    </row>
    <row r="5600" spans="7:10" ht="35.450000000000003" hidden="1" customHeight="1">
      <c r="G5600" s="113"/>
      <c r="J5600" s="28">
        <f>IFERROR(VLOOKUP(TEXT(B5600,"0"),STOCK!A:H,7,0),1)</f>
        <v>1</v>
      </c>
    </row>
    <row r="5601" spans="7:10" ht="35.450000000000003" hidden="1" customHeight="1">
      <c r="G5601" s="113"/>
      <c r="J5601" s="28">
        <f>IFERROR(VLOOKUP(TEXT(B5601,"0"),STOCK!A:H,7,0),1)</f>
        <v>1</v>
      </c>
    </row>
    <row r="5602" spans="7:10" ht="35.450000000000003" hidden="1" customHeight="1">
      <c r="G5602" s="113"/>
      <c r="J5602" s="28">
        <f>IFERROR(VLOOKUP(TEXT(B5602,"0"),STOCK!A:H,7,0),1)</f>
        <v>1</v>
      </c>
    </row>
    <row r="5603" spans="7:10" ht="35.450000000000003" hidden="1" customHeight="1">
      <c r="G5603" s="113"/>
      <c r="J5603" s="28">
        <f>IFERROR(VLOOKUP(TEXT(B5603,"0"),STOCK!A:H,7,0),1)</f>
        <v>1</v>
      </c>
    </row>
    <row r="5604" spans="7:10" ht="35.450000000000003" hidden="1" customHeight="1">
      <c r="G5604" s="113"/>
      <c r="J5604" s="28">
        <f>IFERROR(VLOOKUP(TEXT(B5604,"0"),STOCK!A:H,7,0),1)</f>
        <v>1</v>
      </c>
    </row>
    <row r="5605" spans="7:10" ht="35.450000000000003" hidden="1" customHeight="1">
      <c r="G5605" s="113"/>
      <c r="J5605" s="28">
        <f>IFERROR(VLOOKUP(TEXT(B5605,"0"),STOCK!A:H,7,0),1)</f>
        <v>1</v>
      </c>
    </row>
    <row r="5606" spans="7:10" ht="35.450000000000003" hidden="1" customHeight="1">
      <c r="G5606" s="113"/>
      <c r="J5606" s="28">
        <f>IFERROR(VLOOKUP(TEXT(B5606,"0"),STOCK!A:H,7,0),1)</f>
        <v>1</v>
      </c>
    </row>
    <row r="5607" spans="7:10" ht="35.450000000000003" hidden="1" customHeight="1">
      <c r="G5607" s="113"/>
      <c r="J5607" s="28">
        <f>IFERROR(VLOOKUP(TEXT(B5607,"0"),STOCK!A:H,7,0),1)</f>
        <v>1</v>
      </c>
    </row>
    <row r="5608" spans="7:10" ht="35.450000000000003" hidden="1" customHeight="1">
      <c r="G5608" s="113"/>
      <c r="J5608" s="28">
        <f>IFERROR(VLOOKUP(TEXT(B5608,"0"),STOCK!A:H,7,0),1)</f>
        <v>1</v>
      </c>
    </row>
    <row r="5609" spans="7:10" ht="35.450000000000003" hidden="1" customHeight="1">
      <c r="G5609" s="113"/>
      <c r="J5609" s="28">
        <f>IFERROR(VLOOKUP(TEXT(B5609,"0"),STOCK!A:H,7,0),1)</f>
        <v>1</v>
      </c>
    </row>
    <row r="5610" spans="7:10" ht="35.450000000000003" hidden="1" customHeight="1">
      <c r="G5610" s="113"/>
      <c r="J5610" s="28">
        <f>IFERROR(VLOOKUP(TEXT(B5610,"0"),STOCK!A:H,7,0),1)</f>
        <v>1</v>
      </c>
    </row>
    <row r="5611" spans="7:10" ht="35.450000000000003" hidden="1" customHeight="1">
      <c r="G5611" s="113"/>
      <c r="J5611" s="28">
        <f>IFERROR(VLOOKUP(TEXT(B5611,"0"),STOCK!A:H,7,0),1)</f>
        <v>1</v>
      </c>
    </row>
    <row r="5612" spans="7:10" ht="35.450000000000003" hidden="1" customHeight="1">
      <c r="G5612" s="113"/>
      <c r="J5612" s="28">
        <f>IFERROR(VLOOKUP(TEXT(B5612,"0"),STOCK!A:H,7,0),1)</f>
        <v>1</v>
      </c>
    </row>
    <row r="5613" spans="7:10" ht="35.450000000000003" hidden="1" customHeight="1">
      <c r="G5613" s="113"/>
      <c r="J5613" s="28">
        <f>IFERROR(VLOOKUP(TEXT(B5613,"0"),STOCK!A:H,7,0),1)</f>
        <v>1</v>
      </c>
    </row>
    <row r="5614" spans="7:10" ht="35.450000000000003" hidden="1" customHeight="1">
      <c r="G5614" s="113"/>
      <c r="J5614" s="28">
        <f>IFERROR(VLOOKUP(TEXT(B5614,"0"),STOCK!A:H,7,0),1)</f>
        <v>1</v>
      </c>
    </row>
    <row r="5615" spans="7:10" ht="35.450000000000003" hidden="1" customHeight="1">
      <c r="G5615" s="113"/>
      <c r="J5615" s="28">
        <f>IFERROR(VLOOKUP(TEXT(B5615,"0"),STOCK!A:H,7,0),1)</f>
        <v>1</v>
      </c>
    </row>
    <row r="5616" spans="7:10" ht="35.450000000000003" hidden="1" customHeight="1">
      <c r="G5616" s="113"/>
      <c r="J5616" s="28">
        <f>IFERROR(VLOOKUP(TEXT(B5616,"0"),STOCK!A:H,7,0),1)</f>
        <v>1</v>
      </c>
    </row>
    <row r="5617" spans="7:10" ht="35.450000000000003" hidden="1" customHeight="1">
      <c r="G5617" s="113"/>
      <c r="J5617" s="28">
        <f>IFERROR(VLOOKUP(TEXT(B5617,"0"),STOCK!A:H,7,0),1)</f>
        <v>1</v>
      </c>
    </row>
    <row r="5618" spans="7:10" ht="35.450000000000003" hidden="1" customHeight="1">
      <c r="G5618" s="113"/>
      <c r="J5618" s="28">
        <f>IFERROR(VLOOKUP(TEXT(B5618,"0"),STOCK!A:H,7,0),1)</f>
        <v>1</v>
      </c>
    </row>
    <row r="5619" spans="7:10" ht="35.450000000000003" hidden="1" customHeight="1">
      <c r="G5619" s="113"/>
      <c r="J5619" s="28">
        <f>IFERROR(VLOOKUP(TEXT(B5619,"0"),STOCK!A:H,7,0),1)</f>
        <v>1</v>
      </c>
    </row>
    <row r="5620" spans="7:10" ht="35.450000000000003" hidden="1" customHeight="1">
      <c r="G5620" s="113"/>
      <c r="J5620" s="28">
        <f>IFERROR(VLOOKUP(TEXT(B5620,"0"),STOCK!A:H,7,0),1)</f>
        <v>1</v>
      </c>
    </row>
    <row r="5621" spans="7:10" ht="35.450000000000003" hidden="1" customHeight="1">
      <c r="G5621" s="113"/>
      <c r="J5621" s="28">
        <f>IFERROR(VLOOKUP(TEXT(B5621,"0"),STOCK!A:H,7,0),1)</f>
        <v>1</v>
      </c>
    </row>
    <row r="5622" spans="7:10" ht="35.450000000000003" hidden="1" customHeight="1">
      <c r="G5622" s="113"/>
      <c r="J5622" s="28">
        <f>IFERROR(VLOOKUP(TEXT(B5622,"0"),STOCK!A:H,7,0),1)</f>
        <v>1</v>
      </c>
    </row>
    <row r="5623" spans="7:10" ht="35.450000000000003" hidden="1" customHeight="1">
      <c r="G5623" s="113"/>
      <c r="J5623" s="28">
        <f>IFERROR(VLOOKUP(TEXT(B5623,"0"),STOCK!A:H,7,0),1)</f>
        <v>1</v>
      </c>
    </row>
    <row r="5624" spans="7:10" ht="35.450000000000003" hidden="1" customHeight="1">
      <c r="G5624" s="113"/>
      <c r="J5624" s="28">
        <f>IFERROR(VLOOKUP(TEXT(B5624,"0"),STOCK!A:H,7,0),1)</f>
        <v>1</v>
      </c>
    </row>
    <row r="5625" spans="7:10" ht="35.450000000000003" hidden="1" customHeight="1">
      <c r="G5625" s="113"/>
      <c r="J5625" s="28">
        <f>IFERROR(VLOOKUP(TEXT(B5625,"0"),STOCK!A:H,7,0),1)</f>
        <v>1</v>
      </c>
    </row>
    <row r="5626" spans="7:10" ht="35.450000000000003" hidden="1" customHeight="1">
      <c r="G5626" s="113"/>
      <c r="J5626" s="28">
        <f>IFERROR(VLOOKUP(TEXT(B5626,"0"),STOCK!A:H,7,0),1)</f>
        <v>1</v>
      </c>
    </row>
    <row r="5627" spans="7:10" ht="35.450000000000003" hidden="1" customHeight="1">
      <c r="G5627" s="113"/>
      <c r="J5627" s="28">
        <f>IFERROR(VLOOKUP(TEXT(B5627,"0"),STOCK!A:H,7,0),1)</f>
        <v>1</v>
      </c>
    </row>
    <row r="5628" spans="7:10" ht="35.450000000000003" hidden="1" customHeight="1">
      <c r="G5628" s="113"/>
      <c r="J5628" s="28">
        <f>IFERROR(VLOOKUP(TEXT(B5628,"0"),STOCK!A:H,7,0),1)</f>
        <v>1</v>
      </c>
    </row>
    <row r="5629" spans="7:10" ht="35.450000000000003" hidden="1" customHeight="1">
      <c r="G5629" s="113"/>
      <c r="J5629" s="28">
        <f>IFERROR(VLOOKUP(TEXT(B5629,"0"),STOCK!A:H,7,0),1)</f>
        <v>1</v>
      </c>
    </row>
    <row r="5630" spans="7:10" ht="35.450000000000003" hidden="1" customHeight="1">
      <c r="G5630" s="113"/>
      <c r="J5630" s="28">
        <f>IFERROR(VLOOKUP(TEXT(B5630,"0"),STOCK!A:H,7,0),1)</f>
        <v>1</v>
      </c>
    </row>
    <row r="5631" spans="7:10" ht="35.450000000000003" hidden="1" customHeight="1">
      <c r="G5631" s="113"/>
      <c r="J5631" s="28">
        <f>IFERROR(VLOOKUP(TEXT(B5631,"0"),STOCK!A:H,7,0),1)</f>
        <v>1</v>
      </c>
    </row>
    <row r="5632" spans="7:10" ht="35.450000000000003" hidden="1" customHeight="1">
      <c r="G5632" s="113"/>
      <c r="J5632" s="28">
        <f>IFERROR(VLOOKUP(TEXT(B5632,"0"),STOCK!A:H,7,0),1)</f>
        <v>1</v>
      </c>
    </row>
    <row r="5633" spans="7:10" ht="35.450000000000003" hidden="1" customHeight="1">
      <c r="G5633" s="113"/>
      <c r="J5633" s="28">
        <f>IFERROR(VLOOKUP(TEXT(B5633,"0"),STOCK!A:H,7,0),1)</f>
        <v>1</v>
      </c>
    </row>
    <row r="5634" spans="7:10" ht="35.450000000000003" hidden="1" customHeight="1">
      <c r="G5634" s="113"/>
      <c r="J5634" s="28">
        <f>IFERROR(VLOOKUP(TEXT(B5634,"0"),STOCK!A:H,7,0),1)</f>
        <v>1</v>
      </c>
    </row>
    <row r="5635" spans="7:10" ht="35.450000000000003" hidden="1" customHeight="1">
      <c r="G5635" s="113"/>
      <c r="J5635" s="28">
        <f>IFERROR(VLOOKUP(TEXT(B5635,"0"),STOCK!A:H,7,0),1)</f>
        <v>1</v>
      </c>
    </row>
    <row r="5636" spans="7:10" ht="35.450000000000003" hidden="1" customHeight="1">
      <c r="G5636" s="113"/>
      <c r="J5636" s="28">
        <f>IFERROR(VLOOKUP(TEXT(B5636,"0"),STOCK!A:H,7,0),1)</f>
        <v>1</v>
      </c>
    </row>
    <row r="5637" spans="7:10" ht="35.450000000000003" hidden="1" customHeight="1">
      <c r="G5637" s="113"/>
      <c r="J5637" s="28">
        <f>IFERROR(VLOOKUP(TEXT(B5637,"0"),STOCK!A:H,7,0),1)</f>
        <v>1</v>
      </c>
    </row>
    <row r="5638" spans="7:10" ht="35.450000000000003" hidden="1" customHeight="1">
      <c r="G5638" s="113"/>
      <c r="J5638" s="28">
        <f>IFERROR(VLOOKUP(TEXT(B5638,"0"),STOCK!A:H,7,0),1)</f>
        <v>1</v>
      </c>
    </row>
    <row r="5639" spans="7:10" ht="35.450000000000003" hidden="1" customHeight="1">
      <c r="G5639" s="113"/>
      <c r="J5639" s="28">
        <f>IFERROR(VLOOKUP(TEXT(B5639,"0"),STOCK!A:H,7,0),1)</f>
        <v>1</v>
      </c>
    </row>
    <row r="5640" spans="7:10" ht="35.450000000000003" hidden="1" customHeight="1">
      <c r="G5640" s="113"/>
      <c r="J5640" s="28">
        <f>IFERROR(VLOOKUP(TEXT(B5640,"0"),STOCK!A:H,7,0),1)</f>
        <v>1</v>
      </c>
    </row>
    <row r="5641" spans="7:10" ht="35.450000000000003" hidden="1" customHeight="1">
      <c r="G5641" s="113"/>
      <c r="J5641" s="28">
        <f>IFERROR(VLOOKUP(TEXT(B5641,"0"),STOCK!A:H,7,0),1)</f>
        <v>1</v>
      </c>
    </row>
    <row r="5642" spans="7:10" ht="35.450000000000003" hidden="1" customHeight="1">
      <c r="G5642" s="113"/>
      <c r="J5642" s="28">
        <f>IFERROR(VLOOKUP(TEXT(B5642,"0"),STOCK!A:H,7,0),1)</f>
        <v>1</v>
      </c>
    </row>
    <row r="5643" spans="7:10" ht="35.450000000000003" hidden="1" customHeight="1">
      <c r="G5643" s="113"/>
      <c r="J5643" s="28">
        <f>IFERROR(VLOOKUP(TEXT(B5643,"0"),STOCK!A:H,7,0),1)</f>
        <v>1</v>
      </c>
    </row>
    <row r="5644" spans="7:10" ht="35.450000000000003" hidden="1" customHeight="1">
      <c r="G5644" s="113"/>
      <c r="J5644" s="28">
        <f>IFERROR(VLOOKUP(TEXT(B5644,"0"),STOCK!A:H,7,0),1)</f>
        <v>1</v>
      </c>
    </row>
    <row r="5645" spans="7:10" ht="35.450000000000003" hidden="1" customHeight="1">
      <c r="G5645" s="113"/>
      <c r="J5645" s="28">
        <f>IFERROR(VLOOKUP(TEXT(B5645,"0"),STOCK!A:H,7,0),1)</f>
        <v>1</v>
      </c>
    </row>
    <row r="5646" spans="7:10" ht="35.450000000000003" hidden="1" customHeight="1">
      <c r="G5646" s="113"/>
      <c r="J5646" s="28">
        <f>IFERROR(VLOOKUP(TEXT(B5646,"0"),STOCK!A:H,7,0),1)</f>
        <v>1</v>
      </c>
    </row>
    <row r="5647" spans="7:10" ht="35.450000000000003" hidden="1" customHeight="1">
      <c r="G5647" s="113"/>
      <c r="J5647" s="28">
        <f>IFERROR(VLOOKUP(TEXT(B5647,"0"),STOCK!A:H,7,0),1)</f>
        <v>1</v>
      </c>
    </row>
    <row r="5648" spans="7:10" ht="35.450000000000003" hidden="1" customHeight="1">
      <c r="G5648" s="113"/>
      <c r="J5648" s="28">
        <f>IFERROR(VLOOKUP(TEXT(B5648,"0"),STOCK!A:H,7,0),1)</f>
        <v>1</v>
      </c>
    </row>
    <row r="5649" spans="7:10" ht="35.450000000000003" hidden="1" customHeight="1">
      <c r="G5649" s="113"/>
      <c r="J5649" s="28">
        <f>IFERROR(VLOOKUP(TEXT(B5649,"0"),STOCK!A:H,7,0),1)</f>
        <v>1</v>
      </c>
    </row>
    <row r="5650" spans="7:10" ht="35.450000000000003" hidden="1" customHeight="1">
      <c r="G5650" s="113"/>
      <c r="J5650" s="28">
        <f>IFERROR(VLOOKUP(TEXT(B5650,"0"),STOCK!A:H,7,0),1)</f>
        <v>1</v>
      </c>
    </row>
    <row r="5651" spans="7:10" ht="35.450000000000003" hidden="1" customHeight="1">
      <c r="G5651" s="113"/>
      <c r="J5651" s="28">
        <f>IFERROR(VLOOKUP(TEXT(B5651,"0"),STOCK!A:H,7,0),1)</f>
        <v>1</v>
      </c>
    </row>
    <row r="5652" spans="7:10" ht="35.450000000000003" hidden="1" customHeight="1">
      <c r="G5652" s="113"/>
      <c r="J5652" s="28">
        <f>IFERROR(VLOOKUP(TEXT(B5652,"0"),STOCK!A:H,7,0),1)</f>
        <v>1</v>
      </c>
    </row>
    <row r="5653" spans="7:10" ht="35.450000000000003" hidden="1" customHeight="1">
      <c r="G5653" s="113"/>
      <c r="J5653" s="28">
        <f>IFERROR(VLOOKUP(TEXT(B5653,"0"),STOCK!A:H,7,0),1)</f>
        <v>1</v>
      </c>
    </row>
    <row r="5654" spans="7:10" ht="35.450000000000003" hidden="1" customHeight="1">
      <c r="G5654" s="113"/>
      <c r="J5654" s="28">
        <f>IFERROR(VLOOKUP(TEXT(B5654,"0"),STOCK!A:H,7,0),1)</f>
        <v>1</v>
      </c>
    </row>
    <row r="5655" spans="7:10" ht="35.450000000000003" hidden="1" customHeight="1">
      <c r="G5655" s="113"/>
      <c r="J5655" s="28">
        <f>IFERROR(VLOOKUP(TEXT(B5655,"0"),STOCK!A:H,7,0),1)</f>
        <v>1</v>
      </c>
    </row>
    <row r="5656" spans="7:10" ht="35.450000000000003" hidden="1" customHeight="1">
      <c r="G5656" s="113"/>
      <c r="J5656" s="28">
        <f>IFERROR(VLOOKUP(TEXT(B5656,"0"),STOCK!A:H,7,0),1)</f>
        <v>1</v>
      </c>
    </row>
    <row r="5657" spans="7:10" ht="35.450000000000003" hidden="1" customHeight="1">
      <c r="G5657" s="113"/>
      <c r="J5657" s="28">
        <f>IFERROR(VLOOKUP(TEXT(B5657,"0"),STOCK!A:H,7,0),1)</f>
        <v>1</v>
      </c>
    </row>
    <row r="5658" spans="7:10" ht="35.450000000000003" hidden="1" customHeight="1">
      <c r="G5658" s="113"/>
      <c r="J5658" s="28">
        <f>IFERROR(VLOOKUP(TEXT(B5658,"0"),STOCK!A:H,7,0),1)</f>
        <v>1</v>
      </c>
    </row>
    <row r="5659" spans="7:10" ht="35.450000000000003" hidden="1" customHeight="1">
      <c r="G5659" s="113"/>
      <c r="J5659" s="28">
        <f>IFERROR(VLOOKUP(TEXT(B5659,"0"),STOCK!A:H,7,0),1)</f>
        <v>1</v>
      </c>
    </row>
    <row r="5660" spans="7:10" ht="35.450000000000003" hidden="1" customHeight="1">
      <c r="G5660" s="113"/>
      <c r="J5660" s="28">
        <f>IFERROR(VLOOKUP(TEXT(B5660,"0"),STOCK!A:H,7,0),1)</f>
        <v>1</v>
      </c>
    </row>
    <row r="5661" spans="7:10" ht="35.450000000000003" hidden="1" customHeight="1">
      <c r="G5661" s="113"/>
      <c r="J5661" s="28">
        <f>IFERROR(VLOOKUP(TEXT(B5661,"0"),STOCK!A:H,7,0),1)</f>
        <v>1</v>
      </c>
    </row>
    <row r="5662" spans="7:10" ht="35.450000000000003" hidden="1" customHeight="1">
      <c r="G5662" s="113"/>
      <c r="J5662" s="28">
        <f>IFERROR(VLOOKUP(TEXT(B5662,"0"),STOCK!A:H,7,0),1)</f>
        <v>1</v>
      </c>
    </row>
    <row r="5663" spans="7:10" ht="35.450000000000003" hidden="1" customHeight="1">
      <c r="G5663" s="113"/>
      <c r="J5663" s="28">
        <f>IFERROR(VLOOKUP(TEXT(B5663,"0"),STOCK!A:H,7,0),1)</f>
        <v>1</v>
      </c>
    </row>
    <row r="5664" spans="7:10" ht="35.450000000000003" hidden="1" customHeight="1">
      <c r="G5664" s="113"/>
      <c r="J5664" s="28">
        <f>IFERROR(VLOOKUP(TEXT(B5664,"0"),STOCK!A:H,7,0),1)</f>
        <v>1</v>
      </c>
    </row>
    <row r="5665" spans="7:10" ht="35.450000000000003" hidden="1" customHeight="1">
      <c r="G5665" s="113"/>
      <c r="J5665" s="28">
        <f>IFERROR(VLOOKUP(TEXT(B5665,"0"),STOCK!A:H,7,0),1)</f>
        <v>1</v>
      </c>
    </row>
    <row r="5666" spans="7:10" ht="35.450000000000003" hidden="1" customHeight="1">
      <c r="G5666" s="113"/>
      <c r="J5666" s="28">
        <f>IFERROR(VLOOKUP(TEXT(B5666,"0"),STOCK!A:H,7,0),1)</f>
        <v>1</v>
      </c>
    </row>
    <row r="5667" spans="7:10" ht="35.450000000000003" hidden="1" customHeight="1">
      <c r="G5667" s="113"/>
      <c r="J5667" s="28">
        <f>IFERROR(VLOOKUP(TEXT(B5667,"0"),STOCK!A:H,7,0),1)</f>
        <v>1</v>
      </c>
    </row>
    <row r="5668" spans="7:10" ht="35.450000000000003" hidden="1" customHeight="1">
      <c r="G5668" s="113"/>
      <c r="J5668" s="28">
        <f>IFERROR(VLOOKUP(TEXT(B5668,"0"),STOCK!A:H,7,0),1)</f>
        <v>1</v>
      </c>
    </row>
    <row r="5669" spans="7:10" ht="35.450000000000003" hidden="1" customHeight="1">
      <c r="G5669" s="113"/>
      <c r="J5669" s="28">
        <f>IFERROR(VLOOKUP(TEXT(B5669,"0"),STOCK!A:H,7,0),1)</f>
        <v>1</v>
      </c>
    </row>
    <row r="5670" spans="7:10" ht="35.450000000000003" hidden="1" customHeight="1">
      <c r="G5670" s="113"/>
      <c r="J5670" s="28">
        <f>IFERROR(VLOOKUP(TEXT(B5670,"0"),STOCK!A:H,7,0),1)</f>
        <v>1</v>
      </c>
    </row>
    <row r="5671" spans="7:10" ht="35.450000000000003" hidden="1" customHeight="1">
      <c r="G5671" s="113"/>
      <c r="J5671" s="28">
        <f>IFERROR(VLOOKUP(TEXT(B5671,"0"),STOCK!A:H,7,0),1)</f>
        <v>1</v>
      </c>
    </row>
    <row r="5672" spans="7:10" ht="35.450000000000003" hidden="1" customHeight="1">
      <c r="G5672" s="113"/>
      <c r="J5672" s="28">
        <f>IFERROR(VLOOKUP(TEXT(B5672,"0"),STOCK!A:H,7,0),1)</f>
        <v>1</v>
      </c>
    </row>
    <row r="5673" spans="7:10" ht="35.450000000000003" hidden="1" customHeight="1">
      <c r="G5673" s="113"/>
      <c r="J5673" s="28">
        <f>IFERROR(VLOOKUP(TEXT(B5673,"0"),STOCK!A:H,7,0),1)</f>
        <v>1</v>
      </c>
    </row>
    <row r="5674" spans="7:10" ht="35.450000000000003" hidden="1" customHeight="1">
      <c r="G5674" s="113"/>
      <c r="J5674" s="28">
        <f>IFERROR(VLOOKUP(TEXT(B5674,"0"),STOCK!A:H,7,0),1)</f>
        <v>1</v>
      </c>
    </row>
    <row r="5675" spans="7:10" ht="35.450000000000003" hidden="1" customHeight="1">
      <c r="G5675" s="113"/>
      <c r="J5675" s="28">
        <f>IFERROR(VLOOKUP(TEXT(B5675,"0"),STOCK!A:H,7,0),1)</f>
        <v>1</v>
      </c>
    </row>
    <row r="5676" spans="7:10" ht="35.450000000000003" hidden="1" customHeight="1">
      <c r="G5676" s="113"/>
      <c r="J5676" s="28">
        <f>IFERROR(VLOOKUP(TEXT(B5676,"0"),STOCK!A:H,7,0),1)</f>
        <v>1</v>
      </c>
    </row>
    <row r="5677" spans="7:10" ht="35.450000000000003" hidden="1" customHeight="1">
      <c r="G5677" s="113"/>
      <c r="J5677" s="28">
        <f>IFERROR(VLOOKUP(TEXT(B5677,"0"),STOCK!A:H,7,0),1)</f>
        <v>1</v>
      </c>
    </row>
    <row r="5678" spans="7:10" ht="35.450000000000003" hidden="1" customHeight="1">
      <c r="G5678" s="113"/>
      <c r="J5678" s="28">
        <f>IFERROR(VLOOKUP(TEXT(B5678,"0"),STOCK!A:H,7,0),1)</f>
        <v>1</v>
      </c>
    </row>
    <row r="5679" spans="7:10" ht="35.450000000000003" hidden="1" customHeight="1">
      <c r="G5679" s="113"/>
      <c r="J5679" s="28">
        <f>IFERROR(VLOOKUP(TEXT(B5679,"0"),STOCK!A:H,7,0),1)</f>
        <v>1</v>
      </c>
    </row>
    <row r="5680" spans="7:10" ht="35.450000000000003" hidden="1" customHeight="1">
      <c r="G5680" s="113"/>
      <c r="J5680" s="28">
        <f>IFERROR(VLOOKUP(TEXT(B5680,"0"),STOCK!A:H,7,0),1)</f>
        <v>1</v>
      </c>
    </row>
    <row r="5681" spans="7:10" ht="35.450000000000003" hidden="1" customHeight="1">
      <c r="G5681" s="113"/>
      <c r="J5681" s="28">
        <f>IFERROR(VLOOKUP(TEXT(B5681,"0"),STOCK!A:H,7,0),1)</f>
        <v>1</v>
      </c>
    </row>
    <row r="5682" spans="7:10" ht="35.450000000000003" hidden="1" customHeight="1">
      <c r="G5682" s="113"/>
      <c r="J5682" s="28">
        <f>IFERROR(VLOOKUP(TEXT(B5682,"0"),STOCK!A:H,7,0),1)</f>
        <v>1</v>
      </c>
    </row>
    <row r="5683" spans="7:10" ht="35.450000000000003" hidden="1" customHeight="1">
      <c r="G5683" s="113"/>
      <c r="J5683" s="28">
        <f>IFERROR(VLOOKUP(TEXT(B5683,"0"),STOCK!A:H,7,0),1)</f>
        <v>1</v>
      </c>
    </row>
    <row r="5684" spans="7:10" ht="35.450000000000003" hidden="1" customHeight="1">
      <c r="G5684" s="113"/>
      <c r="J5684" s="28">
        <f>IFERROR(VLOOKUP(TEXT(B5684,"0"),STOCK!A:H,7,0),1)</f>
        <v>1</v>
      </c>
    </row>
    <row r="5685" spans="7:10" ht="35.450000000000003" hidden="1" customHeight="1">
      <c r="G5685" s="113"/>
      <c r="J5685" s="28">
        <f>IFERROR(VLOOKUP(TEXT(B5685,"0"),STOCK!A:H,7,0),1)</f>
        <v>1</v>
      </c>
    </row>
    <row r="5686" spans="7:10" ht="35.450000000000003" hidden="1" customHeight="1">
      <c r="G5686" s="113"/>
      <c r="J5686" s="28">
        <f>IFERROR(VLOOKUP(TEXT(B5686,"0"),STOCK!A:H,7,0),1)</f>
        <v>1</v>
      </c>
    </row>
    <row r="5687" spans="7:10" ht="35.450000000000003" hidden="1" customHeight="1">
      <c r="G5687" s="113"/>
      <c r="J5687" s="28">
        <f>IFERROR(VLOOKUP(TEXT(B5687,"0"),STOCK!A:H,7,0),1)</f>
        <v>1</v>
      </c>
    </row>
    <row r="5688" spans="7:10" ht="35.450000000000003" hidden="1" customHeight="1">
      <c r="G5688" s="113"/>
      <c r="J5688" s="28">
        <f>IFERROR(VLOOKUP(TEXT(B5688,"0"),STOCK!A:H,7,0),1)</f>
        <v>1</v>
      </c>
    </row>
    <row r="5689" spans="7:10" ht="35.450000000000003" hidden="1" customHeight="1">
      <c r="G5689" s="113"/>
      <c r="J5689" s="28">
        <f>IFERROR(VLOOKUP(TEXT(B5689,"0"),STOCK!A:H,7,0),1)</f>
        <v>1</v>
      </c>
    </row>
    <row r="5690" spans="7:10" ht="35.450000000000003" hidden="1" customHeight="1">
      <c r="G5690" s="113"/>
      <c r="J5690" s="28">
        <f>IFERROR(VLOOKUP(TEXT(B5690,"0"),STOCK!A:H,7,0),1)</f>
        <v>1</v>
      </c>
    </row>
    <row r="5691" spans="7:10" ht="35.450000000000003" hidden="1" customHeight="1">
      <c r="G5691" s="113"/>
      <c r="J5691" s="28">
        <f>IFERROR(VLOOKUP(TEXT(B5691,"0"),STOCK!A:H,7,0),1)</f>
        <v>1</v>
      </c>
    </row>
    <row r="5692" spans="7:10" ht="35.450000000000003" hidden="1" customHeight="1">
      <c r="G5692" s="113"/>
      <c r="J5692" s="28">
        <f>IFERROR(VLOOKUP(TEXT(B5692,"0"),STOCK!A:H,7,0),1)</f>
        <v>1</v>
      </c>
    </row>
    <row r="5693" spans="7:10" ht="35.450000000000003" hidden="1" customHeight="1">
      <c r="G5693" s="113"/>
      <c r="J5693" s="28">
        <f>IFERROR(VLOOKUP(TEXT(B5693,"0"),STOCK!A:H,7,0),1)</f>
        <v>1</v>
      </c>
    </row>
    <row r="5694" spans="7:10" ht="35.450000000000003" hidden="1" customHeight="1">
      <c r="G5694" s="113"/>
      <c r="J5694" s="28">
        <f>IFERROR(VLOOKUP(TEXT(B5694,"0"),STOCK!A:H,7,0),1)</f>
        <v>1</v>
      </c>
    </row>
    <row r="5695" spans="7:10" ht="35.450000000000003" hidden="1" customHeight="1">
      <c r="G5695" s="113"/>
      <c r="J5695" s="28">
        <f>IFERROR(VLOOKUP(TEXT(B5695,"0"),STOCK!A:H,7,0),1)</f>
        <v>1</v>
      </c>
    </row>
    <row r="5696" spans="7:10" ht="35.450000000000003" hidden="1" customHeight="1">
      <c r="G5696" s="113"/>
      <c r="J5696" s="28">
        <f>IFERROR(VLOOKUP(TEXT(B5696,"0"),STOCK!A:H,7,0),1)</f>
        <v>1</v>
      </c>
    </row>
    <row r="5697" spans="7:10" ht="35.450000000000003" hidden="1" customHeight="1">
      <c r="G5697" s="113"/>
      <c r="J5697" s="28">
        <f>IFERROR(VLOOKUP(TEXT(B5697,"0"),STOCK!A:H,7,0),1)</f>
        <v>1</v>
      </c>
    </row>
    <row r="5698" spans="7:10" ht="35.450000000000003" hidden="1" customHeight="1">
      <c r="G5698" s="113"/>
      <c r="J5698" s="28">
        <f>IFERROR(VLOOKUP(TEXT(B5698,"0"),STOCK!A:H,7,0),1)</f>
        <v>1</v>
      </c>
    </row>
    <row r="5699" spans="7:10" ht="35.450000000000003" hidden="1" customHeight="1">
      <c r="G5699" s="113"/>
      <c r="J5699" s="28">
        <f>IFERROR(VLOOKUP(TEXT(B5699,"0"),STOCK!A:H,7,0),1)</f>
        <v>1</v>
      </c>
    </row>
    <row r="5700" spans="7:10" ht="35.450000000000003" hidden="1" customHeight="1">
      <c r="G5700" s="113"/>
      <c r="J5700" s="28">
        <f>IFERROR(VLOOKUP(TEXT(B5700,"0"),STOCK!A:H,7,0),1)</f>
        <v>1</v>
      </c>
    </row>
    <row r="5701" spans="7:10" ht="35.450000000000003" hidden="1" customHeight="1">
      <c r="G5701" s="113"/>
      <c r="J5701" s="28">
        <f>IFERROR(VLOOKUP(TEXT(B5701,"0"),STOCK!A:H,7,0),1)</f>
        <v>1</v>
      </c>
    </row>
    <row r="5702" spans="7:10" ht="35.450000000000003" hidden="1" customHeight="1">
      <c r="G5702" s="113"/>
      <c r="J5702" s="28">
        <f>IFERROR(VLOOKUP(TEXT(B5702,"0"),STOCK!A:H,7,0),1)</f>
        <v>1</v>
      </c>
    </row>
    <row r="5703" spans="7:10" ht="35.450000000000003" hidden="1" customHeight="1">
      <c r="G5703" s="113"/>
      <c r="J5703" s="28">
        <f>IFERROR(VLOOKUP(TEXT(B5703,"0"),STOCK!A:H,7,0),1)</f>
        <v>1</v>
      </c>
    </row>
    <row r="5704" spans="7:10" ht="35.450000000000003" hidden="1" customHeight="1">
      <c r="G5704" s="113"/>
      <c r="J5704" s="28">
        <f>IFERROR(VLOOKUP(TEXT(B5704,"0"),STOCK!A:H,7,0),1)</f>
        <v>1</v>
      </c>
    </row>
    <row r="5705" spans="7:10" ht="35.450000000000003" hidden="1" customHeight="1">
      <c r="G5705" s="113"/>
      <c r="J5705" s="28">
        <f>IFERROR(VLOOKUP(TEXT(B5705,"0"),STOCK!A:H,7,0),1)</f>
        <v>1</v>
      </c>
    </row>
    <row r="5706" spans="7:10" ht="35.450000000000003" hidden="1" customHeight="1">
      <c r="G5706" s="113"/>
      <c r="J5706" s="28">
        <f>IFERROR(VLOOKUP(TEXT(B5706,"0"),STOCK!A:H,7,0),1)</f>
        <v>1</v>
      </c>
    </row>
    <row r="5707" spans="7:10" ht="35.450000000000003" hidden="1" customHeight="1">
      <c r="G5707" s="113"/>
      <c r="J5707" s="28">
        <f>IFERROR(VLOOKUP(TEXT(B5707,"0"),STOCK!A:H,7,0),1)</f>
        <v>1</v>
      </c>
    </row>
    <row r="5708" spans="7:10" ht="35.450000000000003" hidden="1" customHeight="1">
      <c r="G5708" s="113"/>
      <c r="J5708" s="28">
        <f>IFERROR(VLOOKUP(TEXT(B5708,"0"),STOCK!A:H,7,0),1)</f>
        <v>1</v>
      </c>
    </row>
    <row r="5709" spans="7:10" ht="35.450000000000003" hidden="1" customHeight="1">
      <c r="G5709" s="113"/>
      <c r="J5709" s="28">
        <f>IFERROR(VLOOKUP(TEXT(B5709,"0"),STOCK!A:H,7,0),1)</f>
        <v>1</v>
      </c>
    </row>
    <row r="5710" spans="7:10" ht="35.450000000000003" hidden="1" customHeight="1">
      <c r="G5710" s="113"/>
      <c r="J5710" s="28">
        <f>IFERROR(VLOOKUP(TEXT(B5710,"0"),STOCK!A:H,7,0),1)</f>
        <v>1</v>
      </c>
    </row>
    <row r="5711" spans="7:10" ht="35.450000000000003" hidden="1" customHeight="1">
      <c r="G5711" s="113"/>
      <c r="J5711" s="28">
        <f>IFERROR(VLOOKUP(TEXT(B5711,"0"),STOCK!A:H,7,0),1)</f>
        <v>1</v>
      </c>
    </row>
    <row r="5712" spans="7:10" ht="35.450000000000003" hidden="1" customHeight="1">
      <c r="G5712" s="113"/>
      <c r="J5712" s="28">
        <f>IFERROR(VLOOKUP(TEXT(B5712,"0"),STOCK!A:H,7,0),1)</f>
        <v>1</v>
      </c>
    </row>
    <row r="5713" spans="7:10" ht="35.450000000000003" hidden="1" customHeight="1">
      <c r="G5713" s="113"/>
      <c r="J5713" s="28">
        <f>IFERROR(VLOOKUP(TEXT(B5713,"0"),STOCK!A:H,7,0),1)</f>
        <v>1</v>
      </c>
    </row>
    <row r="5714" spans="7:10" ht="35.450000000000003" hidden="1" customHeight="1">
      <c r="G5714" s="113"/>
      <c r="J5714" s="28">
        <f>IFERROR(VLOOKUP(TEXT(B5714,"0"),STOCK!A:H,7,0),1)</f>
        <v>1</v>
      </c>
    </row>
    <row r="5715" spans="7:10" ht="35.450000000000003" hidden="1" customHeight="1">
      <c r="G5715" s="113"/>
      <c r="J5715" s="28">
        <f>IFERROR(VLOOKUP(TEXT(B5715,"0"),STOCK!A:H,7,0),1)</f>
        <v>1</v>
      </c>
    </row>
    <row r="5716" spans="7:10" ht="35.450000000000003" hidden="1" customHeight="1">
      <c r="G5716" s="113"/>
      <c r="J5716" s="28">
        <f>IFERROR(VLOOKUP(TEXT(B5716,"0"),STOCK!A:H,7,0),1)</f>
        <v>1</v>
      </c>
    </row>
    <row r="5717" spans="7:10" ht="35.450000000000003" hidden="1" customHeight="1">
      <c r="G5717" s="113"/>
      <c r="J5717" s="28">
        <f>IFERROR(VLOOKUP(TEXT(B5717,"0"),STOCK!A:H,7,0),1)</f>
        <v>1</v>
      </c>
    </row>
    <row r="5718" spans="7:10" ht="35.450000000000003" hidden="1" customHeight="1">
      <c r="G5718" s="113"/>
      <c r="J5718" s="28">
        <f>IFERROR(VLOOKUP(TEXT(B5718,"0"),STOCK!A:H,7,0),1)</f>
        <v>1</v>
      </c>
    </row>
    <row r="5719" spans="7:10" ht="35.450000000000003" hidden="1" customHeight="1">
      <c r="G5719" s="113"/>
      <c r="J5719" s="28">
        <f>IFERROR(VLOOKUP(TEXT(B5719,"0"),STOCK!A:H,7,0),1)</f>
        <v>1</v>
      </c>
    </row>
    <row r="5720" spans="7:10" ht="35.450000000000003" hidden="1" customHeight="1">
      <c r="G5720" s="113"/>
      <c r="J5720" s="28">
        <f>IFERROR(VLOOKUP(TEXT(B5720,"0"),STOCK!A:H,7,0),1)</f>
        <v>1</v>
      </c>
    </row>
    <row r="5721" spans="7:10" ht="35.450000000000003" hidden="1" customHeight="1">
      <c r="G5721" s="113"/>
      <c r="J5721" s="28">
        <f>IFERROR(VLOOKUP(TEXT(B5721,"0"),STOCK!A:H,7,0),1)</f>
        <v>1</v>
      </c>
    </row>
    <row r="5722" spans="7:10" ht="35.450000000000003" hidden="1" customHeight="1">
      <c r="G5722" s="113"/>
      <c r="J5722" s="28">
        <f>IFERROR(VLOOKUP(TEXT(B5722,"0"),STOCK!A:H,7,0),1)</f>
        <v>1</v>
      </c>
    </row>
    <row r="5723" spans="7:10" ht="35.450000000000003" hidden="1" customHeight="1">
      <c r="G5723" s="113"/>
      <c r="J5723" s="28">
        <f>IFERROR(VLOOKUP(TEXT(B5723,"0"),STOCK!A:H,7,0),1)</f>
        <v>1</v>
      </c>
    </row>
    <row r="5724" spans="7:10" ht="35.450000000000003" hidden="1" customHeight="1">
      <c r="G5724" s="113"/>
      <c r="J5724" s="28">
        <f>IFERROR(VLOOKUP(TEXT(B5724,"0"),STOCK!A:H,7,0),1)</f>
        <v>1</v>
      </c>
    </row>
    <row r="5725" spans="7:10" ht="35.450000000000003" hidden="1" customHeight="1">
      <c r="G5725" s="113"/>
      <c r="J5725" s="28">
        <f>IFERROR(VLOOKUP(TEXT(B5725,"0"),STOCK!A:H,7,0),1)</f>
        <v>1</v>
      </c>
    </row>
    <row r="5726" spans="7:10" ht="35.450000000000003" hidden="1" customHeight="1">
      <c r="G5726" s="113"/>
      <c r="J5726" s="28">
        <f>IFERROR(VLOOKUP(TEXT(B5726,"0"),STOCK!A:H,7,0),1)</f>
        <v>1</v>
      </c>
    </row>
    <row r="5727" spans="7:10" ht="35.450000000000003" hidden="1" customHeight="1">
      <c r="G5727" s="113"/>
      <c r="J5727" s="28">
        <f>IFERROR(VLOOKUP(TEXT(B5727,"0"),STOCK!A:H,7,0),1)</f>
        <v>1</v>
      </c>
    </row>
    <row r="5728" spans="7:10" ht="35.450000000000003" hidden="1" customHeight="1">
      <c r="G5728" s="113"/>
      <c r="J5728" s="28">
        <f>IFERROR(VLOOKUP(TEXT(B5728,"0"),STOCK!A:H,7,0),1)</f>
        <v>1</v>
      </c>
    </row>
    <row r="5729" spans="7:10" ht="35.450000000000003" hidden="1" customHeight="1">
      <c r="G5729" s="113"/>
      <c r="J5729" s="28">
        <f>IFERROR(VLOOKUP(TEXT(B5729,"0"),STOCK!A:H,7,0),1)</f>
        <v>1</v>
      </c>
    </row>
    <row r="5730" spans="7:10" ht="35.450000000000003" hidden="1" customHeight="1">
      <c r="G5730" s="113"/>
      <c r="J5730" s="28">
        <f>IFERROR(VLOOKUP(TEXT(B5730,"0"),STOCK!A:H,7,0),1)</f>
        <v>1</v>
      </c>
    </row>
    <row r="5731" spans="7:10" ht="35.450000000000003" hidden="1" customHeight="1">
      <c r="G5731" s="113"/>
      <c r="J5731" s="28">
        <f>IFERROR(VLOOKUP(TEXT(B5731,"0"),STOCK!A:H,7,0),1)</f>
        <v>1</v>
      </c>
    </row>
    <row r="5732" spans="7:10" ht="35.450000000000003" hidden="1" customHeight="1">
      <c r="G5732" s="113"/>
      <c r="J5732" s="28">
        <f>IFERROR(VLOOKUP(TEXT(B5732,"0"),STOCK!A:H,7,0),1)</f>
        <v>1</v>
      </c>
    </row>
    <row r="5733" spans="7:10" ht="35.450000000000003" hidden="1" customHeight="1">
      <c r="G5733" s="113"/>
      <c r="J5733" s="28">
        <f>IFERROR(VLOOKUP(TEXT(B5733,"0"),STOCK!A:H,7,0),1)</f>
        <v>1</v>
      </c>
    </row>
    <row r="5734" spans="7:10" ht="35.450000000000003" hidden="1" customHeight="1">
      <c r="G5734" s="113"/>
      <c r="J5734" s="28">
        <f>IFERROR(VLOOKUP(TEXT(B5734,"0"),STOCK!A:H,7,0),1)</f>
        <v>1</v>
      </c>
    </row>
    <row r="5735" spans="7:10" ht="35.450000000000003" hidden="1" customHeight="1">
      <c r="G5735" s="113"/>
      <c r="J5735" s="28">
        <f>IFERROR(VLOOKUP(TEXT(B5735,"0"),STOCK!A:H,7,0),1)</f>
        <v>1</v>
      </c>
    </row>
    <row r="5736" spans="7:10" ht="35.450000000000003" hidden="1" customHeight="1">
      <c r="G5736" s="113"/>
      <c r="J5736" s="28">
        <f>IFERROR(VLOOKUP(TEXT(B5736,"0"),STOCK!A:H,7,0),1)</f>
        <v>1</v>
      </c>
    </row>
    <row r="5737" spans="7:10" ht="35.450000000000003" hidden="1" customHeight="1">
      <c r="G5737" s="113"/>
      <c r="J5737" s="28">
        <f>IFERROR(VLOOKUP(TEXT(B5737,"0"),STOCK!A:H,7,0),1)</f>
        <v>1</v>
      </c>
    </row>
    <row r="5738" spans="7:10" ht="35.450000000000003" hidden="1" customHeight="1">
      <c r="G5738" s="113"/>
      <c r="J5738" s="28">
        <f>IFERROR(VLOOKUP(TEXT(B5738,"0"),STOCK!A:H,7,0),1)</f>
        <v>1</v>
      </c>
    </row>
    <row r="5739" spans="7:10" ht="35.450000000000003" hidden="1" customHeight="1">
      <c r="G5739" s="113"/>
      <c r="J5739" s="28">
        <f>IFERROR(VLOOKUP(TEXT(B5739,"0"),STOCK!A:H,7,0),1)</f>
        <v>1</v>
      </c>
    </row>
    <row r="5740" spans="7:10" ht="35.450000000000003" hidden="1" customHeight="1">
      <c r="G5740" s="113"/>
      <c r="J5740" s="28">
        <f>IFERROR(VLOOKUP(TEXT(B5740,"0"),STOCK!A:H,7,0),1)</f>
        <v>1</v>
      </c>
    </row>
    <row r="5741" spans="7:10" ht="35.450000000000003" hidden="1" customHeight="1">
      <c r="G5741" s="113"/>
      <c r="J5741" s="28">
        <f>IFERROR(VLOOKUP(TEXT(B5741,"0"),STOCK!A:H,7,0),1)</f>
        <v>1</v>
      </c>
    </row>
    <row r="5742" spans="7:10" ht="35.450000000000003" hidden="1" customHeight="1">
      <c r="G5742" s="113"/>
      <c r="J5742" s="28">
        <f>IFERROR(VLOOKUP(TEXT(B5742,"0"),STOCK!A:H,7,0),1)</f>
        <v>1</v>
      </c>
    </row>
    <row r="5743" spans="7:10" ht="35.450000000000003" hidden="1" customHeight="1">
      <c r="G5743" s="113"/>
      <c r="J5743" s="28">
        <f>IFERROR(VLOOKUP(TEXT(B5743,"0"),STOCK!A:H,7,0),1)</f>
        <v>1</v>
      </c>
    </row>
    <row r="5744" spans="7:10" ht="35.450000000000003" hidden="1" customHeight="1">
      <c r="G5744" s="113"/>
      <c r="J5744" s="28">
        <f>IFERROR(VLOOKUP(TEXT(B5744,"0"),STOCK!A:H,7,0),1)</f>
        <v>1</v>
      </c>
    </row>
    <row r="5745" spans="7:10" ht="35.450000000000003" hidden="1" customHeight="1">
      <c r="G5745" s="113"/>
      <c r="J5745" s="28">
        <f>IFERROR(VLOOKUP(TEXT(B5745,"0"),STOCK!A:H,7,0),1)</f>
        <v>1</v>
      </c>
    </row>
    <row r="5746" spans="7:10" ht="35.450000000000003" hidden="1" customHeight="1">
      <c r="G5746" s="113"/>
      <c r="J5746" s="28">
        <f>IFERROR(VLOOKUP(TEXT(B5746,"0"),STOCK!A:H,7,0),1)</f>
        <v>1</v>
      </c>
    </row>
    <row r="5747" spans="7:10" ht="35.450000000000003" hidden="1" customHeight="1">
      <c r="G5747" s="113"/>
      <c r="J5747" s="28">
        <f>IFERROR(VLOOKUP(TEXT(B5747,"0"),STOCK!A:H,7,0),1)</f>
        <v>1</v>
      </c>
    </row>
    <row r="5748" spans="7:10" ht="35.450000000000003" hidden="1" customHeight="1">
      <c r="G5748" s="113"/>
      <c r="J5748" s="28">
        <f>IFERROR(VLOOKUP(TEXT(B5748,"0"),STOCK!A:H,7,0),1)</f>
        <v>1</v>
      </c>
    </row>
    <row r="5749" spans="7:10" ht="35.450000000000003" hidden="1" customHeight="1">
      <c r="G5749" s="113"/>
      <c r="J5749" s="28">
        <f>IFERROR(VLOOKUP(TEXT(B5749,"0"),STOCK!A:H,7,0),1)</f>
        <v>1</v>
      </c>
    </row>
    <row r="5750" spans="7:10" ht="35.450000000000003" hidden="1" customHeight="1">
      <c r="G5750" s="113"/>
      <c r="J5750" s="28">
        <f>IFERROR(VLOOKUP(TEXT(B5750,"0"),STOCK!A:H,7,0),1)</f>
        <v>1</v>
      </c>
    </row>
    <row r="5751" spans="7:10" ht="35.450000000000003" hidden="1" customHeight="1">
      <c r="G5751" s="113"/>
      <c r="J5751" s="28">
        <f>IFERROR(VLOOKUP(TEXT(B5751,"0"),STOCK!A:H,7,0),1)</f>
        <v>1</v>
      </c>
    </row>
    <row r="5752" spans="7:10" ht="35.450000000000003" hidden="1" customHeight="1">
      <c r="G5752" s="113"/>
      <c r="J5752" s="28">
        <f>IFERROR(VLOOKUP(TEXT(B5752,"0"),STOCK!A:H,7,0),1)</f>
        <v>1</v>
      </c>
    </row>
    <row r="5753" spans="7:10" ht="35.450000000000003" hidden="1" customHeight="1">
      <c r="G5753" s="113"/>
      <c r="J5753" s="28">
        <f>IFERROR(VLOOKUP(TEXT(B5753,"0"),STOCK!A:H,7,0),1)</f>
        <v>1</v>
      </c>
    </row>
    <row r="5754" spans="7:10" ht="35.450000000000003" hidden="1" customHeight="1">
      <c r="G5754" s="113"/>
      <c r="J5754" s="28">
        <f>IFERROR(VLOOKUP(TEXT(B5754,"0"),STOCK!A:H,7,0),1)</f>
        <v>1</v>
      </c>
    </row>
    <row r="5755" spans="7:10" ht="35.450000000000003" hidden="1" customHeight="1">
      <c r="G5755" s="113"/>
      <c r="J5755" s="28">
        <f>IFERROR(VLOOKUP(TEXT(B5755,"0"),STOCK!A:H,7,0),1)</f>
        <v>1</v>
      </c>
    </row>
    <row r="5756" spans="7:10" ht="35.450000000000003" hidden="1" customHeight="1">
      <c r="G5756" s="113"/>
      <c r="J5756" s="28">
        <f>IFERROR(VLOOKUP(TEXT(B5756,"0"),STOCK!A:H,7,0),1)</f>
        <v>1</v>
      </c>
    </row>
    <row r="5757" spans="7:10" ht="35.450000000000003" hidden="1" customHeight="1">
      <c r="G5757" s="113"/>
      <c r="J5757" s="28">
        <f>IFERROR(VLOOKUP(TEXT(B5757,"0"),STOCK!A:H,7,0),1)</f>
        <v>1</v>
      </c>
    </row>
    <row r="5758" spans="7:10" ht="35.450000000000003" hidden="1" customHeight="1">
      <c r="G5758" s="113"/>
      <c r="J5758" s="28">
        <f>IFERROR(VLOOKUP(TEXT(B5758,"0"),STOCK!A:H,7,0),1)</f>
        <v>1</v>
      </c>
    </row>
    <row r="5759" spans="7:10" ht="35.450000000000003" hidden="1" customHeight="1">
      <c r="G5759" s="113"/>
      <c r="J5759" s="28">
        <f>IFERROR(VLOOKUP(TEXT(B5759,"0"),STOCK!A:H,7,0),1)</f>
        <v>1</v>
      </c>
    </row>
    <row r="5760" spans="7:10" ht="35.450000000000003" hidden="1" customHeight="1">
      <c r="G5760" s="113"/>
      <c r="J5760" s="28">
        <f>IFERROR(VLOOKUP(TEXT(B5760,"0"),STOCK!A:H,7,0),1)</f>
        <v>1</v>
      </c>
    </row>
    <row r="5761" spans="7:10" ht="35.450000000000003" hidden="1" customHeight="1">
      <c r="G5761" s="113"/>
      <c r="J5761" s="28">
        <f>IFERROR(VLOOKUP(TEXT(B5761,"0"),STOCK!A:H,7,0),1)</f>
        <v>1</v>
      </c>
    </row>
    <row r="5762" spans="7:10" ht="35.450000000000003" hidden="1" customHeight="1">
      <c r="G5762" s="113"/>
      <c r="J5762" s="28">
        <f>IFERROR(VLOOKUP(TEXT(B5762,"0"),STOCK!A:H,7,0),1)</f>
        <v>1</v>
      </c>
    </row>
    <row r="5763" spans="7:10" ht="35.450000000000003" hidden="1" customHeight="1">
      <c r="G5763" s="113"/>
      <c r="J5763" s="28">
        <f>IFERROR(VLOOKUP(TEXT(B5763,"0"),STOCK!A:H,7,0),1)</f>
        <v>1</v>
      </c>
    </row>
    <row r="5764" spans="7:10" ht="35.450000000000003" hidden="1" customHeight="1">
      <c r="G5764" s="113"/>
      <c r="J5764" s="28">
        <f>IFERROR(VLOOKUP(TEXT(B5764,"0"),STOCK!A:H,7,0),1)</f>
        <v>1</v>
      </c>
    </row>
    <row r="5765" spans="7:10" ht="35.450000000000003" hidden="1" customHeight="1">
      <c r="G5765" s="113"/>
      <c r="J5765" s="28">
        <f>IFERROR(VLOOKUP(TEXT(B5765,"0"),STOCK!A:H,7,0),1)</f>
        <v>1</v>
      </c>
    </row>
    <row r="5766" spans="7:10" ht="35.450000000000003" hidden="1" customHeight="1">
      <c r="G5766" s="113"/>
      <c r="J5766" s="28">
        <f>IFERROR(VLOOKUP(TEXT(B5766,"0"),STOCK!A:H,7,0),1)</f>
        <v>1</v>
      </c>
    </row>
    <row r="5767" spans="7:10" ht="35.450000000000003" hidden="1" customHeight="1">
      <c r="G5767" s="113"/>
      <c r="J5767" s="28">
        <f>IFERROR(VLOOKUP(TEXT(B5767,"0"),STOCK!A:H,7,0),1)</f>
        <v>1</v>
      </c>
    </row>
    <row r="5768" spans="7:10" ht="35.450000000000003" hidden="1" customHeight="1">
      <c r="G5768" s="113"/>
      <c r="J5768" s="28">
        <f>IFERROR(VLOOKUP(TEXT(B5768,"0"),STOCK!A:H,7,0),1)</f>
        <v>1</v>
      </c>
    </row>
    <row r="5769" spans="7:10" ht="35.450000000000003" hidden="1" customHeight="1">
      <c r="G5769" s="113"/>
      <c r="J5769" s="28">
        <f>IFERROR(VLOOKUP(TEXT(B5769,"0"),STOCK!A:H,7,0),1)</f>
        <v>1</v>
      </c>
    </row>
    <row r="5770" spans="7:10" ht="35.450000000000003" hidden="1" customHeight="1">
      <c r="G5770" s="113"/>
      <c r="J5770" s="28">
        <f>IFERROR(VLOOKUP(TEXT(B5770,"0"),STOCK!A:H,7,0),1)</f>
        <v>1</v>
      </c>
    </row>
    <row r="5771" spans="7:10" ht="35.450000000000003" hidden="1" customHeight="1">
      <c r="G5771" s="113"/>
      <c r="J5771" s="28">
        <f>IFERROR(VLOOKUP(TEXT(B5771,"0"),STOCK!A:H,7,0),1)</f>
        <v>1</v>
      </c>
    </row>
    <row r="5772" spans="7:10" ht="35.450000000000003" hidden="1" customHeight="1">
      <c r="G5772" s="113"/>
      <c r="J5772" s="28">
        <f>IFERROR(VLOOKUP(TEXT(B5772,"0"),STOCK!A:H,7,0),1)</f>
        <v>1</v>
      </c>
    </row>
    <row r="5773" spans="7:10" ht="35.450000000000003" hidden="1" customHeight="1">
      <c r="G5773" s="113"/>
      <c r="J5773" s="28">
        <f>IFERROR(VLOOKUP(TEXT(B5773,"0"),STOCK!A:H,7,0),1)</f>
        <v>1</v>
      </c>
    </row>
    <row r="5774" spans="7:10" ht="35.450000000000003" hidden="1" customHeight="1">
      <c r="G5774" s="113"/>
      <c r="J5774" s="28">
        <f>IFERROR(VLOOKUP(TEXT(B5774,"0"),STOCK!A:H,7,0),1)</f>
        <v>1</v>
      </c>
    </row>
    <row r="5775" spans="7:10" ht="35.450000000000003" hidden="1" customHeight="1">
      <c r="G5775" s="113"/>
      <c r="J5775" s="28">
        <f>IFERROR(VLOOKUP(TEXT(B5775,"0"),STOCK!A:H,7,0),1)</f>
        <v>1</v>
      </c>
    </row>
    <row r="5776" spans="7:10" ht="35.450000000000003" hidden="1" customHeight="1">
      <c r="G5776" s="113"/>
      <c r="J5776" s="28">
        <f>IFERROR(VLOOKUP(TEXT(B5776,"0"),STOCK!A:H,7,0),1)</f>
        <v>1</v>
      </c>
    </row>
    <row r="5777" spans="7:10" ht="35.450000000000003" hidden="1" customHeight="1">
      <c r="G5777" s="113"/>
      <c r="J5777" s="28">
        <f>IFERROR(VLOOKUP(TEXT(B5777,"0"),STOCK!A:H,7,0),1)</f>
        <v>1</v>
      </c>
    </row>
    <row r="5778" spans="7:10" ht="35.450000000000003" hidden="1" customHeight="1">
      <c r="G5778" s="113"/>
      <c r="J5778" s="28">
        <f>IFERROR(VLOOKUP(TEXT(B5778,"0"),STOCK!A:H,7,0),1)</f>
        <v>1</v>
      </c>
    </row>
    <row r="5779" spans="7:10" ht="35.450000000000003" hidden="1" customHeight="1">
      <c r="G5779" s="113"/>
      <c r="J5779" s="28">
        <f>IFERROR(VLOOKUP(TEXT(B5779,"0"),STOCK!A:H,7,0),1)</f>
        <v>1</v>
      </c>
    </row>
    <row r="5780" spans="7:10" ht="35.450000000000003" hidden="1" customHeight="1">
      <c r="G5780" s="113"/>
      <c r="J5780" s="28">
        <f>IFERROR(VLOOKUP(TEXT(B5780,"0"),STOCK!A:H,7,0),1)</f>
        <v>1</v>
      </c>
    </row>
    <row r="5781" spans="7:10" ht="35.450000000000003" hidden="1" customHeight="1">
      <c r="G5781" s="113"/>
      <c r="J5781" s="28">
        <f>IFERROR(VLOOKUP(TEXT(B5781,"0"),STOCK!A:H,7,0),1)</f>
        <v>1</v>
      </c>
    </row>
    <row r="5782" spans="7:10" ht="35.450000000000003" hidden="1" customHeight="1">
      <c r="G5782" s="113"/>
      <c r="J5782" s="28">
        <f>IFERROR(VLOOKUP(TEXT(B5782,"0"),STOCK!A:H,7,0),1)</f>
        <v>1</v>
      </c>
    </row>
    <row r="5783" spans="7:10" ht="35.450000000000003" hidden="1" customHeight="1">
      <c r="G5783" s="113"/>
      <c r="J5783" s="28">
        <f>IFERROR(VLOOKUP(TEXT(B5783,"0"),STOCK!A:H,7,0),1)</f>
        <v>1</v>
      </c>
    </row>
    <row r="5784" spans="7:10" ht="35.450000000000003" hidden="1" customHeight="1">
      <c r="G5784" s="113"/>
      <c r="J5784" s="28">
        <f>IFERROR(VLOOKUP(TEXT(B5784,"0"),STOCK!A:H,7,0),1)</f>
        <v>1</v>
      </c>
    </row>
    <row r="5785" spans="7:10" ht="35.450000000000003" hidden="1" customHeight="1">
      <c r="G5785" s="113"/>
      <c r="J5785" s="28">
        <f>IFERROR(VLOOKUP(TEXT(B5785,"0"),STOCK!A:H,7,0),1)</f>
        <v>1</v>
      </c>
    </row>
    <row r="5786" spans="7:10" ht="35.450000000000003" hidden="1" customHeight="1">
      <c r="G5786" s="113"/>
      <c r="J5786" s="28">
        <f>IFERROR(VLOOKUP(TEXT(B5786,"0"),STOCK!A:H,7,0),1)</f>
        <v>1</v>
      </c>
    </row>
    <row r="5787" spans="7:10" ht="35.450000000000003" hidden="1" customHeight="1">
      <c r="G5787" s="113"/>
      <c r="J5787" s="28">
        <f>IFERROR(VLOOKUP(TEXT(B5787,"0"),STOCK!A:H,7,0),1)</f>
        <v>1</v>
      </c>
    </row>
    <row r="5788" spans="7:10" ht="35.450000000000003" hidden="1" customHeight="1">
      <c r="G5788" s="113"/>
      <c r="J5788" s="28">
        <f>IFERROR(VLOOKUP(TEXT(B5788,"0"),STOCK!A:H,7,0),1)</f>
        <v>1</v>
      </c>
    </row>
    <row r="5789" spans="7:10" ht="35.450000000000003" hidden="1" customHeight="1">
      <c r="G5789" s="113"/>
      <c r="J5789" s="28">
        <f>IFERROR(VLOOKUP(TEXT(B5789,"0"),STOCK!A:H,7,0),1)</f>
        <v>1</v>
      </c>
    </row>
    <row r="5790" spans="7:10" ht="35.450000000000003" hidden="1" customHeight="1">
      <c r="G5790" s="113"/>
      <c r="J5790" s="28">
        <f>IFERROR(VLOOKUP(TEXT(B5790,"0"),STOCK!A:H,7,0),1)</f>
        <v>1</v>
      </c>
    </row>
    <row r="5791" spans="7:10" ht="35.450000000000003" hidden="1" customHeight="1">
      <c r="G5791" s="113"/>
      <c r="J5791" s="28">
        <f>IFERROR(VLOOKUP(TEXT(B5791,"0"),STOCK!A:H,7,0),1)</f>
        <v>1</v>
      </c>
    </row>
    <row r="5792" spans="7:10" ht="35.450000000000003" hidden="1" customHeight="1">
      <c r="G5792" s="113"/>
      <c r="J5792" s="28">
        <f>IFERROR(VLOOKUP(TEXT(B5792,"0"),STOCK!A:H,7,0),1)</f>
        <v>1</v>
      </c>
    </row>
    <row r="5793" spans="7:10" ht="35.450000000000003" hidden="1" customHeight="1">
      <c r="G5793" s="113"/>
      <c r="J5793" s="28">
        <f>IFERROR(VLOOKUP(TEXT(B5793,"0"),STOCK!A:H,7,0),1)</f>
        <v>1</v>
      </c>
    </row>
    <row r="5794" spans="7:10" ht="35.450000000000003" hidden="1" customHeight="1">
      <c r="G5794" s="113"/>
      <c r="J5794" s="28">
        <f>IFERROR(VLOOKUP(TEXT(B5794,"0"),STOCK!A:H,7,0),1)</f>
        <v>1</v>
      </c>
    </row>
    <row r="5795" spans="7:10" ht="35.450000000000003" hidden="1" customHeight="1">
      <c r="G5795" s="113"/>
      <c r="J5795" s="28">
        <f>IFERROR(VLOOKUP(TEXT(B5795,"0"),STOCK!A:H,7,0),1)</f>
        <v>1</v>
      </c>
    </row>
    <row r="5796" spans="7:10" ht="35.450000000000003" hidden="1" customHeight="1">
      <c r="G5796" s="113"/>
      <c r="J5796" s="28">
        <f>IFERROR(VLOOKUP(TEXT(B5796,"0"),STOCK!A:H,7,0),1)</f>
        <v>1</v>
      </c>
    </row>
    <row r="5797" spans="7:10" ht="35.450000000000003" hidden="1" customHeight="1">
      <c r="G5797" s="113"/>
      <c r="J5797" s="28">
        <f>IFERROR(VLOOKUP(TEXT(B5797,"0"),STOCK!A:H,7,0),1)</f>
        <v>1</v>
      </c>
    </row>
    <row r="5798" spans="7:10" ht="35.450000000000003" hidden="1" customHeight="1">
      <c r="G5798" s="113"/>
      <c r="J5798" s="28">
        <f>IFERROR(VLOOKUP(TEXT(B5798,"0"),STOCK!A:H,7,0),1)</f>
        <v>1</v>
      </c>
    </row>
    <row r="5799" spans="7:10" ht="35.450000000000003" hidden="1" customHeight="1">
      <c r="G5799" s="113"/>
      <c r="J5799" s="28">
        <f>IFERROR(VLOOKUP(TEXT(B5799,"0"),STOCK!A:H,7,0),1)</f>
        <v>1</v>
      </c>
    </row>
    <row r="5800" spans="7:10" ht="35.450000000000003" hidden="1" customHeight="1">
      <c r="G5800" s="113"/>
      <c r="J5800" s="28">
        <f>IFERROR(VLOOKUP(TEXT(B5800,"0"),STOCK!A:H,7,0),1)</f>
        <v>1</v>
      </c>
    </row>
    <row r="5801" spans="7:10" ht="35.450000000000003" hidden="1" customHeight="1">
      <c r="G5801" s="113"/>
      <c r="J5801" s="28">
        <f>IFERROR(VLOOKUP(TEXT(B5801,"0"),STOCK!A:H,7,0),1)</f>
        <v>1</v>
      </c>
    </row>
    <row r="5802" spans="7:10" ht="35.450000000000003" hidden="1" customHeight="1">
      <c r="G5802" s="113"/>
      <c r="J5802" s="28">
        <f>IFERROR(VLOOKUP(TEXT(B5802,"0"),STOCK!A:H,7,0),1)</f>
        <v>1</v>
      </c>
    </row>
    <row r="5803" spans="7:10" ht="35.450000000000003" hidden="1" customHeight="1">
      <c r="G5803" s="113"/>
      <c r="J5803" s="28">
        <f>IFERROR(VLOOKUP(TEXT(B5803,"0"),STOCK!A:H,7,0),1)</f>
        <v>1</v>
      </c>
    </row>
    <row r="5804" spans="7:10" ht="35.450000000000003" hidden="1" customHeight="1">
      <c r="G5804" s="113"/>
      <c r="J5804" s="28">
        <f>IFERROR(VLOOKUP(TEXT(B5804,"0"),STOCK!A:H,7,0),1)</f>
        <v>1</v>
      </c>
    </row>
    <row r="5805" spans="7:10" ht="35.450000000000003" hidden="1" customHeight="1">
      <c r="G5805" s="113"/>
      <c r="J5805" s="28">
        <f>IFERROR(VLOOKUP(TEXT(B5805,"0"),STOCK!A:H,7,0),1)</f>
        <v>1</v>
      </c>
    </row>
    <row r="5806" spans="7:10" ht="35.450000000000003" hidden="1" customHeight="1">
      <c r="G5806" s="113"/>
      <c r="J5806" s="28">
        <f>IFERROR(VLOOKUP(TEXT(B5806,"0"),STOCK!A:H,7,0),1)</f>
        <v>1</v>
      </c>
    </row>
    <row r="5807" spans="7:10" ht="35.450000000000003" hidden="1" customHeight="1">
      <c r="G5807" s="113"/>
      <c r="J5807" s="28">
        <f>IFERROR(VLOOKUP(TEXT(B5807,"0"),STOCK!A:H,7,0),1)</f>
        <v>1</v>
      </c>
    </row>
    <row r="5808" spans="7:10" ht="35.450000000000003" hidden="1" customHeight="1">
      <c r="G5808" s="113"/>
      <c r="J5808" s="28">
        <f>IFERROR(VLOOKUP(TEXT(B5808,"0"),STOCK!A:H,7,0),1)</f>
        <v>1</v>
      </c>
    </row>
    <row r="5809" spans="7:10" ht="35.450000000000003" hidden="1" customHeight="1">
      <c r="G5809" s="113"/>
      <c r="J5809" s="28">
        <f>IFERROR(VLOOKUP(TEXT(B5809,"0"),STOCK!A:H,7,0),1)</f>
        <v>1</v>
      </c>
    </row>
    <row r="5810" spans="7:10" ht="35.450000000000003" hidden="1" customHeight="1">
      <c r="G5810" s="113"/>
      <c r="J5810" s="28">
        <f>IFERROR(VLOOKUP(TEXT(B5810,"0"),STOCK!A:H,7,0),1)</f>
        <v>1</v>
      </c>
    </row>
    <row r="5811" spans="7:10" ht="35.450000000000003" hidden="1" customHeight="1">
      <c r="G5811" s="113"/>
      <c r="J5811" s="28">
        <f>IFERROR(VLOOKUP(TEXT(B5811,"0"),STOCK!A:H,7,0),1)</f>
        <v>1</v>
      </c>
    </row>
    <row r="5812" spans="7:10" ht="35.450000000000003" hidden="1" customHeight="1">
      <c r="G5812" s="113"/>
      <c r="J5812" s="28">
        <f>IFERROR(VLOOKUP(TEXT(B5812,"0"),STOCK!A:H,7,0),1)</f>
        <v>1</v>
      </c>
    </row>
    <row r="5813" spans="7:10" ht="35.450000000000003" hidden="1" customHeight="1">
      <c r="G5813" s="113"/>
      <c r="J5813" s="28">
        <f>IFERROR(VLOOKUP(TEXT(B5813,"0"),STOCK!A:H,7,0),1)</f>
        <v>1</v>
      </c>
    </row>
    <row r="5814" spans="7:10" ht="35.450000000000003" hidden="1" customHeight="1">
      <c r="G5814" s="113"/>
      <c r="J5814" s="28">
        <f>IFERROR(VLOOKUP(TEXT(B5814,"0"),STOCK!A:H,7,0),1)</f>
        <v>1</v>
      </c>
    </row>
    <row r="5815" spans="7:10" ht="35.450000000000003" hidden="1" customHeight="1">
      <c r="G5815" s="113"/>
      <c r="J5815" s="28">
        <f>IFERROR(VLOOKUP(TEXT(B5815,"0"),STOCK!A:H,7,0),1)</f>
        <v>1</v>
      </c>
    </row>
    <row r="5816" spans="7:10" ht="35.450000000000003" hidden="1" customHeight="1">
      <c r="G5816" s="113"/>
      <c r="J5816" s="28">
        <f>IFERROR(VLOOKUP(TEXT(B5816,"0"),STOCK!A:H,7,0),1)</f>
        <v>1</v>
      </c>
    </row>
    <row r="5817" spans="7:10" ht="35.450000000000003" hidden="1" customHeight="1">
      <c r="G5817" s="113"/>
      <c r="J5817" s="28">
        <f>IFERROR(VLOOKUP(TEXT(B5817,"0"),STOCK!A:H,7,0),1)</f>
        <v>1</v>
      </c>
    </row>
    <row r="5818" spans="7:10" ht="35.450000000000003" hidden="1" customHeight="1">
      <c r="G5818" s="113"/>
      <c r="J5818" s="28">
        <f>IFERROR(VLOOKUP(TEXT(B5818,"0"),STOCK!A:H,7,0),1)</f>
        <v>1</v>
      </c>
    </row>
    <row r="5819" spans="7:10" ht="35.450000000000003" hidden="1" customHeight="1">
      <c r="G5819" s="113"/>
      <c r="J5819" s="28">
        <f>IFERROR(VLOOKUP(TEXT(B5819,"0"),STOCK!A:H,7,0),1)</f>
        <v>1</v>
      </c>
    </row>
    <row r="5820" spans="7:10" ht="35.450000000000003" hidden="1" customHeight="1">
      <c r="G5820" s="113"/>
      <c r="J5820" s="28">
        <f>IFERROR(VLOOKUP(TEXT(B5820,"0"),STOCK!A:H,7,0),1)</f>
        <v>1</v>
      </c>
    </row>
    <row r="5821" spans="7:10" ht="35.450000000000003" hidden="1" customHeight="1">
      <c r="G5821" s="113"/>
      <c r="J5821" s="28">
        <f>IFERROR(VLOOKUP(TEXT(B5821,"0"),STOCK!A:H,7,0),1)</f>
        <v>1</v>
      </c>
    </row>
    <row r="5822" spans="7:10" ht="35.450000000000003" hidden="1" customHeight="1">
      <c r="G5822" s="113"/>
      <c r="J5822" s="28">
        <f>IFERROR(VLOOKUP(TEXT(B5822,"0"),STOCK!A:H,7,0),1)</f>
        <v>1</v>
      </c>
    </row>
    <row r="5823" spans="7:10" ht="35.450000000000003" hidden="1" customHeight="1">
      <c r="G5823" s="113"/>
      <c r="J5823" s="28">
        <f>IFERROR(VLOOKUP(TEXT(B5823,"0"),STOCK!A:H,7,0),1)</f>
        <v>1</v>
      </c>
    </row>
    <row r="5824" spans="7:10" ht="35.450000000000003" hidden="1" customHeight="1">
      <c r="G5824" s="113"/>
      <c r="J5824" s="28">
        <f>IFERROR(VLOOKUP(TEXT(B5824,"0"),STOCK!A:H,7,0),1)</f>
        <v>1</v>
      </c>
    </row>
    <row r="5825" spans="7:10" ht="35.450000000000003" hidden="1" customHeight="1">
      <c r="G5825" s="113"/>
      <c r="J5825" s="28">
        <f>IFERROR(VLOOKUP(TEXT(B5825,"0"),STOCK!A:H,7,0),1)</f>
        <v>1</v>
      </c>
    </row>
    <row r="5826" spans="7:10" ht="35.450000000000003" hidden="1" customHeight="1">
      <c r="G5826" s="113"/>
      <c r="J5826" s="28">
        <f>IFERROR(VLOOKUP(TEXT(B5826,"0"),STOCK!A:H,7,0),1)</f>
        <v>1</v>
      </c>
    </row>
    <row r="5827" spans="7:10" ht="35.450000000000003" hidden="1" customHeight="1">
      <c r="G5827" s="113"/>
      <c r="J5827" s="28">
        <f>IFERROR(VLOOKUP(TEXT(B5827,"0"),STOCK!A:H,7,0),1)</f>
        <v>1</v>
      </c>
    </row>
    <row r="5828" spans="7:10" ht="35.450000000000003" hidden="1" customHeight="1">
      <c r="G5828" s="113"/>
      <c r="J5828" s="28">
        <f>IFERROR(VLOOKUP(TEXT(B5828,"0"),STOCK!A:H,7,0),1)</f>
        <v>1</v>
      </c>
    </row>
    <row r="5829" spans="7:10" ht="35.450000000000003" hidden="1" customHeight="1">
      <c r="G5829" s="113"/>
      <c r="J5829" s="28">
        <f>IFERROR(VLOOKUP(TEXT(B5829,"0"),STOCK!A:H,7,0),1)</f>
        <v>1</v>
      </c>
    </row>
    <row r="5830" spans="7:10" ht="35.450000000000003" hidden="1" customHeight="1">
      <c r="G5830" s="113"/>
      <c r="J5830" s="28">
        <f>IFERROR(VLOOKUP(TEXT(B5830,"0"),STOCK!A:H,7,0),1)</f>
        <v>1</v>
      </c>
    </row>
    <row r="5831" spans="7:10" ht="35.450000000000003" hidden="1" customHeight="1">
      <c r="G5831" s="113"/>
      <c r="J5831" s="28">
        <f>IFERROR(VLOOKUP(TEXT(B5831,"0"),STOCK!A:H,7,0),1)</f>
        <v>1</v>
      </c>
    </row>
    <row r="5832" spans="7:10" ht="35.450000000000003" hidden="1" customHeight="1">
      <c r="G5832" s="113"/>
      <c r="J5832" s="28">
        <f>IFERROR(VLOOKUP(TEXT(B5832,"0"),STOCK!A:H,7,0),1)</f>
        <v>1</v>
      </c>
    </row>
    <row r="5833" spans="7:10" ht="35.450000000000003" hidden="1" customHeight="1">
      <c r="G5833" s="113"/>
      <c r="J5833" s="28">
        <f>IFERROR(VLOOKUP(TEXT(B5833,"0"),STOCK!A:H,7,0),1)</f>
        <v>1</v>
      </c>
    </row>
    <row r="5834" spans="7:10" ht="35.450000000000003" hidden="1" customHeight="1">
      <c r="G5834" s="113"/>
      <c r="J5834" s="28">
        <f>IFERROR(VLOOKUP(TEXT(B5834,"0"),STOCK!A:H,7,0),1)</f>
        <v>1</v>
      </c>
    </row>
    <row r="5835" spans="7:10" ht="35.450000000000003" hidden="1" customHeight="1">
      <c r="G5835" s="113"/>
      <c r="J5835" s="28">
        <f>IFERROR(VLOOKUP(TEXT(B5835,"0"),STOCK!A:H,7,0),1)</f>
        <v>1</v>
      </c>
    </row>
    <row r="5836" spans="7:10" ht="35.450000000000003" hidden="1" customHeight="1">
      <c r="G5836" s="113"/>
      <c r="J5836" s="28">
        <f>IFERROR(VLOOKUP(TEXT(B5836,"0"),STOCK!A:H,7,0),1)</f>
        <v>1</v>
      </c>
    </row>
    <row r="5837" spans="7:10" ht="35.450000000000003" hidden="1" customHeight="1">
      <c r="G5837" s="113"/>
      <c r="J5837" s="28">
        <f>IFERROR(VLOOKUP(TEXT(B5837,"0"),STOCK!A:H,7,0),1)</f>
        <v>1</v>
      </c>
    </row>
    <row r="5838" spans="7:10" ht="35.450000000000003" hidden="1" customHeight="1">
      <c r="G5838" s="113"/>
      <c r="J5838" s="28">
        <f>IFERROR(VLOOKUP(TEXT(B5838,"0"),STOCK!A:H,7,0),1)</f>
        <v>1</v>
      </c>
    </row>
    <row r="5839" spans="7:10" ht="35.450000000000003" hidden="1" customHeight="1">
      <c r="G5839" s="113"/>
      <c r="J5839" s="28">
        <f>IFERROR(VLOOKUP(TEXT(B5839,"0"),STOCK!A:H,7,0),1)</f>
        <v>1</v>
      </c>
    </row>
    <row r="5840" spans="7:10" ht="35.450000000000003" hidden="1" customHeight="1">
      <c r="G5840" s="113"/>
      <c r="J5840" s="28">
        <f>IFERROR(VLOOKUP(TEXT(B5840,"0"),STOCK!A:H,7,0),1)</f>
        <v>1</v>
      </c>
    </row>
    <row r="5841" spans="7:10" ht="35.450000000000003" hidden="1" customHeight="1">
      <c r="G5841" s="113"/>
      <c r="J5841" s="28">
        <f>IFERROR(VLOOKUP(TEXT(B5841,"0"),STOCK!A:H,7,0),1)</f>
        <v>1</v>
      </c>
    </row>
    <row r="5842" spans="7:10" ht="35.450000000000003" hidden="1" customHeight="1">
      <c r="G5842" s="113"/>
      <c r="J5842" s="28">
        <f>IFERROR(VLOOKUP(TEXT(B5842,"0"),STOCK!A:H,7,0),1)</f>
        <v>1</v>
      </c>
    </row>
    <row r="5843" spans="7:10" ht="35.450000000000003" hidden="1" customHeight="1">
      <c r="G5843" s="113"/>
      <c r="J5843" s="28">
        <f>IFERROR(VLOOKUP(TEXT(B5843,"0"),STOCK!A:H,7,0),1)</f>
        <v>1</v>
      </c>
    </row>
    <row r="5844" spans="7:10" ht="35.450000000000003" hidden="1" customHeight="1">
      <c r="G5844" s="113"/>
      <c r="J5844" s="28">
        <f>IFERROR(VLOOKUP(TEXT(B5844,"0"),STOCK!A:H,7,0),1)</f>
        <v>1</v>
      </c>
    </row>
    <row r="5845" spans="7:10" ht="35.450000000000003" hidden="1" customHeight="1">
      <c r="G5845" s="113"/>
      <c r="J5845" s="28">
        <f>IFERROR(VLOOKUP(TEXT(B5845,"0"),STOCK!A:H,7,0),1)</f>
        <v>1</v>
      </c>
    </row>
    <row r="5846" spans="7:10" ht="35.450000000000003" hidden="1" customHeight="1">
      <c r="G5846" s="113"/>
      <c r="J5846" s="28">
        <f>IFERROR(VLOOKUP(TEXT(B5846,"0"),STOCK!A:H,7,0),1)</f>
        <v>1</v>
      </c>
    </row>
    <row r="5847" spans="7:10" ht="35.450000000000003" hidden="1" customHeight="1">
      <c r="G5847" s="113"/>
      <c r="J5847" s="28">
        <f>IFERROR(VLOOKUP(TEXT(B5847,"0"),STOCK!A:H,7,0),1)</f>
        <v>1</v>
      </c>
    </row>
    <row r="5848" spans="7:10" ht="35.450000000000003" hidden="1" customHeight="1">
      <c r="G5848" s="113"/>
      <c r="J5848" s="28">
        <f>IFERROR(VLOOKUP(TEXT(B5848,"0"),STOCK!A:H,7,0),1)</f>
        <v>1</v>
      </c>
    </row>
    <row r="5849" spans="7:10" ht="35.450000000000003" hidden="1" customHeight="1">
      <c r="G5849" s="113"/>
      <c r="J5849" s="28">
        <f>IFERROR(VLOOKUP(TEXT(B5849,"0"),STOCK!A:H,7,0),1)</f>
        <v>1</v>
      </c>
    </row>
    <row r="5850" spans="7:10" ht="35.450000000000003" hidden="1" customHeight="1">
      <c r="G5850" s="113"/>
      <c r="J5850" s="28">
        <f>IFERROR(VLOOKUP(TEXT(B5850,"0"),STOCK!A:H,7,0),1)</f>
        <v>1</v>
      </c>
    </row>
    <row r="5851" spans="7:10" ht="35.450000000000003" hidden="1" customHeight="1">
      <c r="G5851" s="113"/>
      <c r="J5851" s="28">
        <f>IFERROR(VLOOKUP(TEXT(B5851,"0"),STOCK!A:H,7,0),1)</f>
        <v>1</v>
      </c>
    </row>
    <row r="5852" spans="7:10" ht="35.450000000000003" hidden="1" customHeight="1">
      <c r="G5852" s="113"/>
      <c r="J5852" s="28">
        <f>IFERROR(VLOOKUP(TEXT(B5852,"0"),STOCK!A:H,7,0),1)</f>
        <v>1</v>
      </c>
    </row>
    <row r="5853" spans="7:10" ht="35.450000000000003" hidden="1" customHeight="1">
      <c r="G5853" s="113"/>
      <c r="J5853" s="28">
        <f>IFERROR(VLOOKUP(TEXT(B5853,"0"),STOCK!A:H,7,0),1)</f>
        <v>1</v>
      </c>
    </row>
    <row r="5854" spans="7:10" ht="35.450000000000003" hidden="1" customHeight="1">
      <c r="G5854" s="113"/>
      <c r="J5854" s="28">
        <f>IFERROR(VLOOKUP(TEXT(B5854,"0"),STOCK!A:H,7,0),1)</f>
        <v>1</v>
      </c>
    </row>
    <row r="5855" spans="7:10" ht="35.450000000000003" hidden="1" customHeight="1">
      <c r="G5855" s="113"/>
      <c r="J5855" s="28">
        <f>IFERROR(VLOOKUP(TEXT(B5855,"0"),STOCK!A:H,7,0),1)</f>
        <v>1</v>
      </c>
    </row>
    <row r="5856" spans="7:10" ht="35.450000000000003" hidden="1" customHeight="1">
      <c r="G5856" s="113"/>
      <c r="J5856" s="28">
        <f>IFERROR(VLOOKUP(TEXT(B5856,"0"),STOCK!A:H,7,0),1)</f>
        <v>1</v>
      </c>
    </row>
    <row r="5857" spans="7:10" ht="35.450000000000003" hidden="1" customHeight="1">
      <c r="G5857" s="113"/>
      <c r="J5857" s="28">
        <f>IFERROR(VLOOKUP(TEXT(B5857,"0"),STOCK!A:H,7,0),1)</f>
        <v>1</v>
      </c>
    </row>
    <row r="5858" spans="7:10" ht="35.450000000000003" hidden="1" customHeight="1">
      <c r="G5858" s="113"/>
      <c r="J5858" s="28">
        <f>IFERROR(VLOOKUP(TEXT(B5858,"0"),STOCK!A:H,7,0),1)</f>
        <v>1</v>
      </c>
    </row>
    <row r="5859" spans="7:10" ht="35.450000000000003" hidden="1" customHeight="1">
      <c r="G5859" s="113"/>
      <c r="J5859" s="28">
        <f>IFERROR(VLOOKUP(TEXT(B5859,"0"),STOCK!A:H,7,0),1)</f>
        <v>1</v>
      </c>
    </row>
    <row r="5860" spans="7:10" ht="35.450000000000003" hidden="1" customHeight="1">
      <c r="G5860" s="113"/>
      <c r="J5860" s="28">
        <f>IFERROR(VLOOKUP(TEXT(B5860,"0"),STOCK!A:H,7,0),1)</f>
        <v>1</v>
      </c>
    </row>
    <row r="5861" spans="7:10" ht="35.450000000000003" hidden="1" customHeight="1">
      <c r="G5861" s="113"/>
      <c r="J5861" s="28">
        <f>IFERROR(VLOOKUP(TEXT(B5861,"0"),STOCK!A:H,7,0),1)</f>
        <v>1</v>
      </c>
    </row>
    <row r="5862" spans="7:10" ht="35.450000000000003" hidden="1" customHeight="1">
      <c r="G5862" s="113"/>
      <c r="J5862" s="28">
        <f>IFERROR(VLOOKUP(TEXT(B5862,"0"),STOCK!A:H,7,0),1)</f>
        <v>1</v>
      </c>
    </row>
    <row r="5863" spans="7:10" ht="35.450000000000003" hidden="1" customHeight="1">
      <c r="G5863" s="113"/>
      <c r="J5863" s="28">
        <f>IFERROR(VLOOKUP(TEXT(B5863,"0"),STOCK!A:H,7,0),1)</f>
        <v>1</v>
      </c>
    </row>
    <row r="5864" spans="7:10" ht="35.450000000000003" hidden="1" customHeight="1">
      <c r="G5864" s="113"/>
      <c r="J5864" s="28">
        <f>IFERROR(VLOOKUP(TEXT(B5864,"0"),STOCK!A:H,7,0),1)</f>
        <v>1</v>
      </c>
    </row>
    <row r="5865" spans="7:10" ht="35.450000000000003" hidden="1" customHeight="1">
      <c r="G5865" s="113"/>
      <c r="J5865" s="28">
        <f>IFERROR(VLOOKUP(TEXT(B5865,"0"),STOCK!A:H,7,0),1)</f>
        <v>1</v>
      </c>
    </row>
    <row r="5866" spans="7:10" ht="35.450000000000003" hidden="1" customHeight="1">
      <c r="G5866" s="113"/>
      <c r="J5866" s="28">
        <f>IFERROR(VLOOKUP(TEXT(B5866,"0"),STOCK!A:H,7,0),1)</f>
        <v>1</v>
      </c>
    </row>
    <row r="5867" spans="7:10" ht="35.450000000000003" hidden="1" customHeight="1">
      <c r="G5867" s="113"/>
      <c r="J5867" s="28">
        <f>IFERROR(VLOOKUP(TEXT(B5867,"0"),STOCK!A:H,7,0),1)</f>
        <v>1</v>
      </c>
    </row>
    <row r="5868" spans="7:10" ht="35.450000000000003" hidden="1" customHeight="1">
      <c r="G5868" s="113"/>
      <c r="J5868" s="28">
        <f>IFERROR(VLOOKUP(TEXT(B5868,"0"),STOCK!A:H,7,0),1)</f>
        <v>1</v>
      </c>
    </row>
    <row r="5869" spans="7:10" ht="35.450000000000003" hidden="1" customHeight="1">
      <c r="G5869" s="113"/>
      <c r="J5869" s="28">
        <f>IFERROR(VLOOKUP(TEXT(B5869,"0"),STOCK!A:H,7,0),1)</f>
        <v>1</v>
      </c>
    </row>
    <row r="5870" spans="7:10" ht="35.450000000000003" hidden="1" customHeight="1">
      <c r="G5870" s="113"/>
      <c r="J5870" s="28">
        <f>IFERROR(VLOOKUP(TEXT(B5870,"0"),STOCK!A:H,7,0),1)</f>
        <v>1</v>
      </c>
    </row>
    <row r="5871" spans="7:10" ht="35.450000000000003" hidden="1" customHeight="1">
      <c r="G5871" s="113"/>
      <c r="J5871" s="28">
        <f>IFERROR(VLOOKUP(TEXT(B5871,"0"),STOCK!A:H,7,0),1)</f>
        <v>1</v>
      </c>
    </row>
    <row r="5872" spans="7:10" ht="35.450000000000003" hidden="1" customHeight="1">
      <c r="G5872" s="113"/>
      <c r="J5872" s="28">
        <f>IFERROR(VLOOKUP(TEXT(B5872,"0"),STOCK!A:H,7,0),1)</f>
        <v>1</v>
      </c>
    </row>
    <row r="5873" spans="7:10" ht="35.450000000000003" hidden="1" customHeight="1">
      <c r="G5873" s="113"/>
      <c r="J5873" s="28">
        <f>IFERROR(VLOOKUP(TEXT(B5873,"0"),STOCK!A:H,7,0),1)</f>
        <v>1</v>
      </c>
    </row>
    <row r="5874" spans="7:10" ht="35.450000000000003" hidden="1" customHeight="1">
      <c r="G5874" s="113"/>
      <c r="J5874" s="28">
        <f>IFERROR(VLOOKUP(TEXT(B5874,"0"),STOCK!A:H,7,0),1)</f>
        <v>1</v>
      </c>
    </row>
    <row r="5875" spans="7:10" ht="35.450000000000003" hidden="1" customHeight="1">
      <c r="G5875" s="113"/>
      <c r="J5875" s="28">
        <f>IFERROR(VLOOKUP(TEXT(B5875,"0"),STOCK!A:H,7,0),1)</f>
        <v>1</v>
      </c>
    </row>
    <row r="5876" spans="7:10" ht="35.450000000000003" hidden="1" customHeight="1">
      <c r="G5876" s="113"/>
      <c r="J5876" s="28">
        <f>IFERROR(VLOOKUP(TEXT(B5876,"0"),STOCK!A:H,7,0),1)</f>
        <v>1</v>
      </c>
    </row>
    <row r="5877" spans="7:10" ht="35.450000000000003" hidden="1" customHeight="1">
      <c r="G5877" s="113"/>
      <c r="J5877" s="28">
        <f>IFERROR(VLOOKUP(TEXT(B5877,"0"),STOCK!A:H,7,0),1)</f>
        <v>1</v>
      </c>
    </row>
    <row r="5878" spans="7:10" ht="35.450000000000003" hidden="1" customHeight="1">
      <c r="G5878" s="113"/>
      <c r="J5878" s="28">
        <f>IFERROR(VLOOKUP(TEXT(B5878,"0"),STOCK!A:H,7,0),1)</f>
        <v>1</v>
      </c>
    </row>
    <row r="5879" spans="7:10" ht="35.450000000000003" hidden="1" customHeight="1">
      <c r="G5879" s="113"/>
      <c r="J5879" s="28">
        <f>IFERROR(VLOOKUP(TEXT(B5879,"0"),STOCK!A:H,7,0),1)</f>
        <v>1</v>
      </c>
    </row>
    <row r="5880" spans="7:10" ht="35.450000000000003" hidden="1" customHeight="1">
      <c r="G5880" s="113"/>
      <c r="J5880" s="28">
        <f>IFERROR(VLOOKUP(TEXT(B5880,"0"),STOCK!A:H,7,0),1)</f>
        <v>1</v>
      </c>
    </row>
    <row r="5881" spans="7:10" ht="35.450000000000003" hidden="1" customHeight="1">
      <c r="G5881" s="113"/>
      <c r="J5881" s="28">
        <f>IFERROR(VLOOKUP(TEXT(B5881,"0"),STOCK!A:H,7,0),1)</f>
        <v>1</v>
      </c>
    </row>
    <row r="5882" spans="7:10" ht="35.450000000000003" hidden="1" customHeight="1">
      <c r="G5882" s="113"/>
      <c r="J5882" s="28">
        <f>IFERROR(VLOOKUP(TEXT(B5882,"0"),STOCK!A:H,7,0),1)</f>
        <v>1</v>
      </c>
    </row>
    <row r="5883" spans="7:10" ht="35.450000000000003" hidden="1" customHeight="1">
      <c r="G5883" s="113"/>
      <c r="J5883" s="28">
        <f>IFERROR(VLOOKUP(TEXT(B5883,"0"),STOCK!A:H,7,0),1)</f>
        <v>1</v>
      </c>
    </row>
    <row r="5884" spans="7:10" ht="35.450000000000003" hidden="1" customHeight="1">
      <c r="G5884" s="113"/>
      <c r="J5884" s="28">
        <f>IFERROR(VLOOKUP(TEXT(B5884,"0"),STOCK!A:H,7,0),1)</f>
        <v>1</v>
      </c>
    </row>
    <row r="5885" spans="7:10" ht="35.450000000000003" hidden="1" customHeight="1">
      <c r="G5885" s="113"/>
      <c r="J5885" s="28">
        <f>IFERROR(VLOOKUP(TEXT(B5885,"0"),STOCK!A:H,7,0),1)</f>
        <v>1</v>
      </c>
    </row>
    <row r="5886" spans="7:10" ht="35.450000000000003" hidden="1" customHeight="1">
      <c r="G5886" s="113"/>
      <c r="J5886" s="28">
        <f>IFERROR(VLOOKUP(TEXT(B5886,"0"),STOCK!A:H,7,0),1)</f>
        <v>1</v>
      </c>
    </row>
    <row r="5887" spans="7:10" ht="35.450000000000003" hidden="1" customHeight="1">
      <c r="G5887" s="113"/>
      <c r="J5887" s="28">
        <f>IFERROR(VLOOKUP(TEXT(B5887,"0"),STOCK!A:H,7,0),1)</f>
        <v>1</v>
      </c>
    </row>
    <row r="5888" spans="7:10" ht="35.450000000000003" hidden="1" customHeight="1">
      <c r="G5888" s="113"/>
      <c r="J5888" s="28">
        <f>IFERROR(VLOOKUP(TEXT(B5888,"0"),STOCK!A:H,7,0),1)</f>
        <v>1</v>
      </c>
    </row>
    <row r="5889" spans="7:10" ht="35.450000000000003" hidden="1" customHeight="1">
      <c r="G5889" s="113"/>
      <c r="J5889" s="28">
        <f>IFERROR(VLOOKUP(TEXT(B5889,"0"),STOCK!A:H,7,0),1)</f>
        <v>1</v>
      </c>
    </row>
    <row r="5890" spans="7:10" ht="35.450000000000003" hidden="1" customHeight="1">
      <c r="G5890" s="113"/>
      <c r="J5890" s="28">
        <f>IFERROR(VLOOKUP(TEXT(B5890,"0"),STOCK!A:H,7,0),1)</f>
        <v>1</v>
      </c>
    </row>
    <row r="5891" spans="7:10" ht="35.450000000000003" hidden="1" customHeight="1">
      <c r="G5891" s="113"/>
      <c r="J5891" s="28">
        <f>IFERROR(VLOOKUP(TEXT(B5891,"0"),STOCK!A:H,7,0),1)</f>
        <v>1</v>
      </c>
    </row>
    <row r="5892" spans="7:10" ht="35.450000000000003" hidden="1" customHeight="1">
      <c r="G5892" s="113"/>
      <c r="J5892" s="28">
        <f>IFERROR(VLOOKUP(TEXT(B5892,"0"),STOCK!A:H,7,0),1)</f>
        <v>1</v>
      </c>
    </row>
    <row r="5893" spans="7:10" ht="35.450000000000003" hidden="1" customHeight="1">
      <c r="G5893" s="113"/>
      <c r="J5893" s="28">
        <f>IFERROR(VLOOKUP(TEXT(B5893,"0"),STOCK!A:H,7,0),1)</f>
        <v>1</v>
      </c>
    </row>
    <row r="5894" spans="7:10" ht="35.450000000000003" hidden="1" customHeight="1">
      <c r="G5894" s="113"/>
      <c r="J5894" s="28">
        <f>IFERROR(VLOOKUP(TEXT(B5894,"0"),STOCK!A:H,7,0),1)</f>
        <v>1</v>
      </c>
    </row>
    <row r="5895" spans="7:10" ht="35.450000000000003" hidden="1" customHeight="1">
      <c r="G5895" s="113"/>
      <c r="J5895" s="28">
        <f>IFERROR(VLOOKUP(TEXT(B5895,"0"),STOCK!A:H,7,0),1)</f>
        <v>1</v>
      </c>
    </row>
    <row r="5896" spans="7:10" ht="35.450000000000003" hidden="1" customHeight="1">
      <c r="G5896" s="113"/>
      <c r="J5896" s="28">
        <f>IFERROR(VLOOKUP(TEXT(B5896,"0"),STOCK!A:H,7,0),1)</f>
        <v>1</v>
      </c>
    </row>
    <row r="5897" spans="7:10" ht="35.450000000000003" hidden="1" customHeight="1">
      <c r="G5897" s="113"/>
      <c r="J5897" s="28">
        <f>IFERROR(VLOOKUP(TEXT(B5897,"0"),STOCK!A:H,7,0),1)</f>
        <v>1</v>
      </c>
    </row>
    <row r="5898" spans="7:10" ht="35.450000000000003" hidden="1" customHeight="1">
      <c r="G5898" s="113"/>
      <c r="J5898" s="28">
        <f>IFERROR(VLOOKUP(TEXT(B5898,"0"),STOCK!A:H,7,0),1)</f>
        <v>1</v>
      </c>
    </row>
    <row r="5899" spans="7:10" ht="35.450000000000003" hidden="1" customHeight="1">
      <c r="G5899" s="113"/>
      <c r="J5899" s="28">
        <f>IFERROR(VLOOKUP(TEXT(B5899,"0"),STOCK!A:H,7,0),1)</f>
        <v>1</v>
      </c>
    </row>
    <row r="5900" spans="7:10" ht="35.450000000000003" hidden="1" customHeight="1">
      <c r="G5900" s="113"/>
      <c r="J5900" s="28">
        <f>IFERROR(VLOOKUP(TEXT(B5900,"0"),STOCK!A:H,7,0),1)</f>
        <v>1</v>
      </c>
    </row>
    <row r="5901" spans="7:10" ht="35.450000000000003" hidden="1" customHeight="1">
      <c r="G5901" s="113"/>
      <c r="J5901" s="28">
        <f>IFERROR(VLOOKUP(TEXT(B5901,"0"),STOCK!A:H,7,0),1)</f>
        <v>1</v>
      </c>
    </row>
    <row r="5902" spans="7:10" ht="35.450000000000003" hidden="1" customHeight="1">
      <c r="G5902" s="113"/>
      <c r="J5902" s="28">
        <f>IFERROR(VLOOKUP(TEXT(B5902,"0"),STOCK!A:H,7,0),1)</f>
        <v>1</v>
      </c>
    </row>
    <row r="5903" spans="7:10" ht="35.450000000000003" hidden="1" customHeight="1">
      <c r="G5903" s="113"/>
      <c r="J5903" s="28">
        <f>IFERROR(VLOOKUP(TEXT(B5903,"0"),STOCK!A:H,7,0),1)</f>
        <v>1</v>
      </c>
    </row>
    <row r="5904" spans="7:10" ht="35.450000000000003" hidden="1" customHeight="1">
      <c r="G5904" s="113"/>
      <c r="J5904" s="28">
        <f>IFERROR(VLOOKUP(TEXT(B5904,"0"),STOCK!A:H,7,0),1)</f>
        <v>1</v>
      </c>
    </row>
    <row r="5905" spans="7:10" ht="35.450000000000003" hidden="1" customHeight="1">
      <c r="G5905" s="113"/>
      <c r="J5905" s="28">
        <f>IFERROR(VLOOKUP(TEXT(B5905,"0"),STOCK!A:H,7,0),1)</f>
        <v>1</v>
      </c>
    </row>
    <row r="5906" spans="7:10" ht="35.450000000000003" hidden="1" customHeight="1">
      <c r="G5906" s="113"/>
      <c r="J5906" s="28">
        <f>IFERROR(VLOOKUP(TEXT(B5906,"0"),STOCK!A:H,7,0),1)</f>
        <v>1</v>
      </c>
    </row>
    <row r="5907" spans="7:10" ht="35.450000000000003" hidden="1" customHeight="1">
      <c r="G5907" s="113"/>
      <c r="J5907" s="28">
        <f>IFERROR(VLOOKUP(TEXT(B5907,"0"),STOCK!A:H,7,0),1)</f>
        <v>1</v>
      </c>
    </row>
    <row r="5908" spans="7:10" ht="35.450000000000003" hidden="1" customHeight="1">
      <c r="G5908" s="113"/>
      <c r="J5908" s="28">
        <f>IFERROR(VLOOKUP(TEXT(B5908,"0"),STOCK!A:H,7,0),1)</f>
        <v>1</v>
      </c>
    </row>
    <row r="5909" spans="7:10" ht="35.450000000000003" hidden="1" customHeight="1">
      <c r="G5909" s="113"/>
      <c r="J5909" s="28">
        <f>IFERROR(VLOOKUP(TEXT(B5909,"0"),STOCK!A:H,7,0),1)</f>
        <v>1</v>
      </c>
    </row>
    <row r="5910" spans="7:10" ht="35.450000000000003" hidden="1" customHeight="1">
      <c r="G5910" s="113"/>
      <c r="J5910" s="28">
        <f>IFERROR(VLOOKUP(TEXT(B5910,"0"),STOCK!A:H,7,0),1)</f>
        <v>1</v>
      </c>
    </row>
    <row r="5911" spans="7:10" ht="35.450000000000003" hidden="1" customHeight="1">
      <c r="G5911" s="113"/>
      <c r="J5911" s="28">
        <f>IFERROR(VLOOKUP(TEXT(B5911,"0"),STOCK!A:H,7,0),1)</f>
        <v>1</v>
      </c>
    </row>
    <row r="5912" spans="7:10" ht="35.450000000000003" hidden="1" customHeight="1">
      <c r="G5912" s="113"/>
      <c r="J5912" s="28">
        <f>IFERROR(VLOOKUP(TEXT(B5912,"0"),STOCK!A:H,7,0),1)</f>
        <v>1</v>
      </c>
    </row>
    <row r="5913" spans="7:10" ht="35.450000000000003" hidden="1" customHeight="1">
      <c r="G5913" s="113"/>
      <c r="J5913" s="28">
        <f>IFERROR(VLOOKUP(TEXT(B5913,"0"),STOCK!A:H,7,0),1)</f>
        <v>1</v>
      </c>
    </row>
    <row r="5914" spans="7:10" ht="35.450000000000003" hidden="1" customHeight="1">
      <c r="G5914" s="113"/>
      <c r="J5914" s="28">
        <f>IFERROR(VLOOKUP(TEXT(B5914,"0"),STOCK!A:H,7,0),1)</f>
        <v>1</v>
      </c>
    </row>
    <row r="5915" spans="7:10" ht="35.450000000000003" hidden="1" customHeight="1">
      <c r="G5915" s="113"/>
      <c r="J5915" s="28">
        <f>IFERROR(VLOOKUP(TEXT(B5915,"0"),STOCK!A:H,7,0),1)</f>
        <v>1</v>
      </c>
    </row>
    <row r="5916" spans="7:10" ht="35.450000000000003" hidden="1" customHeight="1">
      <c r="G5916" s="113"/>
      <c r="J5916" s="28">
        <f>IFERROR(VLOOKUP(TEXT(B5916,"0"),STOCK!A:H,7,0),1)</f>
        <v>1</v>
      </c>
    </row>
    <row r="5917" spans="7:10" ht="35.450000000000003" hidden="1" customHeight="1">
      <c r="G5917" s="113"/>
      <c r="J5917" s="28">
        <f>IFERROR(VLOOKUP(TEXT(B5917,"0"),STOCK!A:H,7,0),1)</f>
        <v>1</v>
      </c>
    </row>
    <row r="5918" spans="7:10" ht="35.450000000000003" hidden="1" customHeight="1">
      <c r="G5918" s="113"/>
      <c r="J5918" s="28">
        <f>IFERROR(VLOOKUP(TEXT(B5918,"0"),STOCK!A:H,7,0),1)</f>
        <v>1</v>
      </c>
    </row>
    <row r="5919" spans="7:10" ht="35.450000000000003" hidden="1" customHeight="1">
      <c r="G5919" s="113"/>
      <c r="J5919" s="28">
        <f>IFERROR(VLOOKUP(TEXT(B5919,"0"),STOCK!A:H,7,0),1)</f>
        <v>1</v>
      </c>
    </row>
    <row r="5920" spans="7:10" ht="35.450000000000003" hidden="1" customHeight="1">
      <c r="G5920" s="113"/>
      <c r="J5920" s="28">
        <f>IFERROR(VLOOKUP(TEXT(B5920,"0"),STOCK!A:H,7,0),1)</f>
        <v>1</v>
      </c>
    </row>
    <row r="5921" spans="7:10" ht="35.450000000000003" hidden="1" customHeight="1">
      <c r="G5921" s="113"/>
      <c r="J5921" s="28">
        <f>IFERROR(VLOOKUP(TEXT(B5921,"0"),STOCK!A:H,7,0),1)</f>
        <v>1</v>
      </c>
    </row>
    <row r="5922" spans="7:10" ht="35.450000000000003" hidden="1" customHeight="1">
      <c r="G5922" s="113"/>
      <c r="J5922" s="28">
        <f>IFERROR(VLOOKUP(TEXT(B5922,"0"),STOCK!A:H,7,0),1)</f>
        <v>1</v>
      </c>
    </row>
    <row r="5923" spans="7:10" ht="35.450000000000003" hidden="1" customHeight="1">
      <c r="G5923" s="113"/>
      <c r="J5923" s="28">
        <f>IFERROR(VLOOKUP(TEXT(B5923,"0"),STOCK!A:H,7,0),1)</f>
        <v>1</v>
      </c>
    </row>
    <row r="5924" spans="7:10" ht="35.450000000000003" hidden="1" customHeight="1">
      <c r="G5924" s="113"/>
      <c r="J5924" s="28">
        <f>IFERROR(VLOOKUP(TEXT(B5924,"0"),STOCK!A:H,7,0),1)</f>
        <v>1</v>
      </c>
    </row>
    <row r="5925" spans="7:10" ht="35.450000000000003" hidden="1" customHeight="1">
      <c r="G5925" s="113"/>
      <c r="J5925" s="28">
        <f>IFERROR(VLOOKUP(TEXT(B5925,"0"),STOCK!A:H,7,0),1)</f>
        <v>1</v>
      </c>
    </row>
    <row r="5926" spans="7:10" ht="35.450000000000003" hidden="1" customHeight="1">
      <c r="G5926" s="113"/>
      <c r="J5926" s="28">
        <f>IFERROR(VLOOKUP(TEXT(B5926,"0"),STOCK!A:H,7,0),1)</f>
        <v>1</v>
      </c>
    </row>
    <row r="5927" spans="7:10" ht="35.450000000000003" hidden="1" customHeight="1">
      <c r="G5927" s="113"/>
      <c r="J5927" s="28">
        <f>IFERROR(VLOOKUP(TEXT(B5927,"0"),STOCK!A:H,7,0),1)</f>
        <v>1</v>
      </c>
    </row>
    <row r="5928" spans="7:10" ht="35.450000000000003" hidden="1" customHeight="1">
      <c r="G5928" s="113"/>
      <c r="J5928" s="28">
        <f>IFERROR(VLOOKUP(TEXT(B5928,"0"),STOCK!A:H,7,0),1)</f>
        <v>1</v>
      </c>
    </row>
    <row r="5929" spans="7:10" ht="35.450000000000003" hidden="1" customHeight="1">
      <c r="G5929" s="113"/>
      <c r="J5929" s="28">
        <f>IFERROR(VLOOKUP(TEXT(B5929,"0"),STOCK!A:H,7,0),1)</f>
        <v>1</v>
      </c>
    </row>
    <row r="5930" spans="7:10" ht="35.450000000000003" hidden="1" customHeight="1">
      <c r="G5930" s="113"/>
      <c r="J5930" s="28">
        <f>IFERROR(VLOOKUP(TEXT(B5930,"0"),STOCK!A:H,7,0),1)</f>
        <v>1</v>
      </c>
    </row>
    <row r="5931" spans="7:10" ht="35.450000000000003" hidden="1" customHeight="1">
      <c r="G5931" s="113"/>
      <c r="J5931" s="28">
        <f>IFERROR(VLOOKUP(TEXT(B5931,"0"),STOCK!A:H,7,0),1)</f>
        <v>1</v>
      </c>
    </row>
    <row r="5932" spans="7:10" ht="35.450000000000003" hidden="1" customHeight="1">
      <c r="G5932" s="113"/>
      <c r="J5932" s="28">
        <f>IFERROR(VLOOKUP(TEXT(B5932,"0"),STOCK!A:H,7,0),1)</f>
        <v>1</v>
      </c>
    </row>
    <row r="5933" spans="7:10" ht="35.450000000000003" hidden="1" customHeight="1">
      <c r="G5933" s="113"/>
      <c r="J5933" s="28">
        <f>IFERROR(VLOOKUP(TEXT(B5933,"0"),STOCK!A:H,7,0),1)</f>
        <v>1</v>
      </c>
    </row>
    <row r="5934" spans="7:10" ht="35.450000000000003" hidden="1" customHeight="1">
      <c r="G5934" s="113"/>
      <c r="J5934" s="28">
        <f>IFERROR(VLOOKUP(TEXT(B5934,"0"),STOCK!A:H,7,0),1)</f>
        <v>1</v>
      </c>
    </row>
    <row r="5935" spans="7:10" ht="35.450000000000003" hidden="1" customHeight="1">
      <c r="G5935" s="113"/>
      <c r="J5935" s="28">
        <f>IFERROR(VLOOKUP(TEXT(B5935,"0"),STOCK!A:H,7,0),1)</f>
        <v>1</v>
      </c>
    </row>
    <row r="5936" spans="7:10" ht="35.450000000000003" hidden="1" customHeight="1">
      <c r="G5936" s="113"/>
      <c r="J5936" s="28">
        <f>IFERROR(VLOOKUP(TEXT(B5936,"0"),STOCK!A:H,7,0),1)</f>
        <v>1</v>
      </c>
    </row>
    <row r="5937" spans="7:10" ht="35.450000000000003" hidden="1" customHeight="1">
      <c r="G5937" s="113"/>
      <c r="J5937" s="28">
        <f>IFERROR(VLOOKUP(TEXT(B5937,"0"),STOCK!A:H,7,0),1)</f>
        <v>1</v>
      </c>
    </row>
    <row r="5938" spans="7:10" ht="35.450000000000003" hidden="1" customHeight="1">
      <c r="G5938" s="113"/>
      <c r="J5938" s="28">
        <f>IFERROR(VLOOKUP(TEXT(B5938,"0"),STOCK!A:H,7,0),1)</f>
        <v>1</v>
      </c>
    </row>
    <row r="5939" spans="7:10" ht="35.450000000000003" hidden="1" customHeight="1">
      <c r="G5939" s="113"/>
      <c r="J5939" s="28">
        <f>IFERROR(VLOOKUP(TEXT(B5939,"0"),STOCK!A:H,7,0),1)</f>
        <v>1</v>
      </c>
    </row>
    <row r="5940" spans="7:10" ht="35.450000000000003" hidden="1" customHeight="1">
      <c r="G5940" s="113"/>
      <c r="J5940" s="28">
        <f>IFERROR(VLOOKUP(TEXT(B5940,"0"),STOCK!A:H,7,0),1)</f>
        <v>1</v>
      </c>
    </row>
    <row r="5941" spans="7:10" ht="35.450000000000003" hidden="1" customHeight="1">
      <c r="G5941" s="113"/>
      <c r="J5941" s="28">
        <f>IFERROR(VLOOKUP(TEXT(B5941,"0"),STOCK!A:H,7,0),1)</f>
        <v>1</v>
      </c>
    </row>
    <row r="5942" spans="7:10" ht="35.450000000000003" hidden="1" customHeight="1">
      <c r="G5942" s="113"/>
      <c r="J5942" s="28">
        <f>IFERROR(VLOOKUP(TEXT(B5942,"0"),STOCK!A:H,7,0),1)</f>
        <v>1</v>
      </c>
    </row>
    <row r="5943" spans="7:10" ht="35.450000000000003" hidden="1" customHeight="1">
      <c r="G5943" s="113"/>
      <c r="J5943" s="28">
        <f>IFERROR(VLOOKUP(TEXT(B5943,"0"),STOCK!A:H,7,0),1)</f>
        <v>1</v>
      </c>
    </row>
    <row r="5944" spans="7:10" ht="35.450000000000003" hidden="1" customHeight="1">
      <c r="G5944" s="113"/>
      <c r="J5944" s="28">
        <f>IFERROR(VLOOKUP(TEXT(B5944,"0"),STOCK!A:H,7,0),1)</f>
        <v>1</v>
      </c>
    </row>
    <row r="5945" spans="7:10" ht="35.450000000000003" hidden="1" customHeight="1">
      <c r="G5945" s="113"/>
      <c r="J5945" s="28">
        <f>IFERROR(VLOOKUP(TEXT(B5945,"0"),STOCK!A:H,7,0),1)</f>
        <v>1</v>
      </c>
    </row>
    <row r="5946" spans="7:10" ht="35.450000000000003" hidden="1" customHeight="1">
      <c r="G5946" s="113"/>
      <c r="J5946" s="28">
        <f>IFERROR(VLOOKUP(TEXT(B5946,"0"),STOCK!A:H,7,0),1)</f>
        <v>1</v>
      </c>
    </row>
    <row r="5947" spans="7:10" ht="35.450000000000003" hidden="1" customHeight="1">
      <c r="G5947" s="113"/>
      <c r="J5947" s="28">
        <f>IFERROR(VLOOKUP(TEXT(B5947,"0"),STOCK!A:H,7,0),1)</f>
        <v>1</v>
      </c>
    </row>
    <row r="5948" spans="7:10" ht="35.450000000000003" hidden="1" customHeight="1">
      <c r="G5948" s="113"/>
      <c r="J5948" s="28">
        <f>IFERROR(VLOOKUP(TEXT(B5948,"0"),STOCK!A:H,7,0),1)</f>
        <v>1</v>
      </c>
    </row>
    <row r="5949" spans="7:10" ht="35.450000000000003" hidden="1" customHeight="1">
      <c r="G5949" s="113"/>
      <c r="J5949" s="28">
        <f>IFERROR(VLOOKUP(TEXT(B5949,"0"),STOCK!A:H,7,0),1)</f>
        <v>1</v>
      </c>
    </row>
    <row r="5950" spans="7:10" ht="35.450000000000003" hidden="1" customHeight="1">
      <c r="G5950" s="113"/>
      <c r="J5950" s="28">
        <f>IFERROR(VLOOKUP(TEXT(B5950,"0"),STOCK!A:H,7,0),1)</f>
        <v>1</v>
      </c>
    </row>
    <row r="5951" spans="7:10" ht="35.450000000000003" hidden="1" customHeight="1">
      <c r="G5951" s="113"/>
      <c r="J5951" s="28">
        <f>IFERROR(VLOOKUP(TEXT(B5951,"0"),STOCK!A:H,7,0),1)</f>
        <v>1</v>
      </c>
    </row>
    <row r="5952" spans="7:10" ht="35.450000000000003" hidden="1" customHeight="1">
      <c r="G5952" s="113"/>
      <c r="J5952" s="28">
        <f>IFERROR(VLOOKUP(TEXT(B5952,"0"),STOCK!A:H,7,0),1)</f>
        <v>1</v>
      </c>
    </row>
    <row r="5953" spans="7:10" ht="35.450000000000003" hidden="1" customHeight="1">
      <c r="G5953" s="113"/>
      <c r="J5953" s="28">
        <f>IFERROR(VLOOKUP(TEXT(B5953,"0"),STOCK!A:H,7,0),1)</f>
        <v>1</v>
      </c>
    </row>
    <row r="5954" spans="7:10" ht="35.450000000000003" hidden="1" customHeight="1">
      <c r="G5954" s="113"/>
      <c r="J5954" s="28">
        <f>IFERROR(VLOOKUP(TEXT(B5954,"0"),STOCK!A:H,7,0),1)</f>
        <v>1</v>
      </c>
    </row>
    <row r="5955" spans="7:10" ht="35.450000000000003" hidden="1" customHeight="1">
      <c r="G5955" s="113"/>
      <c r="J5955" s="28">
        <f>IFERROR(VLOOKUP(TEXT(B5955,"0"),STOCK!A:H,7,0),1)</f>
        <v>1</v>
      </c>
    </row>
    <row r="5956" spans="7:10" ht="35.450000000000003" hidden="1" customHeight="1">
      <c r="G5956" s="113"/>
      <c r="J5956" s="28">
        <f>IFERROR(VLOOKUP(TEXT(B5956,"0"),STOCK!A:H,7,0),1)</f>
        <v>1</v>
      </c>
    </row>
    <row r="5957" spans="7:10" ht="35.450000000000003" hidden="1" customHeight="1">
      <c r="G5957" s="113"/>
      <c r="J5957" s="28">
        <f>IFERROR(VLOOKUP(TEXT(B5957,"0"),STOCK!A:H,7,0),1)</f>
        <v>1</v>
      </c>
    </row>
    <row r="5958" spans="7:10" ht="35.450000000000003" hidden="1" customHeight="1">
      <c r="G5958" s="113"/>
      <c r="J5958" s="28">
        <f>IFERROR(VLOOKUP(TEXT(B5958,"0"),STOCK!A:H,7,0),1)</f>
        <v>1</v>
      </c>
    </row>
    <row r="5959" spans="7:10" ht="35.450000000000003" hidden="1" customHeight="1">
      <c r="G5959" s="113"/>
      <c r="J5959" s="28">
        <f>IFERROR(VLOOKUP(TEXT(B5959,"0"),STOCK!A:H,7,0),1)</f>
        <v>1</v>
      </c>
    </row>
    <row r="5960" spans="7:10" ht="35.450000000000003" hidden="1" customHeight="1">
      <c r="G5960" s="113"/>
      <c r="J5960" s="28">
        <f>IFERROR(VLOOKUP(TEXT(B5960,"0"),STOCK!A:H,7,0),1)</f>
        <v>1</v>
      </c>
    </row>
    <row r="5961" spans="7:10" ht="35.450000000000003" hidden="1" customHeight="1">
      <c r="G5961" s="113"/>
      <c r="J5961" s="28">
        <f>IFERROR(VLOOKUP(TEXT(B5961,"0"),STOCK!A:H,7,0),1)</f>
        <v>1</v>
      </c>
    </row>
    <row r="5962" spans="7:10" ht="35.450000000000003" hidden="1" customHeight="1">
      <c r="G5962" s="113"/>
      <c r="J5962" s="28">
        <f>IFERROR(VLOOKUP(TEXT(B5962,"0"),STOCK!A:H,7,0),1)</f>
        <v>1</v>
      </c>
    </row>
    <row r="5963" spans="7:10" ht="35.450000000000003" hidden="1" customHeight="1">
      <c r="G5963" s="113"/>
      <c r="J5963" s="28">
        <f>IFERROR(VLOOKUP(TEXT(B5963,"0"),STOCK!A:H,7,0),1)</f>
        <v>1</v>
      </c>
    </row>
    <row r="5964" spans="7:10" ht="35.450000000000003" hidden="1" customHeight="1">
      <c r="G5964" s="113"/>
      <c r="J5964" s="28">
        <f>IFERROR(VLOOKUP(TEXT(B5964,"0"),STOCK!A:H,7,0),1)</f>
        <v>1</v>
      </c>
    </row>
    <row r="5965" spans="7:10" ht="35.450000000000003" hidden="1" customHeight="1">
      <c r="G5965" s="113"/>
      <c r="J5965" s="28">
        <f>IFERROR(VLOOKUP(TEXT(B5965,"0"),STOCK!A:H,7,0),1)</f>
        <v>1</v>
      </c>
    </row>
    <row r="5966" spans="7:10" ht="35.450000000000003" hidden="1" customHeight="1">
      <c r="G5966" s="113"/>
      <c r="J5966" s="28">
        <f>IFERROR(VLOOKUP(TEXT(B5966,"0"),STOCK!A:H,7,0),1)</f>
        <v>1</v>
      </c>
    </row>
    <row r="5967" spans="7:10" ht="35.450000000000003" hidden="1" customHeight="1">
      <c r="G5967" s="113"/>
      <c r="J5967" s="28">
        <f>IFERROR(VLOOKUP(TEXT(B5967,"0"),STOCK!A:H,7,0),1)</f>
        <v>1</v>
      </c>
    </row>
    <row r="5968" spans="7:10" ht="35.450000000000003" hidden="1" customHeight="1">
      <c r="G5968" s="113"/>
      <c r="J5968" s="28">
        <f>IFERROR(VLOOKUP(TEXT(B5968,"0"),STOCK!A:H,7,0),1)</f>
        <v>1</v>
      </c>
    </row>
    <row r="5969" spans="7:10" ht="35.450000000000003" hidden="1" customHeight="1">
      <c r="G5969" s="113"/>
      <c r="J5969" s="28">
        <f>IFERROR(VLOOKUP(TEXT(B5969,"0"),STOCK!A:H,7,0),1)</f>
        <v>1</v>
      </c>
    </row>
    <row r="5970" spans="7:10" ht="35.450000000000003" hidden="1" customHeight="1">
      <c r="G5970" s="113"/>
      <c r="J5970" s="28">
        <f>IFERROR(VLOOKUP(TEXT(B5970,"0"),STOCK!A:H,7,0),1)</f>
        <v>1</v>
      </c>
    </row>
    <row r="5971" spans="7:10" ht="35.450000000000003" hidden="1" customHeight="1">
      <c r="G5971" s="113"/>
      <c r="J5971" s="28">
        <f>IFERROR(VLOOKUP(TEXT(B5971,"0"),STOCK!A:H,7,0),1)</f>
        <v>1</v>
      </c>
    </row>
    <row r="5972" spans="7:10" ht="35.450000000000003" hidden="1" customHeight="1">
      <c r="G5972" s="113"/>
      <c r="J5972" s="28">
        <f>IFERROR(VLOOKUP(TEXT(B5972,"0"),STOCK!A:H,7,0),1)</f>
        <v>1</v>
      </c>
    </row>
    <row r="5973" spans="7:10" ht="35.450000000000003" hidden="1" customHeight="1">
      <c r="G5973" s="113"/>
      <c r="J5973" s="28">
        <f>IFERROR(VLOOKUP(TEXT(B5973,"0"),STOCK!A:H,7,0),1)</f>
        <v>1</v>
      </c>
    </row>
    <row r="5974" spans="7:10" ht="35.450000000000003" hidden="1" customHeight="1">
      <c r="G5974" s="113"/>
      <c r="J5974" s="28">
        <f>IFERROR(VLOOKUP(TEXT(B5974,"0"),STOCK!A:H,7,0),1)</f>
        <v>1</v>
      </c>
    </row>
    <row r="5975" spans="7:10" ht="35.450000000000003" hidden="1" customHeight="1">
      <c r="G5975" s="113"/>
      <c r="J5975" s="28">
        <f>IFERROR(VLOOKUP(TEXT(B5975,"0"),STOCK!A:H,7,0),1)</f>
        <v>1</v>
      </c>
    </row>
    <row r="5976" spans="7:10" ht="35.450000000000003" hidden="1" customHeight="1">
      <c r="G5976" s="113"/>
      <c r="J5976" s="28">
        <f>IFERROR(VLOOKUP(TEXT(B5976,"0"),STOCK!A:H,7,0),1)</f>
        <v>1</v>
      </c>
    </row>
    <row r="5977" spans="7:10" ht="35.450000000000003" hidden="1" customHeight="1">
      <c r="G5977" s="113"/>
      <c r="J5977" s="28">
        <f>IFERROR(VLOOKUP(TEXT(B5977,"0"),STOCK!A:H,7,0),1)</f>
        <v>1</v>
      </c>
    </row>
    <row r="5978" spans="7:10" ht="35.450000000000003" hidden="1" customHeight="1">
      <c r="G5978" s="113"/>
      <c r="J5978" s="28">
        <f>IFERROR(VLOOKUP(TEXT(B5978,"0"),STOCK!A:H,7,0),1)</f>
        <v>1</v>
      </c>
    </row>
    <row r="5979" spans="7:10" ht="35.450000000000003" hidden="1" customHeight="1">
      <c r="G5979" s="113"/>
      <c r="J5979" s="28">
        <f>IFERROR(VLOOKUP(TEXT(B5979,"0"),STOCK!A:H,7,0),1)</f>
        <v>1</v>
      </c>
    </row>
    <row r="5980" spans="7:10" ht="35.450000000000003" hidden="1" customHeight="1">
      <c r="G5980" s="113"/>
      <c r="J5980" s="28">
        <f>IFERROR(VLOOKUP(TEXT(B5980,"0"),STOCK!A:H,7,0),1)</f>
        <v>1</v>
      </c>
    </row>
    <row r="5981" spans="7:10" ht="35.450000000000003" hidden="1" customHeight="1">
      <c r="G5981" s="113"/>
      <c r="J5981" s="28">
        <f>IFERROR(VLOOKUP(TEXT(B5981,"0"),STOCK!A:H,7,0),1)</f>
        <v>1</v>
      </c>
    </row>
    <row r="5982" spans="7:10" ht="35.450000000000003" hidden="1" customHeight="1">
      <c r="G5982" s="113"/>
      <c r="J5982" s="28">
        <f>IFERROR(VLOOKUP(TEXT(B5982,"0"),STOCK!A:H,7,0),1)</f>
        <v>1</v>
      </c>
    </row>
    <row r="5983" spans="7:10" ht="35.450000000000003" hidden="1" customHeight="1">
      <c r="G5983" s="113"/>
      <c r="J5983" s="28">
        <f>IFERROR(VLOOKUP(TEXT(B5983,"0"),STOCK!A:H,7,0),1)</f>
        <v>1</v>
      </c>
    </row>
    <row r="5984" spans="7:10" ht="35.450000000000003" hidden="1" customHeight="1">
      <c r="G5984" s="113"/>
      <c r="J5984" s="28">
        <f>IFERROR(VLOOKUP(TEXT(B5984,"0"),STOCK!A:H,7,0),1)</f>
        <v>1</v>
      </c>
    </row>
    <row r="5985" spans="7:10" ht="35.450000000000003" hidden="1" customHeight="1">
      <c r="G5985" s="113"/>
      <c r="J5985" s="28">
        <f>IFERROR(VLOOKUP(TEXT(B5985,"0"),STOCK!A:H,7,0),1)</f>
        <v>1</v>
      </c>
    </row>
    <row r="5986" spans="7:10" ht="35.450000000000003" hidden="1" customHeight="1">
      <c r="G5986" s="113"/>
      <c r="J5986" s="28">
        <f>IFERROR(VLOOKUP(TEXT(B5986,"0"),STOCK!A:H,7,0),1)</f>
        <v>1</v>
      </c>
    </row>
    <row r="5987" spans="7:10" ht="35.450000000000003" hidden="1" customHeight="1">
      <c r="G5987" s="113"/>
      <c r="J5987" s="28">
        <f>IFERROR(VLOOKUP(TEXT(B5987,"0"),STOCK!A:H,7,0),1)</f>
        <v>1</v>
      </c>
    </row>
    <row r="5988" spans="7:10" ht="35.450000000000003" hidden="1" customHeight="1">
      <c r="G5988" s="113"/>
      <c r="J5988" s="28">
        <f>IFERROR(VLOOKUP(TEXT(B5988,"0"),STOCK!A:H,7,0),1)</f>
        <v>1</v>
      </c>
    </row>
    <row r="5989" spans="7:10" ht="35.450000000000003" hidden="1" customHeight="1">
      <c r="G5989" s="113"/>
      <c r="J5989" s="28">
        <f>IFERROR(VLOOKUP(TEXT(B5989,"0"),STOCK!A:H,7,0),1)</f>
        <v>1</v>
      </c>
    </row>
    <row r="5990" spans="7:10" ht="35.450000000000003" hidden="1" customHeight="1">
      <c r="G5990" s="113"/>
      <c r="J5990" s="28">
        <f>IFERROR(VLOOKUP(TEXT(B5990,"0"),STOCK!A:H,7,0),1)</f>
        <v>1</v>
      </c>
    </row>
    <row r="5991" spans="7:10" ht="35.450000000000003" hidden="1" customHeight="1">
      <c r="G5991" s="113"/>
      <c r="J5991" s="28">
        <f>IFERROR(VLOOKUP(TEXT(B5991,"0"),STOCK!A:H,7,0),1)</f>
        <v>1</v>
      </c>
    </row>
    <row r="5992" spans="7:10" ht="35.450000000000003" hidden="1" customHeight="1">
      <c r="G5992" s="113"/>
      <c r="J5992" s="28">
        <f>IFERROR(VLOOKUP(TEXT(B5992,"0"),STOCK!A:H,7,0),1)</f>
        <v>1</v>
      </c>
    </row>
    <row r="5993" spans="7:10" ht="35.450000000000003" hidden="1" customHeight="1">
      <c r="G5993" s="113"/>
      <c r="J5993" s="28">
        <f>IFERROR(VLOOKUP(TEXT(B5993,"0"),STOCK!A:H,7,0),1)</f>
        <v>1</v>
      </c>
    </row>
    <row r="5994" spans="7:10" ht="35.450000000000003" hidden="1" customHeight="1">
      <c r="G5994" s="113"/>
      <c r="J5994" s="28">
        <f>IFERROR(VLOOKUP(TEXT(B5994,"0"),STOCK!A:H,7,0),1)</f>
        <v>1</v>
      </c>
    </row>
    <row r="5995" spans="7:10" ht="35.450000000000003" hidden="1" customHeight="1">
      <c r="G5995" s="113"/>
      <c r="J5995" s="28">
        <f>IFERROR(VLOOKUP(TEXT(B5995,"0"),STOCK!A:H,7,0),1)</f>
        <v>1</v>
      </c>
    </row>
    <row r="5996" spans="7:10" ht="35.450000000000003" hidden="1" customHeight="1">
      <c r="G5996" s="113"/>
      <c r="J5996" s="28">
        <f>IFERROR(VLOOKUP(TEXT(B5996,"0"),STOCK!A:H,7,0),1)</f>
        <v>1</v>
      </c>
    </row>
    <row r="5997" spans="7:10" ht="35.450000000000003" hidden="1" customHeight="1">
      <c r="G5997" s="113"/>
      <c r="J5997" s="28">
        <f>IFERROR(VLOOKUP(TEXT(B5997,"0"),STOCK!A:H,7,0),1)</f>
        <v>1</v>
      </c>
    </row>
    <row r="5998" spans="7:10" ht="35.450000000000003" hidden="1" customHeight="1">
      <c r="G5998" s="113"/>
      <c r="J5998" s="28">
        <f>IFERROR(VLOOKUP(TEXT(B5998,"0"),STOCK!A:H,7,0),1)</f>
        <v>1</v>
      </c>
    </row>
    <row r="5999" spans="7:10" ht="35.450000000000003" hidden="1" customHeight="1">
      <c r="G5999" s="113"/>
      <c r="J5999" s="28">
        <f>IFERROR(VLOOKUP(TEXT(B5999,"0"),STOCK!A:H,7,0),1)</f>
        <v>1</v>
      </c>
    </row>
    <row r="6000" spans="7:10" ht="35.450000000000003" hidden="1" customHeight="1">
      <c r="G6000" s="113"/>
      <c r="J6000" s="28">
        <f>IFERROR(VLOOKUP(TEXT(B6000,"0"),STOCK!A:H,7,0),1)</f>
        <v>1</v>
      </c>
    </row>
    <row r="6001" spans="7:10" ht="35.450000000000003" hidden="1" customHeight="1">
      <c r="G6001" s="113"/>
      <c r="J6001" s="28">
        <f>IFERROR(VLOOKUP(TEXT(B6001,"0"),STOCK!A:H,7,0),1)</f>
        <v>1</v>
      </c>
    </row>
    <row r="6002" spans="7:10" ht="35.450000000000003" hidden="1" customHeight="1">
      <c r="G6002" s="113"/>
      <c r="J6002" s="28">
        <f>IFERROR(VLOOKUP(TEXT(B6002,"0"),STOCK!A:H,7,0),1)</f>
        <v>1</v>
      </c>
    </row>
    <row r="6003" spans="7:10" ht="35.450000000000003" hidden="1" customHeight="1">
      <c r="G6003" s="113"/>
      <c r="J6003" s="28">
        <f>IFERROR(VLOOKUP(TEXT(B6003,"0"),STOCK!A:H,7,0),1)</f>
        <v>1</v>
      </c>
    </row>
    <row r="6004" spans="7:10" ht="35.450000000000003" hidden="1" customHeight="1">
      <c r="G6004" s="113"/>
      <c r="J6004" s="28">
        <f>IFERROR(VLOOKUP(TEXT(B6004,"0"),STOCK!A:H,7,0),1)</f>
        <v>1</v>
      </c>
    </row>
    <row r="6005" spans="7:10" ht="35.450000000000003" hidden="1" customHeight="1">
      <c r="G6005" s="113"/>
      <c r="J6005" s="28">
        <f>IFERROR(VLOOKUP(TEXT(B6005,"0"),STOCK!A:H,7,0),1)</f>
        <v>1</v>
      </c>
    </row>
    <row r="6006" spans="7:10" ht="35.450000000000003" hidden="1" customHeight="1">
      <c r="G6006" s="113"/>
      <c r="J6006" s="28">
        <f>IFERROR(VLOOKUP(TEXT(B6006,"0"),STOCK!A:H,7,0),1)</f>
        <v>1</v>
      </c>
    </row>
    <row r="6007" spans="7:10" ht="35.450000000000003" hidden="1" customHeight="1">
      <c r="G6007" s="113"/>
      <c r="J6007" s="28">
        <f>IFERROR(VLOOKUP(TEXT(B6007,"0"),STOCK!A:H,7,0),1)</f>
        <v>1</v>
      </c>
    </row>
    <row r="6008" spans="7:10" ht="35.450000000000003" hidden="1" customHeight="1">
      <c r="G6008" s="113"/>
      <c r="J6008" s="28">
        <f>IFERROR(VLOOKUP(TEXT(B6008,"0"),STOCK!A:H,7,0),1)</f>
        <v>1</v>
      </c>
    </row>
    <row r="6009" spans="7:10" ht="35.450000000000003" hidden="1" customHeight="1">
      <c r="G6009" s="113"/>
      <c r="J6009" s="28">
        <f>IFERROR(VLOOKUP(TEXT(B6009,"0"),STOCK!A:H,7,0),1)</f>
        <v>1</v>
      </c>
    </row>
    <row r="6010" spans="7:10" ht="35.450000000000003" hidden="1" customHeight="1">
      <c r="G6010" s="113"/>
      <c r="J6010" s="28">
        <f>IFERROR(VLOOKUP(TEXT(B6010,"0"),STOCK!A:H,7,0),1)</f>
        <v>1</v>
      </c>
    </row>
    <row r="6011" spans="7:10" ht="35.450000000000003" hidden="1" customHeight="1">
      <c r="G6011" s="113"/>
      <c r="J6011" s="28">
        <f>IFERROR(VLOOKUP(TEXT(B6011,"0"),STOCK!A:H,7,0),1)</f>
        <v>1</v>
      </c>
    </row>
    <row r="6012" spans="7:10" ht="35.450000000000003" hidden="1" customHeight="1">
      <c r="G6012" s="113"/>
      <c r="J6012" s="28">
        <f>IFERROR(VLOOKUP(TEXT(B6012,"0"),STOCK!A:H,7,0),1)</f>
        <v>1</v>
      </c>
    </row>
    <row r="6013" spans="7:10" ht="35.450000000000003" hidden="1" customHeight="1">
      <c r="G6013" s="113"/>
      <c r="J6013" s="28">
        <f>IFERROR(VLOOKUP(TEXT(B6013,"0"),STOCK!A:H,7,0),1)</f>
        <v>1</v>
      </c>
    </row>
    <row r="6014" spans="7:10" ht="35.450000000000003" hidden="1" customHeight="1">
      <c r="G6014" s="113"/>
      <c r="J6014" s="28">
        <f>IFERROR(VLOOKUP(TEXT(B6014,"0"),STOCK!A:H,7,0),1)</f>
        <v>1</v>
      </c>
    </row>
    <row r="6015" spans="7:10" ht="35.450000000000003" hidden="1" customHeight="1">
      <c r="G6015" s="113"/>
      <c r="J6015" s="28">
        <f>IFERROR(VLOOKUP(TEXT(B6015,"0"),STOCK!A:H,7,0),1)</f>
        <v>1</v>
      </c>
    </row>
    <row r="6016" spans="7:10" ht="35.450000000000003" hidden="1" customHeight="1">
      <c r="G6016" s="113"/>
      <c r="J6016" s="28">
        <f>IFERROR(VLOOKUP(TEXT(B6016,"0"),STOCK!A:H,7,0),1)</f>
        <v>1</v>
      </c>
    </row>
    <row r="6017" spans="7:10" ht="35.450000000000003" hidden="1" customHeight="1">
      <c r="G6017" s="113"/>
      <c r="J6017" s="28">
        <f>IFERROR(VLOOKUP(TEXT(B6017,"0"),STOCK!A:H,7,0),1)</f>
        <v>1</v>
      </c>
    </row>
    <row r="6018" spans="7:10" ht="35.450000000000003" hidden="1" customHeight="1">
      <c r="G6018" s="113"/>
      <c r="J6018" s="28">
        <f>IFERROR(VLOOKUP(TEXT(B6018,"0"),STOCK!A:H,7,0),1)</f>
        <v>1</v>
      </c>
    </row>
    <row r="6019" spans="7:10" ht="35.450000000000003" hidden="1" customHeight="1">
      <c r="G6019" s="113"/>
      <c r="J6019" s="28">
        <f>IFERROR(VLOOKUP(TEXT(B6019,"0"),STOCK!A:H,7,0),1)</f>
        <v>1</v>
      </c>
    </row>
    <row r="6020" spans="7:10" ht="35.450000000000003" hidden="1" customHeight="1">
      <c r="G6020" s="113"/>
      <c r="J6020" s="28">
        <f>IFERROR(VLOOKUP(TEXT(B6020,"0"),STOCK!A:H,7,0),1)</f>
        <v>1</v>
      </c>
    </row>
    <row r="6021" spans="7:10" ht="35.450000000000003" hidden="1" customHeight="1">
      <c r="G6021" s="113"/>
      <c r="J6021" s="28">
        <f>IFERROR(VLOOKUP(TEXT(B6021,"0"),STOCK!A:H,7,0),1)</f>
        <v>1</v>
      </c>
    </row>
    <row r="6022" spans="7:10" ht="35.450000000000003" hidden="1" customHeight="1">
      <c r="G6022" s="113"/>
      <c r="J6022" s="28">
        <f>IFERROR(VLOOKUP(TEXT(B6022,"0"),STOCK!A:H,7,0),1)</f>
        <v>1</v>
      </c>
    </row>
    <row r="6023" spans="7:10" ht="35.450000000000003" hidden="1" customHeight="1">
      <c r="G6023" s="113"/>
      <c r="J6023" s="28">
        <f>IFERROR(VLOOKUP(TEXT(B6023,"0"),STOCK!A:H,7,0),1)</f>
        <v>1</v>
      </c>
    </row>
    <row r="6024" spans="7:10" ht="35.450000000000003" hidden="1" customHeight="1">
      <c r="G6024" s="113"/>
      <c r="J6024" s="28">
        <f>IFERROR(VLOOKUP(TEXT(B6024,"0"),STOCK!A:H,7,0),1)</f>
        <v>1</v>
      </c>
    </row>
    <row r="6025" spans="7:10" ht="35.450000000000003" hidden="1" customHeight="1">
      <c r="G6025" s="113"/>
      <c r="J6025" s="28">
        <f>IFERROR(VLOOKUP(TEXT(B6025,"0"),STOCK!A:H,7,0),1)</f>
        <v>1</v>
      </c>
    </row>
    <row r="6026" spans="7:10" ht="35.450000000000003" hidden="1" customHeight="1">
      <c r="G6026" s="113"/>
      <c r="J6026" s="28">
        <f>IFERROR(VLOOKUP(TEXT(B6026,"0"),STOCK!A:H,7,0),1)</f>
        <v>1</v>
      </c>
    </row>
    <row r="6027" spans="7:10" ht="35.450000000000003" hidden="1" customHeight="1">
      <c r="G6027" s="113"/>
      <c r="J6027" s="28">
        <f>IFERROR(VLOOKUP(TEXT(B6027,"0"),STOCK!A:H,7,0),1)</f>
        <v>1</v>
      </c>
    </row>
    <row r="6028" spans="7:10" ht="35.450000000000003" hidden="1" customHeight="1">
      <c r="G6028" s="113"/>
      <c r="J6028" s="28">
        <f>IFERROR(VLOOKUP(TEXT(B6028,"0"),STOCK!A:H,7,0),1)</f>
        <v>1</v>
      </c>
    </row>
    <row r="6029" spans="7:10" ht="35.450000000000003" hidden="1" customHeight="1">
      <c r="G6029" s="113"/>
      <c r="J6029" s="28">
        <f>IFERROR(VLOOKUP(TEXT(B6029,"0"),STOCK!A:H,7,0),1)</f>
        <v>1</v>
      </c>
    </row>
    <row r="6030" spans="7:10" ht="35.450000000000003" hidden="1" customHeight="1">
      <c r="G6030" s="113"/>
      <c r="J6030" s="28">
        <f>IFERROR(VLOOKUP(TEXT(B6030,"0"),STOCK!A:H,7,0),1)</f>
        <v>1</v>
      </c>
    </row>
    <row r="6031" spans="7:10" ht="35.450000000000003" hidden="1" customHeight="1">
      <c r="G6031" s="113"/>
      <c r="J6031" s="28">
        <f>IFERROR(VLOOKUP(TEXT(B6031,"0"),STOCK!A:H,7,0),1)</f>
        <v>1</v>
      </c>
    </row>
    <row r="6032" spans="7:10" ht="35.450000000000003" hidden="1" customHeight="1">
      <c r="G6032" s="113"/>
      <c r="J6032" s="28">
        <f>IFERROR(VLOOKUP(TEXT(B6032,"0"),STOCK!A:H,7,0),1)</f>
        <v>1</v>
      </c>
    </row>
    <row r="6033" spans="7:10" ht="35.450000000000003" hidden="1" customHeight="1">
      <c r="G6033" s="113"/>
      <c r="J6033" s="28">
        <f>IFERROR(VLOOKUP(TEXT(B6033,"0"),STOCK!A:H,7,0),1)</f>
        <v>1</v>
      </c>
    </row>
    <row r="6034" spans="7:10" ht="35.450000000000003" hidden="1" customHeight="1">
      <c r="G6034" s="113"/>
      <c r="J6034" s="28">
        <f>IFERROR(VLOOKUP(TEXT(B6034,"0"),STOCK!A:H,7,0),1)</f>
        <v>1</v>
      </c>
    </row>
    <row r="6035" spans="7:10" ht="35.450000000000003" hidden="1" customHeight="1">
      <c r="G6035" s="113"/>
      <c r="J6035" s="28">
        <f>IFERROR(VLOOKUP(TEXT(B6035,"0"),STOCK!A:H,7,0),1)</f>
        <v>1</v>
      </c>
    </row>
    <row r="6036" spans="7:10" ht="35.450000000000003" hidden="1" customHeight="1">
      <c r="G6036" s="113"/>
      <c r="J6036" s="28">
        <f>IFERROR(VLOOKUP(TEXT(B6036,"0"),STOCK!A:H,7,0),1)</f>
        <v>1</v>
      </c>
    </row>
    <row r="6037" spans="7:10" ht="35.450000000000003" hidden="1" customHeight="1">
      <c r="G6037" s="113"/>
      <c r="J6037" s="28">
        <f>IFERROR(VLOOKUP(TEXT(B6037,"0"),STOCK!A:H,7,0),1)</f>
        <v>1</v>
      </c>
    </row>
    <row r="6038" spans="7:10" ht="35.450000000000003" hidden="1" customHeight="1">
      <c r="G6038" s="113"/>
      <c r="J6038" s="28">
        <f>IFERROR(VLOOKUP(TEXT(B6038,"0"),STOCK!A:H,7,0),1)</f>
        <v>1</v>
      </c>
    </row>
    <row r="6039" spans="7:10" ht="35.450000000000003" hidden="1" customHeight="1">
      <c r="G6039" s="113"/>
      <c r="J6039" s="28">
        <f>IFERROR(VLOOKUP(TEXT(B6039,"0"),STOCK!A:H,7,0),1)</f>
        <v>1</v>
      </c>
    </row>
    <row r="6040" spans="7:10" ht="35.450000000000003" hidden="1" customHeight="1">
      <c r="G6040" s="113"/>
      <c r="J6040" s="28">
        <f>IFERROR(VLOOKUP(TEXT(B6040,"0"),STOCK!A:H,7,0),1)</f>
        <v>1</v>
      </c>
    </row>
    <row r="6041" spans="7:10" ht="35.450000000000003" hidden="1" customHeight="1">
      <c r="G6041" s="113"/>
      <c r="J6041" s="28">
        <f>IFERROR(VLOOKUP(TEXT(B6041,"0"),STOCK!A:H,7,0),1)</f>
        <v>1</v>
      </c>
    </row>
    <row r="6042" spans="7:10" ht="35.450000000000003" hidden="1" customHeight="1">
      <c r="G6042" s="113"/>
      <c r="J6042" s="28">
        <f>IFERROR(VLOOKUP(TEXT(B6042,"0"),STOCK!A:H,7,0),1)</f>
        <v>1</v>
      </c>
    </row>
    <row r="6043" spans="7:10" ht="35.450000000000003" hidden="1" customHeight="1">
      <c r="G6043" s="113"/>
      <c r="J6043" s="28">
        <f>IFERROR(VLOOKUP(TEXT(B6043,"0"),STOCK!A:H,7,0),1)</f>
        <v>1</v>
      </c>
    </row>
    <row r="6044" spans="7:10" ht="35.450000000000003" hidden="1" customHeight="1">
      <c r="G6044" s="113"/>
      <c r="J6044" s="28">
        <f>IFERROR(VLOOKUP(TEXT(B6044,"0"),STOCK!A:H,7,0),1)</f>
        <v>1</v>
      </c>
    </row>
    <row r="6045" spans="7:10" ht="35.450000000000003" hidden="1" customHeight="1">
      <c r="G6045" s="113"/>
      <c r="J6045" s="28">
        <f>IFERROR(VLOOKUP(TEXT(B6045,"0"),STOCK!A:H,7,0),1)</f>
        <v>1</v>
      </c>
    </row>
    <row r="6046" spans="7:10" ht="35.450000000000003" hidden="1" customHeight="1">
      <c r="G6046" s="113"/>
      <c r="J6046" s="28">
        <f>IFERROR(VLOOKUP(TEXT(B6046,"0"),STOCK!A:H,7,0),1)</f>
        <v>1</v>
      </c>
    </row>
    <row r="6047" spans="7:10" ht="35.450000000000003" hidden="1" customHeight="1">
      <c r="G6047" s="113"/>
      <c r="J6047" s="28">
        <f>IFERROR(VLOOKUP(TEXT(B6047,"0"),STOCK!A:H,7,0),1)</f>
        <v>1</v>
      </c>
    </row>
    <row r="6048" spans="7:10" ht="35.450000000000003" hidden="1" customHeight="1">
      <c r="G6048" s="113"/>
      <c r="J6048" s="28">
        <f>IFERROR(VLOOKUP(TEXT(B6048,"0"),STOCK!A:H,7,0),1)</f>
        <v>1</v>
      </c>
    </row>
    <row r="6049" spans="7:10" ht="35.450000000000003" hidden="1" customHeight="1">
      <c r="G6049" s="113"/>
      <c r="J6049" s="28">
        <f>IFERROR(VLOOKUP(TEXT(B6049,"0"),STOCK!A:H,7,0),1)</f>
        <v>1</v>
      </c>
    </row>
    <row r="6050" spans="7:10" ht="35.450000000000003" hidden="1" customHeight="1">
      <c r="G6050" s="113"/>
      <c r="J6050" s="28">
        <f>IFERROR(VLOOKUP(TEXT(B6050,"0"),STOCK!A:H,7,0),1)</f>
        <v>1</v>
      </c>
    </row>
    <row r="6051" spans="7:10" ht="35.450000000000003" hidden="1" customHeight="1">
      <c r="G6051" s="113"/>
      <c r="J6051" s="28">
        <f>IFERROR(VLOOKUP(TEXT(B6051,"0"),STOCK!A:H,7,0),1)</f>
        <v>1</v>
      </c>
    </row>
    <row r="6052" spans="7:10" ht="35.450000000000003" hidden="1" customHeight="1">
      <c r="G6052" s="113"/>
      <c r="J6052" s="28">
        <f>IFERROR(VLOOKUP(TEXT(B6052,"0"),STOCK!A:H,7,0),1)</f>
        <v>1</v>
      </c>
    </row>
    <row r="6053" spans="7:10" ht="35.450000000000003" hidden="1" customHeight="1">
      <c r="G6053" s="113"/>
      <c r="J6053" s="28">
        <f>IFERROR(VLOOKUP(TEXT(B6053,"0"),STOCK!A:H,7,0),1)</f>
        <v>1</v>
      </c>
    </row>
    <row r="6054" spans="7:10" ht="35.450000000000003" hidden="1" customHeight="1">
      <c r="G6054" s="113"/>
      <c r="J6054" s="28">
        <f>IFERROR(VLOOKUP(TEXT(B6054,"0"),STOCK!A:H,7,0),1)</f>
        <v>1</v>
      </c>
    </row>
    <row r="6055" spans="7:10" ht="35.450000000000003" hidden="1" customHeight="1">
      <c r="G6055" s="113"/>
      <c r="J6055" s="28">
        <f>IFERROR(VLOOKUP(TEXT(B6055,"0"),STOCK!A:H,7,0),1)</f>
        <v>1</v>
      </c>
    </row>
    <row r="6056" spans="7:10" ht="35.450000000000003" hidden="1" customHeight="1">
      <c r="G6056" s="113"/>
      <c r="J6056" s="28">
        <f>IFERROR(VLOOKUP(TEXT(B6056,"0"),STOCK!A:H,7,0),1)</f>
        <v>1</v>
      </c>
    </row>
    <row r="6057" spans="7:10" ht="35.450000000000003" hidden="1" customHeight="1">
      <c r="G6057" s="113"/>
      <c r="J6057" s="28">
        <f>IFERROR(VLOOKUP(TEXT(B6057,"0"),STOCK!A:H,7,0),1)</f>
        <v>1</v>
      </c>
    </row>
    <row r="6058" spans="7:10" ht="35.450000000000003" hidden="1" customHeight="1">
      <c r="G6058" s="113"/>
      <c r="J6058" s="28">
        <f>IFERROR(VLOOKUP(TEXT(B6058,"0"),STOCK!A:H,7,0),1)</f>
        <v>1</v>
      </c>
    </row>
    <row r="6059" spans="7:10" ht="35.450000000000003" hidden="1" customHeight="1">
      <c r="G6059" s="113"/>
      <c r="J6059" s="28">
        <f>IFERROR(VLOOKUP(TEXT(B6059,"0"),STOCK!A:H,7,0),1)</f>
        <v>1</v>
      </c>
    </row>
    <row r="6060" spans="7:10" ht="35.450000000000003" hidden="1" customHeight="1">
      <c r="G6060" s="113"/>
      <c r="J6060" s="28">
        <f>IFERROR(VLOOKUP(TEXT(B6060,"0"),STOCK!A:H,7,0),1)</f>
        <v>1</v>
      </c>
    </row>
    <row r="6061" spans="7:10" ht="35.450000000000003" hidden="1" customHeight="1">
      <c r="G6061" s="113"/>
      <c r="J6061" s="28">
        <f>IFERROR(VLOOKUP(TEXT(B6061,"0"),STOCK!A:H,7,0),1)</f>
        <v>1</v>
      </c>
    </row>
    <row r="6062" spans="7:10" ht="35.450000000000003" hidden="1" customHeight="1">
      <c r="G6062" s="113"/>
      <c r="J6062" s="28">
        <f>IFERROR(VLOOKUP(TEXT(B6062,"0"),STOCK!A:H,7,0),1)</f>
        <v>1</v>
      </c>
    </row>
    <row r="6063" spans="7:10" ht="35.450000000000003" hidden="1" customHeight="1">
      <c r="G6063" s="113"/>
      <c r="J6063" s="28">
        <f>IFERROR(VLOOKUP(TEXT(B6063,"0"),STOCK!A:H,7,0),1)</f>
        <v>1</v>
      </c>
    </row>
    <row r="6064" spans="7:10" ht="35.450000000000003" hidden="1" customHeight="1">
      <c r="G6064" s="113"/>
      <c r="J6064" s="28">
        <f>IFERROR(VLOOKUP(TEXT(B6064,"0"),STOCK!A:H,7,0),1)</f>
        <v>1</v>
      </c>
    </row>
    <row r="6065" spans="7:10" ht="35.450000000000003" hidden="1" customHeight="1">
      <c r="G6065" s="113"/>
      <c r="J6065" s="28">
        <f>IFERROR(VLOOKUP(TEXT(B6065,"0"),STOCK!A:H,7,0),1)</f>
        <v>1</v>
      </c>
    </row>
    <row r="6066" spans="7:10" ht="35.450000000000003" hidden="1" customHeight="1">
      <c r="G6066" s="113"/>
      <c r="J6066" s="28">
        <f>IFERROR(VLOOKUP(TEXT(B6066,"0"),STOCK!A:H,7,0),1)</f>
        <v>1</v>
      </c>
    </row>
    <row r="6067" spans="7:10" ht="35.450000000000003" hidden="1" customHeight="1">
      <c r="G6067" s="113"/>
      <c r="J6067" s="28">
        <f>IFERROR(VLOOKUP(TEXT(B6067,"0"),STOCK!A:H,7,0),1)</f>
        <v>1</v>
      </c>
    </row>
    <row r="6068" spans="7:10" ht="35.450000000000003" hidden="1" customHeight="1">
      <c r="G6068" s="113"/>
      <c r="J6068" s="28">
        <f>IFERROR(VLOOKUP(TEXT(B6068,"0"),STOCK!A:H,7,0),1)</f>
        <v>1</v>
      </c>
    </row>
    <row r="6069" spans="7:10" ht="35.450000000000003" hidden="1" customHeight="1">
      <c r="G6069" s="113"/>
      <c r="J6069" s="28">
        <f>IFERROR(VLOOKUP(TEXT(B6069,"0"),STOCK!A:H,7,0),1)</f>
        <v>1</v>
      </c>
    </row>
    <row r="6070" spans="7:10" ht="35.450000000000003" hidden="1" customHeight="1">
      <c r="G6070" s="113"/>
      <c r="J6070" s="28">
        <f>IFERROR(VLOOKUP(TEXT(B6070,"0"),STOCK!A:H,7,0),1)</f>
        <v>1</v>
      </c>
    </row>
    <row r="6071" spans="7:10" ht="35.450000000000003" hidden="1" customHeight="1">
      <c r="G6071" s="113"/>
      <c r="J6071" s="28">
        <f>IFERROR(VLOOKUP(TEXT(B6071,"0"),STOCK!A:H,7,0),1)</f>
        <v>1</v>
      </c>
    </row>
    <row r="6072" spans="7:10" ht="35.450000000000003" hidden="1" customHeight="1">
      <c r="G6072" s="113"/>
      <c r="J6072" s="28">
        <f>IFERROR(VLOOKUP(TEXT(B6072,"0"),STOCK!A:H,7,0),1)</f>
        <v>1</v>
      </c>
    </row>
    <row r="6073" spans="7:10" ht="35.450000000000003" hidden="1" customHeight="1">
      <c r="G6073" s="113"/>
      <c r="J6073" s="28">
        <f>IFERROR(VLOOKUP(TEXT(B6073,"0"),STOCK!A:H,7,0),1)</f>
        <v>1</v>
      </c>
    </row>
    <row r="6074" spans="7:10" ht="35.450000000000003" hidden="1" customHeight="1">
      <c r="G6074" s="113"/>
      <c r="J6074" s="28">
        <f>IFERROR(VLOOKUP(TEXT(B6074,"0"),STOCK!A:H,7,0),1)</f>
        <v>1</v>
      </c>
    </row>
    <row r="6075" spans="7:10" ht="35.450000000000003" hidden="1" customHeight="1">
      <c r="G6075" s="113"/>
      <c r="J6075" s="28">
        <f>IFERROR(VLOOKUP(TEXT(B6075,"0"),STOCK!A:H,7,0),1)</f>
        <v>1</v>
      </c>
    </row>
    <row r="6076" spans="7:10" ht="35.450000000000003" hidden="1" customHeight="1">
      <c r="G6076" s="113"/>
      <c r="J6076" s="28">
        <f>IFERROR(VLOOKUP(TEXT(B6076,"0"),STOCK!A:H,7,0),1)</f>
        <v>1</v>
      </c>
    </row>
    <row r="6077" spans="7:10" ht="35.450000000000003" hidden="1" customHeight="1">
      <c r="G6077" s="113"/>
      <c r="J6077" s="28">
        <f>IFERROR(VLOOKUP(TEXT(B6077,"0"),STOCK!A:H,7,0),1)</f>
        <v>1</v>
      </c>
    </row>
    <row r="6078" spans="7:10" ht="35.450000000000003" hidden="1" customHeight="1">
      <c r="G6078" s="113"/>
      <c r="J6078" s="28">
        <f>IFERROR(VLOOKUP(TEXT(B6078,"0"),STOCK!A:H,7,0),1)</f>
        <v>1</v>
      </c>
    </row>
    <row r="6079" spans="7:10" ht="35.450000000000003" hidden="1" customHeight="1">
      <c r="G6079" s="113"/>
      <c r="J6079" s="28">
        <f>IFERROR(VLOOKUP(TEXT(B6079,"0"),STOCK!A:H,7,0),1)</f>
        <v>1</v>
      </c>
    </row>
    <row r="6080" spans="7:10" ht="35.450000000000003" hidden="1" customHeight="1">
      <c r="G6080" s="113"/>
      <c r="J6080" s="28">
        <f>IFERROR(VLOOKUP(TEXT(B6080,"0"),STOCK!A:H,7,0),1)</f>
        <v>1</v>
      </c>
    </row>
    <row r="6081" spans="7:10" ht="35.450000000000003" hidden="1" customHeight="1">
      <c r="G6081" s="113"/>
      <c r="J6081" s="28">
        <f>IFERROR(VLOOKUP(TEXT(B6081,"0"),STOCK!A:H,7,0),1)</f>
        <v>1</v>
      </c>
    </row>
    <row r="6082" spans="7:10" ht="35.450000000000003" hidden="1" customHeight="1">
      <c r="G6082" s="113"/>
      <c r="J6082" s="28">
        <f>IFERROR(VLOOKUP(TEXT(B6082,"0"),STOCK!A:H,7,0),1)</f>
        <v>1</v>
      </c>
    </row>
    <row r="6083" spans="7:10" ht="35.450000000000003" hidden="1" customHeight="1">
      <c r="G6083" s="113"/>
      <c r="J6083" s="28">
        <f>IFERROR(VLOOKUP(TEXT(B6083,"0"),STOCK!A:H,7,0),1)</f>
        <v>1</v>
      </c>
    </row>
    <row r="6084" spans="7:10" ht="35.450000000000003" hidden="1" customHeight="1">
      <c r="G6084" s="113"/>
      <c r="J6084" s="28">
        <f>IFERROR(VLOOKUP(TEXT(B6084,"0"),STOCK!A:H,7,0),1)</f>
        <v>1</v>
      </c>
    </row>
    <row r="6085" spans="7:10" ht="35.450000000000003" hidden="1" customHeight="1">
      <c r="G6085" s="113"/>
      <c r="J6085" s="28">
        <f>IFERROR(VLOOKUP(TEXT(B6085,"0"),STOCK!A:H,7,0),1)</f>
        <v>1</v>
      </c>
    </row>
    <row r="6086" spans="7:10" ht="35.450000000000003" hidden="1" customHeight="1">
      <c r="G6086" s="113"/>
      <c r="J6086" s="28">
        <f>IFERROR(VLOOKUP(TEXT(B6086,"0"),STOCK!A:H,7,0),1)</f>
        <v>1</v>
      </c>
    </row>
    <row r="6087" spans="7:10" ht="35.450000000000003" hidden="1" customHeight="1">
      <c r="G6087" s="113"/>
      <c r="J6087" s="28">
        <f>IFERROR(VLOOKUP(TEXT(B6087,"0"),STOCK!A:H,7,0),1)</f>
        <v>1</v>
      </c>
    </row>
    <row r="6088" spans="7:10" ht="35.450000000000003" hidden="1" customHeight="1">
      <c r="G6088" s="113"/>
      <c r="J6088" s="28">
        <f>IFERROR(VLOOKUP(TEXT(B6088,"0"),STOCK!A:H,7,0),1)</f>
        <v>1</v>
      </c>
    </row>
    <row r="6089" spans="7:10" ht="35.450000000000003" hidden="1" customHeight="1">
      <c r="G6089" s="113"/>
      <c r="J6089" s="28">
        <f>IFERROR(VLOOKUP(TEXT(B6089,"0"),STOCK!A:H,7,0),1)</f>
        <v>1</v>
      </c>
    </row>
    <row r="6090" spans="7:10" ht="35.450000000000003" hidden="1" customHeight="1">
      <c r="G6090" s="113"/>
      <c r="J6090" s="28">
        <f>IFERROR(VLOOKUP(TEXT(B6090,"0"),STOCK!A:H,7,0),1)</f>
        <v>1</v>
      </c>
    </row>
    <row r="6091" spans="7:10" ht="35.450000000000003" hidden="1" customHeight="1">
      <c r="G6091" s="113"/>
      <c r="J6091" s="28">
        <f>IFERROR(VLOOKUP(TEXT(B6091,"0"),STOCK!A:H,7,0),1)</f>
        <v>1</v>
      </c>
    </row>
    <row r="6092" spans="7:10" ht="35.450000000000003" hidden="1" customHeight="1">
      <c r="G6092" s="113"/>
      <c r="J6092" s="28">
        <f>IFERROR(VLOOKUP(TEXT(B6092,"0"),STOCK!A:H,7,0),1)</f>
        <v>1</v>
      </c>
    </row>
    <row r="6093" spans="7:10" ht="35.450000000000003" hidden="1" customHeight="1">
      <c r="G6093" s="113"/>
      <c r="J6093" s="28">
        <f>IFERROR(VLOOKUP(TEXT(B6093,"0"),STOCK!A:H,7,0),1)</f>
        <v>1</v>
      </c>
    </row>
    <row r="6094" spans="7:10" ht="35.450000000000003" hidden="1" customHeight="1">
      <c r="G6094" s="113"/>
      <c r="J6094" s="28">
        <f>IFERROR(VLOOKUP(TEXT(B6094,"0"),STOCK!A:H,7,0),1)</f>
        <v>1</v>
      </c>
    </row>
    <row r="6095" spans="7:10" ht="35.450000000000003" hidden="1" customHeight="1">
      <c r="G6095" s="113"/>
      <c r="J6095" s="28">
        <f>IFERROR(VLOOKUP(TEXT(B6095,"0"),STOCK!A:H,7,0),1)</f>
        <v>1</v>
      </c>
    </row>
    <row r="6096" spans="7:10" ht="35.450000000000003" hidden="1" customHeight="1">
      <c r="G6096" s="113"/>
      <c r="J6096" s="28">
        <f>IFERROR(VLOOKUP(TEXT(B6096,"0"),STOCK!A:H,7,0),1)</f>
        <v>1</v>
      </c>
    </row>
    <row r="6097" spans="7:10" ht="35.450000000000003" hidden="1" customHeight="1">
      <c r="G6097" s="113"/>
      <c r="J6097" s="28">
        <f>IFERROR(VLOOKUP(TEXT(B6097,"0"),STOCK!A:H,7,0),1)</f>
        <v>1</v>
      </c>
    </row>
    <row r="6098" spans="7:10" ht="35.450000000000003" hidden="1" customHeight="1">
      <c r="G6098" s="113"/>
      <c r="J6098" s="28">
        <f>IFERROR(VLOOKUP(TEXT(B6098,"0"),STOCK!A:H,7,0),1)</f>
        <v>1</v>
      </c>
    </row>
    <row r="6099" spans="7:10" ht="35.450000000000003" hidden="1" customHeight="1">
      <c r="G6099" s="113"/>
      <c r="J6099" s="28">
        <f>IFERROR(VLOOKUP(TEXT(B6099,"0"),STOCK!A:H,7,0),1)</f>
        <v>1</v>
      </c>
    </row>
    <row r="6100" spans="7:10" ht="35.450000000000003" hidden="1" customHeight="1">
      <c r="G6100" s="113"/>
      <c r="J6100" s="28">
        <f>IFERROR(VLOOKUP(TEXT(B6100,"0"),STOCK!A:H,7,0),1)</f>
        <v>1</v>
      </c>
    </row>
    <row r="6101" spans="7:10" ht="35.450000000000003" hidden="1" customHeight="1">
      <c r="G6101" s="113"/>
      <c r="J6101" s="28">
        <f>IFERROR(VLOOKUP(TEXT(B6101,"0"),STOCK!A:H,7,0),1)</f>
        <v>1</v>
      </c>
    </row>
    <row r="6102" spans="7:10" ht="35.450000000000003" hidden="1" customHeight="1">
      <c r="G6102" s="113"/>
      <c r="J6102" s="28">
        <f>IFERROR(VLOOKUP(TEXT(B6102,"0"),STOCK!A:H,7,0),1)</f>
        <v>1</v>
      </c>
    </row>
    <row r="6103" spans="7:10" ht="35.450000000000003" hidden="1" customHeight="1">
      <c r="G6103" s="113"/>
      <c r="J6103" s="28">
        <f>IFERROR(VLOOKUP(TEXT(B6103,"0"),STOCK!A:H,7,0),1)</f>
        <v>1</v>
      </c>
    </row>
    <row r="6104" spans="7:10" ht="35.450000000000003" hidden="1" customHeight="1">
      <c r="G6104" s="113"/>
      <c r="J6104" s="28">
        <f>IFERROR(VLOOKUP(TEXT(B6104,"0"),STOCK!A:H,7,0),1)</f>
        <v>1</v>
      </c>
    </row>
    <row r="6105" spans="7:10" ht="35.450000000000003" hidden="1" customHeight="1">
      <c r="G6105" s="113"/>
      <c r="J6105" s="28">
        <f>IFERROR(VLOOKUP(TEXT(B6105,"0"),STOCK!A:H,7,0),1)</f>
        <v>1</v>
      </c>
    </row>
    <row r="6106" spans="7:10" ht="35.450000000000003" hidden="1" customHeight="1">
      <c r="G6106" s="113"/>
      <c r="J6106" s="28">
        <f>IFERROR(VLOOKUP(TEXT(B6106,"0"),STOCK!A:H,7,0),1)</f>
        <v>1</v>
      </c>
    </row>
    <row r="6107" spans="7:10" ht="35.450000000000003" hidden="1" customHeight="1">
      <c r="G6107" s="113"/>
      <c r="J6107" s="28">
        <f>IFERROR(VLOOKUP(TEXT(B6107,"0"),STOCK!A:H,7,0),1)</f>
        <v>1</v>
      </c>
    </row>
    <row r="6108" spans="7:10" ht="35.450000000000003" hidden="1" customHeight="1">
      <c r="G6108" s="113"/>
      <c r="J6108" s="28">
        <f>IFERROR(VLOOKUP(TEXT(B6108,"0"),STOCK!A:H,7,0),1)</f>
        <v>1</v>
      </c>
    </row>
    <row r="6109" spans="7:10" ht="35.450000000000003" hidden="1" customHeight="1">
      <c r="G6109" s="113"/>
      <c r="J6109" s="28">
        <f>IFERROR(VLOOKUP(TEXT(B6109,"0"),STOCK!A:H,7,0),1)</f>
        <v>1</v>
      </c>
    </row>
    <row r="6110" spans="7:10" ht="35.450000000000003" hidden="1" customHeight="1">
      <c r="G6110" s="113"/>
      <c r="J6110" s="28">
        <f>IFERROR(VLOOKUP(TEXT(B6110,"0"),STOCK!A:H,7,0),1)</f>
        <v>1</v>
      </c>
    </row>
    <row r="6111" spans="7:10" ht="35.450000000000003" hidden="1" customHeight="1">
      <c r="G6111" s="113"/>
      <c r="J6111" s="28">
        <f>IFERROR(VLOOKUP(TEXT(B6111,"0"),STOCK!A:H,7,0),1)</f>
        <v>1</v>
      </c>
    </row>
    <row r="6112" spans="7:10" ht="35.450000000000003" hidden="1" customHeight="1">
      <c r="G6112" s="113"/>
      <c r="J6112" s="28">
        <f>IFERROR(VLOOKUP(TEXT(B6112,"0"),STOCK!A:H,7,0),1)</f>
        <v>1</v>
      </c>
    </row>
    <row r="6113" spans="7:10" ht="35.450000000000003" hidden="1" customHeight="1">
      <c r="G6113" s="113"/>
      <c r="J6113" s="28">
        <f>IFERROR(VLOOKUP(TEXT(B6113,"0"),STOCK!A:H,7,0),1)</f>
        <v>1</v>
      </c>
    </row>
    <row r="6114" spans="7:10" ht="35.450000000000003" hidden="1" customHeight="1">
      <c r="G6114" s="113"/>
      <c r="J6114" s="28">
        <f>IFERROR(VLOOKUP(TEXT(B6114,"0"),STOCK!A:H,7,0),1)</f>
        <v>1</v>
      </c>
    </row>
    <row r="6115" spans="7:10" ht="35.450000000000003" hidden="1" customHeight="1">
      <c r="G6115" s="113"/>
      <c r="J6115" s="28">
        <f>IFERROR(VLOOKUP(TEXT(B6115,"0"),STOCK!A:H,7,0),1)</f>
        <v>1</v>
      </c>
    </row>
    <row r="6116" spans="7:10" ht="35.450000000000003" hidden="1" customHeight="1">
      <c r="G6116" s="113"/>
      <c r="J6116" s="28">
        <f>IFERROR(VLOOKUP(TEXT(B6116,"0"),STOCK!A:H,7,0),1)</f>
        <v>1</v>
      </c>
    </row>
    <row r="6117" spans="7:10" ht="35.450000000000003" hidden="1" customHeight="1">
      <c r="G6117" s="113"/>
      <c r="J6117" s="28">
        <f>IFERROR(VLOOKUP(TEXT(B6117,"0"),STOCK!A:H,7,0),1)</f>
        <v>1</v>
      </c>
    </row>
    <row r="6118" spans="7:10" ht="35.450000000000003" hidden="1" customHeight="1">
      <c r="G6118" s="113"/>
      <c r="J6118" s="28">
        <f>IFERROR(VLOOKUP(TEXT(B6118,"0"),STOCK!A:H,7,0),1)</f>
        <v>1</v>
      </c>
    </row>
    <row r="6119" spans="7:10" ht="35.450000000000003" hidden="1" customHeight="1">
      <c r="G6119" s="113"/>
      <c r="J6119" s="28">
        <f>IFERROR(VLOOKUP(TEXT(B6119,"0"),STOCK!A:H,7,0),1)</f>
        <v>1</v>
      </c>
    </row>
    <row r="6120" spans="7:10" ht="35.450000000000003" hidden="1" customHeight="1">
      <c r="G6120" s="113"/>
      <c r="J6120" s="28">
        <f>IFERROR(VLOOKUP(TEXT(B6120,"0"),STOCK!A:H,7,0),1)</f>
        <v>1</v>
      </c>
    </row>
    <row r="6121" spans="7:10" ht="35.450000000000003" hidden="1" customHeight="1">
      <c r="G6121" s="113"/>
      <c r="J6121" s="28">
        <f>IFERROR(VLOOKUP(TEXT(B6121,"0"),STOCK!A:H,7,0),1)</f>
        <v>1</v>
      </c>
    </row>
    <row r="6122" spans="7:10" ht="35.450000000000003" hidden="1" customHeight="1">
      <c r="G6122" s="113"/>
      <c r="J6122" s="28">
        <f>IFERROR(VLOOKUP(TEXT(B6122,"0"),STOCK!A:H,7,0),1)</f>
        <v>1</v>
      </c>
    </row>
    <row r="6123" spans="7:10" ht="35.450000000000003" hidden="1" customHeight="1">
      <c r="G6123" s="113"/>
      <c r="J6123" s="28">
        <f>IFERROR(VLOOKUP(TEXT(B6123,"0"),STOCK!A:H,7,0),1)</f>
        <v>1</v>
      </c>
    </row>
    <row r="6124" spans="7:10" ht="35.450000000000003" hidden="1" customHeight="1">
      <c r="G6124" s="113"/>
      <c r="J6124" s="28">
        <f>IFERROR(VLOOKUP(TEXT(B6124,"0"),STOCK!A:H,7,0),1)</f>
        <v>1</v>
      </c>
    </row>
    <row r="6125" spans="7:10" ht="35.450000000000003" hidden="1" customHeight="1">
      <c r="G6125" s="113"/>
      <c r="J6125" s="28">
        <f>IFERROR(VLOOKUP(TEXT(B6125,"0"),STOCK!A:H,7,0),1)</f>
        <v>1</v>
      </c>
    </row>
    <row r="6126" spans="7:10" ht="35.450000000000003" hidden="1" customHeight="1">
      <c r="G6126" s="113"/>
      <c r="J6126" s="28">
        <f>IFERROR(VLOOKUP(TEXT(B6126,"0"),STOCK!A:H,7,0),1)</f>
        <v>1</v>
      </c>
    </row>
    <row r="6127" spans="7:10" ht="35.450000000000003" hidden="1" customHeight="1">
      <c r="G6127" s="113"/>
      <c r="J6127" s="28">
        <f>IFERROR(VLOOKUP(TEXT(B6127,"0"),STOCK!A:H,7,0),1)</f>
        <v>1</v>
      </c>
    </row>
    <row r="6128" spans="7:10" ht="35.450000000000003" hidden="1" customHeight="1">
      <c r="G6128" s="113"/>
      <c r="J6128" s="28">
        <f>IFERROR(VLOOKUP(TEXT(B6128,"0"),STOCK!A:H,7,0),1)</f>
        <v>1</v>
      </c>
    </row>
    <row r="6129" spans="7:10" ht="35.450000000000003" hidden="1" customHeight="1">
      <c r="G6129" s="113"/>
      <c r="J6129" s="28">
        <f>IFERROR(VLOOKUP(TEXT(B6129,"0"),STOCK!A:H,7,0),1)</f>
        <v>1</v>
      </c>
    </row>
    <row r="6130" spans="7:10" ht="35.450000000000003" hidden="1" customHeight="1">
      <c r="G6130" s="113"/>
      <c r="J6130" s="28">
        <f>IFERROR(VLOOKUP(TEXT(B6130,"0"),STOCK!A:H,7,0),1)</f>
        <v>1</v>
      </c>
    </row>
    <row r="6131" spans="7:10" ht="35.450000000000003" hidden="1" customHeight="1">
      <c r="G6131" s="113"/>
      <c r="J6131" s="28">
        <f>IFERROR(VLOOKUP(TEXT(B6131,"0"),STOCK!A:H,7,0),1)</f>
        <v>1</v>
      </c>
    </row>
    <row r="6132" spans="7:10" ht="35.450000000000003" hidden="1" customHeight="1">
      <c r="G6132" s="113"/>
      <c r="J6132" s="28">
        <f>IFERROR(VLOOKUP(TEXT(B6132,"0"),STOCK!A:H,7,0),1)</f>
        <v>1</v>
      </c>
    </row>
    <row r="6133" spans="7:10" ht="35.450000000000003" hidden="1" customHeight="1">
      <c r="G6133" s="113"/>
      <c r="J6133" s="28">
        <f>IFERROR(VLOOKUP(TEXT(B6133,"0"),STOCK!A:H,7,0),1)</f>
        <v>1</v>
      </c>
    </row>
    <row r="6134" spans="7:10" ht="35.450000000000003" hidden="1" customHeight="1">
      <c r="G6134" s="113"/>
      <c r="J6134" s="28">
        <f>IFERROR(VLOOKUP(TEXT(B6134,"0"),STOCK!A:H,7,0),1)</f>
        <v>1</v>
      </c>
    </row>
    <row r="6135" spans="7:10" ht="35.450000000000003" hidden="1" customHeight="1">
      <c r="G6135" s="113"/>
      <c r="J6135" s="28">
        <f>IFERROR(VLOOKUP(TEXT(B6135,"0"),STOCK!A:H,7,0),1)</f>
        <v>1</v>
      </c>
    </row>
    <row r="6136" spans="7:10" ht="35.450000000000003" hidden="1" customHeight="1">
      <c r="G6136" s="113"/>
      <c r="J6136" s="28">
        <f>IFERROR(VLOOKUP(TEXT(B6136,"0"),STOCK!A:H,7,0),1)</f>
        <v>1</v>
      </c>
    </row>
    <row r="6137" spans="7:10" ht="35.450000000000003" hidden="1" customHeight="1">
      <c r="G6137" s="113"/>
      <c r="J6137" s="28">
        <f>IFERROR(VLOOKUP(TEXT(B6137,"0"),STOCK!A:H,7,0),1)</f>
        <v>1</v>
      </c>
    </row>
    <row r="6138" spans="7:10" ht="35.450000000000003" hidden="1" customHeight="1">
      <c r="G6138" s="113"/>
      <c r="J6138" s="28">
        <f>IFERROR(VLOOKUP(TEXT(B6138,"0"),STOCK!A:H,7,0),1)</f>
        <v>1</v>
      </c>
    </row>
    <row r="6139" spans="7:10" ht="35.450000000000003" hidden="1" customHeight="1">
      <c r="G6139" s="113"/>
      <c r="J6139" s="28">
        <f>IFERROR(VLOOKUP(TEXT(B6139,"0"),STOCK!A:H,7,0),1)</f>
        <v>1</v>
      </c>
    </row>
    <row r="6140" spans="7:10" ht="35.450000000000003" hidden="1" customHeight="1">
      <c r="G6140" s="113"/>
      <c r="J6140" s="28">
        <f>IFERROR(VLOOKUP(TEXT(B6140,"0"),STOCK!A:H,7,0),1)</f>
        <v>1</v>
      </c>
    </row>
    <row r="6141" spans="7:10" ht="35.450000000000003" hidden="1" customHeight="1">
      <c r="G6141" s="113"/>
      <c r="J6141" s="28">
        <f>IFERROR(VLOOKUP(TEXT(B6141,"0"),STOCK!A:H,7,0),1)</f>
        <v>1</v>
      </c>
    </row>
    <row r="6142" spans="7:10" ht="35.450000000000003" hidden="1" customHeight="1">
      <c r="G6142" s="113"/>
      <c r="J6142" s="28">
        <f>IFERROR(VLOOKUP(TEXT(B6142,"0"),STOCK!A:H,7,0),1)</f>
        <v>1</v>
      </c>
    </row>
    <row r="6143" spans="7:10" ht="35.450000000000003" hidden="1" customHeight="1">
      <c r="G6143" s="113"/>
      <c r="J6143" s="28">
        <f>IFERROR(VLOOKUP(TEXT(B6143,"0"),STOCK!A:H,7,0),1)</f>
        <v>1</v>
      </c>
    </row>
    <row r="6144" spans="7:10" ht="35.450000000000003" hidden="1" customHeight="1">
      <c r="G6144" s="113"/>
      <c r="J6144" s="28">
        <f>IFERROR(VLOOKUP(TEXT(B6144,"0"),STOCK!A:H,7,0),1)</f>
        <v>1</v>
      </c>
    </row>
    <row r="6145" spans="7:10" ht="35.450000000000003" hidden="1" customHeight="1">
      <c r="G6145" s="113"/>
      <c r="J6145" s="28">
        <f>IFERROR(VLOOKUP(TEXT(B6145,"0"),STOCK!A:H,7,0),1)</f>
        <v>1</v>
      </c>
    </row>
    <row r="6146" spans="7:10" ht="35.450000000000003" hidden="1" customHeight="1">
      <c r="G6146" s="113"/>
      <c r="J6146" s="28">
        <f>IFERROR(VLOOKUP(TEXT(B6146,"0"),STOCK!A:H,7,0),1)</f>
        <v>1</v>
      </c>
    </row>
    <row r="6147" spans="7:10" ht="35.450000000000003" hidden="1" customHeight="1">
      <c r="G6147" s="113"/>
      <c r="J6147" s="28">
        <f>IFERROR(VLOOKUP(TEXT(B6147,"0"),STOCK!A:H,7,0),1)</f>
        <v>1</v>
      </c>
    </row>
    <row r="6148" spans="7:10" ht="35.450000000000003" hidden="1" customHeight="1">
      <c r="G6148" s="113"/>
      <c r="J6148" s="28">
        <f>IFERROR(VLOOKUP(TEXT(B6148,"0"),STOCK!A:H,7,0),1)</f>
        <v>1</v>
      </c>
    </row>
    <row r="6149" spans="7:10" ht="35.450000000000003" hidden="1" customHeight="1">
      <c r="G6149" s="113"/>
      <c r="J6149" s="28">
        <f>IFERROR(VLOOKUP(TEXT(B6149,"0"),STOCK!A:H,7,0),1)</f>
        <v>1</v>
      </c>
    </row>
    <row r="6150" spans="7:10" ht="35.450000000000003" hidden="1" customHeight="1">
      <c r="G6150" s="113"/>
      <c r="J6150" s="28">
        <f>IFERROR(VLOOKUP(TEXT(B6150,"0"),STOCK!A:H,7,0),1)</f>
        <v>1</v>
      </c>
    </row>
    <row r="6151" spans="7:10" ht="35.450000000000003" hidden="1" customHeight="1">
      <c r="G6151" s="113"/>
      <c r="J6151" s="28">
        <f>IFERROR(VLOOKUP(TEXT(B6151,"0"),STOCK!A:H,7,0),1)</f>
        <v>1</v>
      </c>
    </row>
    <row r="6152" spans="7:10" ht="35.450000000000003" hidden="1" customHeight="1">
      <c r="G6152" s="113"/>
      <c r="J6152" s="28">
        <f>IFERROR(VLOOKUP(TEXT(B6152,"0"),STOCK!A:H,7,0),1)</f>
        <v>1</v>
      </c>
    </row>
    <row r="6153" spans="7:10" ht="35.450000000000003" hidden="1" customHeight="1">
      <c r="G6153" s="113"/>
      <c r="J6153" s="28">
        <f>IFERROR(VLOOKUP(TEXT(B6153,"0"),STOCK!A:H,7,0),1)</f>
        <v>1</v>
      </c>
    </row>
    <row r="6154" spans="7:10" ht="35.450000000000003" hidden="1" customHeight="1">
      <c r="G6154" s="113"/>
      <c r="J6154" s="28">
        <f>IFERROR(VLOOKUP(TEXT(B6154,"0"),STOCK!A:H,7,0),1)</f>
        <v>1</v>
      </c>
    </row>
    <row r="6155" spans="7:10" ht="35.450000000000003" hidden="1" customHeight="1">
      <c r="G6155" s="113"/>
      <c r="J6155" s="28">
        <f>IFERROR(VLOOKUP(TEXT(B6155,"0"),STOCK!A:H,7,0),1)</f>
        <v>1</v>
      </c>
    </row>
    <row r="6156" spans="7:10" ht="35.450000000000003" hidden="1" customHeight="1">
      <c r="G6156" s="113"/>
      <c r="J6156" s="28">
        <f>IFERROR(VLOOKUP(TEXT(B6156,"0"),STOCK!A:H,7,0),1)</f>
        <v>1</v>
      </c>
    </row>
    <row r="6157" spans="7:10" ht="35.450000000000003" hidden="1" customHeight="1">
      <c r="G6157" s="113"/>
      <c r="J6157" s="28">
        <f>IFERROR(VLOOKUP(TEXT(B6157,"0"),STOCK!A:H,7,0),1)</f>
        <v>1</v>
      </c>
    </row>
    <row r="6158" spans="7:10" ht="35.450000000000003" hidden="1" customHeight="1">
      <c r="G6158" s="113"/>
      <c r="J6158" s="28">
        <f>IFERROR(VLOOKUP(TEXT(B6158,"0"),STOCK!A:H,7,0),1)</f>
        <v>1</v>
      </c>
    </row>
    <row r="6159" spans="7:10" ht="35.450000000000003" hidden="1" customHeight="1">
      <c r="G6159" s="113"/>
      <c r="J6159" s="28">
        <f>IFERROR(VLOOKUP(TEXT(B6159,"0"),STOCK!A:H,7,0),1)</f>
        <v>1</v>
      </c>
    </row>
    <row r="6160" spans="7:10" ht="35.450000000000003" hidden="1" customHeight="1">
      <c r="G6160" s="113"/>
      <c r="J6160" s="28">
        <f>IFERROR(VLOOKUP(TEXT(B6160,"0"),STOCK!A:H,7,0),1)</f>
        <v>1</v>
      </c>
    </row>
    <row r="6161" spans="7:10" ht="35.450000000000003" hidden="1" customHeight="1">
      <c r="G6161" s="113"/>
      <c r="J6161" s="28">
        <f>IFERROR(VLOOKUP(TEXT(B6161,"0"),STOCK!A:H,7,0),1)</f>
        <v>1</v>
      </c>
    </row>
    <row r="6162" spans="7:10" ht="35.450000000000003" hidden="1" customHeight="1">
      <c r="G6162" s="113"/>
      <c r="J6162" s="28">
        <f>IFERROR(VLOOKUP(TEXT(B6162,"0"),STOCK!A:H,7,0),1)</f>
        <v>1</v>
      </c>
    </row>
    <row r="6163" spans="7:10" ht="35.450000000000003" hidden="1" customHeight="1">
      <c r="G6163" s="113"/>
      <c r="J6163" s="28">
        <f>IFERROR(VLOOKUP(TEXT(B6163,"0"),STOCK!A:H,7,0),1)</f>
        <v>1</v>
      </c>
    </row>
    <row r="6164" spans="7:10" ht="35.450000000000003" hidden="1" customHeight="1">
      <c r="G6164" s="113"/>
      <c r="J6164" s="28">
        <f>IFERROR(VLOOKUP(TEXT(B6164,"0"),STOCK!A:H,7,0),1)</f>
        <v>1</v>
      </c>
    </row>
    <row r="6165" spans="7:10" ht="35.450000000000003" hidden="1" customHeight="1">
      <c r="G6165" s="113"/>
      <c r="J6165" s="28">
        <f>IFERROR(VLOOKUP(TEXT(B6165,"0"),STOCK!A:H,7,0),1)</f>
        <v>1</v>
      </c>
    </row>
    <row r="6166" spans="7:10" ht="35.450000000000003" hidden="1" customHeight="1">
      <c r="G6166" s="113"/>
      <c r="J6166" s="28">
        <f>IFERROR(VLOOKUP(TEXT(B6166,"0"),STOCK!A:H,7,0),1)</f>
        <v>1</v>
      </c>
    </row>
    <row r="6167" spans="7:10" ht="35.450000000000003" hidden="1" customHeight="1">
      <c r="G6167" s="113"/>
      <c r="J6167" s="28">
        <f>IFERROR(VLOOKUP(TEXT(B6167,"0"),STOCK!A:H,7,0),1)</f>
        <v>1</v>
      </c>
    </row>
    <row r="6168" spans="7:10" ht="35.450000000000003" hidden="1" customHeight="1">
      <c r="G6168" s="113"/>
      <c r="J6168" s="28">
        <f>IFERROR(VLOOKUP(TEXT(B6168,"0"),STOCK!A:H,7,0),1)</f>
        <v>1</v>
      </c>
    </row>
    <row r="6169" spans="7:10" ht="35.450000000000003" hidden="1" customHeight="1">
      <c r="G6169" s="113"/>
      <c r="J6169" s="28">
        <f>IFERROR(VLOOKUP(TEXT(B6169,"0"),STOCK!A:H,7,0),1)</f>
        <v>1</v>
      </c>
    </row>
    <row r="6170" spans="7:10" ht="35.450000000000003" hidden="1" customHeight="1">
      <c r="G6170" s="113"/>
      <c r="J6170" s="28">
        <f>IFERROR(VLOOKUP(TEXT(B6170,"0"),STOCK!A:H,7,0),1)</f>
        <v>1</v>
      </c>
    </row>
    <row r="6171" spans="7:10" ht="35.450000000000003" hidden="1" customHeight="1">
      <c r="G6171" s="113"/>
      <c r="J6171" s="28">
        <f>IFERROR(VLOOKUP(TEXT(B6171,"0"),STOCK!A:H,7,0),1)</f>
        <v>1</v>
      </c>
    </row>
    <row r="6172" spans="7:10" ht="35.450000000000003" hidden="1" customHeight="1">
      <c r="G6172" s="113"/>
      <c r="J6172" s="28">
        <f>IFERROR(VLOOKUP(TEXT(B6172,"0"),STOCK!A:H,7,0),1)</f>
        <v>1</v>
      </c>
    </row>
    <row r="6173" spans="7:10" ht="35.450000000000003" hidden="1" customHeight="1">
      <c r="G6173" s="113"/>
      <c r="J6173" s="28">
        <f>IFERROR(VLOOKUP(TEXT(B6173,"0"),STOCK!A:H,7,0),1)</f>
        <v>1</v>
      </c>
    </row>
    <row r="6174" spans="7:10" ht="35.450000000000003" hidden="1" customHeight="1">
      <c r="G6174" s="113"/>
      <c r="J6174" s="28">
        <f>IFERROR(VLOOKUP(TEXT(B6174,"0"),STOCK!A:H,7,0),1)</f>
        <v>1</v>
      </c>
    </row>
    <row r="6175" spans="7:10" ht="35.450000000000003" hidden="1" customHeight="1">
      <c r="G6175" s="113"/>
      <c r="J6175" s="28">
        <f>IFERROR(VLOOKUP(TEXT(B6175,"0"),STOCK!A:H,7,0),1)</f>
        <v>1</v>
      </c>
    </row>
    <row r="6176" spans="7:10" ht="35.450000000000003" hidden="1" customHeight="1">
      <c r="G6176" s="113"/>
      <c r="J6176" s="28">
        <f>IFERROR(VLOOKUP(TEXT(B6176,"0"),STOCK!A:H,7,0),1)</f>
        <v>1</v>
      </c>
    </row>
    <row r="6177" spans="7:10" ht="35.450000000000003" hidden="1" customHeight="1">
      <c r="G6177" s="113"/>
      <c r="J6177" s="28">
        <f>IFERROR(VLOOKUP(TEXT(B6177,"0"),STOCK!A:H,7,0),1)</f>
        <v>1</v>
      </c>
    </row>
    <row r="6178" spans="7:10" ht="35.450000000000003" hidden="1" customHeight="1">
      <c r="G6178" s="113"/>
      <c r="J6178" s="28">
        <f>IFERROR(VLOOKUP(TEXT(B6178,"0"),STOCK!A:H,7,0),1)</f>
        <v>1</v>
      </c>
    </row>
    <row r="6179" spans="7:10" ht="35.450000000000003" hidden="1" customHeight="1">
      <c r="G6179" s="113"/>
      <c r="J6179" s="28">
        <f>IFERROR(VLOOKUP(TEXT(B6179,"0"),STOCK!A:H,7,0),1)</f>
        <v>1</v>
      </c>
    </row>
    <row r="6180" spans="7:10" ht="35.450000000000003" hidden="1" customHeight="1">
      <c r="G6180" s="113"/>
      <c r="J6180" s="28">
        <f>IFERROR(VLOOKUP(TEXT(B6180,"0"),STOCK!A:H,7,0),1)</f>
        <v>1</v>
      </c>
    </row>
    <row r="6181" spans="7:10" ht="35.450000000000003" hidden="1" customHeight="1">
      <c r="G6181" s="113"/>
      <c r="J6181" s="28">
        <f>IFERROR(VLOOKUP(TEXT(B6181,"0"),STOCK!A:H,7,0),1)</f>
        <v>1</v>
      </c>
    </row>
    <row r="6182" spans="7:10" ht="35.450000000000003" hidden="1" customHeight="1">
      <c r="G6182" s="113"/>
      <c r="J6182" s="28">
        <f>IFERROR(VLOOKUP(TEXT(B6182,"0"),STOCK!A:H,7,0),1)</f>
        <v>1</v>
      </c>
    </row>
    <row r="6183" spans="7:10" ht="35.450000000000003" hidden="1" customHeight="1">
      <c r="G6183" s="113"/>
      <c r="J6183" s="28">
        <f>IFERROR(VLOOKUP(TEXT(B6183,"0"),STOCK!A:H,7,0),1)</f>
        <v>1</v>
      </c>
    </row>
    <row r="6184" spans="7:10" ht="35.450000000000003" hidden="1" customHeight="1">
      <c r="G6184" s="113"/>
      <c r="J6184" s="28">
        <f>IFERROR(VLOOKUP(TEXT(B6184,"0"),STOCK!A:H,7,0),1)</f>
        <v>1</v>
      </c>
    </row>
    <row r="6185" spans="7:10" ht="35.450000000000003" hidden="1" customHeight="1">
      <c r="G6185" s="113"/>
      <c r="J6185" s="28">
        <f>IFERROR(VLOOKUP(TEXT(B6185,"0"),STOCK!A:H,7,0),1)</f>
        <v>1</v>
      </c>
    </row>
    <row r="6186" spans="7:10" ht="35.450000000000003" hidden="1" customHeight="1">
      <c r="G6186" s="113"/>
      <c r="J6186" s="28">
        <f>IFERROR(VLOOKUP(TEXT(B6186,"0"),STOCK!A:H,7,0),1)</f>
        <v>1</v>
      </c>
    </row>
    <row r="6187" spans="7:10" ht="35.450000000000003" hidden="1" customHeight="1">
      <c r="G6187" s="113"/>
      <c r="J6187" s="28">
        <f>IFERROR(VLOOKUP(TEXT(B6187,"0"),STOCK!A:H,7,0),1)</f>
        <v>1</v>
      </c>
    </row>
    <row r="6188" spans="7:10" ht="35.450000000000003" hidden="1" customHeight="1">
      <c r="G6188" s="113"/>
      <c r="J6188" s="28">
        <f>IFERROR(VLOOKUP(TEXT(B6188,"0"),STOCK!A:H,7,0),1)</f>
        <v>1</v>
      </c>
    </row>
    <row r="6189" spans="7:10" ht="35.450000000000003" hidden="1" customHeight="1">
      <c r="G6189" s="113"/>
      <c r="J6189" s="28">
        <f>IFERROR(VLOOKUP(TEXT(B6189,"0"),STOCK!A:H,7,0),1)</f>
        <v>1</v>
      </c>
    </row>
    <row r="6190" spans="7:10" ht="35.450000000000003" hidden="1" customHeight="1">
      <c r="G6190" s="113"/>
      <c r="J6190" s="28">
        <f>IFERROR(VLOOKUP(TEXT(B6190,"0"),STOCK!A:H,7,0),1)</f>
        <v>1</v>
      </c>
    </row>
    <row r="6191" spans="7:10" ht="35.450000000000003" hidden="1" customHeight="1">
      <c r="G6191" s="113"/>
      <c r="J6191" s="28">
        <f>IFERROR(VLOOKUP(TEXT(B6191,"0"),STOCK!A:H,7,0),1)</f>
        <v>1</v>
      </c>
    </row>
    <row r="6192" spans="7:10" ht="35.450000000000003" hidden="1" customHeight="1">
      <c r="G6192" s="113"/>
      <c r="J6192" s="28">
        <f>IFERROR(VLOOKUP(TEXT(B6192,"0"),STOCK!A:H,7,0),1)</f>
        <v>1</v>
      </c>
    </row>
    <row r="6193" spans="7:10" ht="35.450000000000003" hidden="1" customHeight="1">
      <c r="G6193" s="113"/>
      <c r="J6193" s="28">
        <f>IFERROR(VLOOKUP(TEXT(B6193,"0"),STOCK!A:H,7,0),1)</f>
        <v>1</v>
      </c>
    </row>
    <row r="6194" spans="7:10" ht="35.450000000000003" hidden="1" customHeight="1">
      <c r="G6194" s="113"/>
      <c r="J6194" s="28">
        <f>IFERROR(VLOOKUP(TEXT(B6194,"0"),STOCK!A:H,7,0),1)</f>
        <v>1</v>
      </c>
    </row>
    <row r="6195" spans="7:10" ht="35.450000000000003" hidden="1" customHeight="1">
      <c r="G6195" s="113"/>
      <c r="J6195" s="28">
        <f>IFERROR(VLOOKUP(TEXT(B6195,"0"),STOCK!A:H,7,0),1)</f>
        <v>1</v>
      </c>
    </row>
    <row r="6196" spans="7:10" ht="35.450000000000003" hidden="1" customHeight="1">
      <c r="G6196" s="113"/>
      <c r="J6196" s="28">
        <f>IFERROR(VLOOKUP(TEXT(B6196,"0"),STOCK!A:H,7,0),1)</f>
        <v>1</v>
      </c>
    </row>
    <row r="6197" spans="7:10" ht="35.450000000000003" hidden="1" customHeight="1">
      <c r="G6197" s="113"/>
      <c r="J6197" s="28">
        <f>IFERROR(VLOOKUP(TEXT(B6197,"0"),STOCK!A:H,7,0),1)</f>
        <v>1</v>
      </c>
    </row>
    <row r="6198" spans="7:10" ht="35.450000000000003" hidden="1" customHeight="1">
      <c r="G6198" s="113"/>
      <c r="J6198" s="28">
        <f>IFERROR(VLOOKUP(TEXT(B6198,"0"),STOCK!A:H,7,0),1)</f>
        <v>1</v>
      </c>
    </row>
    <row r="6199" spans="7:10" ht="35.450000000000003" hidden="1" customHeight="1">
      <c r="G6199" s="113"/>
      <c r="J6199" s="28">
        <f>IFERROR(VLOOKUP(TEXT(B6199,"0"),STOCK!A:H,7,0),1)</f>
        <v>1</v>
      </c>
    </row>
    <row r="6200" spans="7:10" ht="35.450000000000003" hidden="1" customHeight="1">
      <c r="G6200" s="113"/>
      <c r="J6200" s="28">
        <f>IFERROR(VLOOKUP(TEXT(B6200,"0"),STOCK!A:H,7,0),1)</f>
        <v>1</v>
      </c>
    </row>
    <row r="6201" spans="7:10" ht="35.450000000000003" hidden="1" customHeight="1">
      <c r="G6201" s="113"/>
      <c r="J6201" s="28">
        <f>IFERROR(VLOOKUP(TEXT(B6201,"0"),STOCK!A:H,7,0),1)</f>
        <v>1</v>
      </c>
    </row>
    <row r="6202" spans="7:10" ht="35.450000000000003" hidden="1" customHeight="1">
      <c r="G6202" s="113"/>
      <c r="J6202" s="28">
        <f>IFERROR(VLOOKUP(TEXT(B6202,"0"),STOCK!A:H,7,0),1)</f>
        <v>1</v>
      </c>
    </row>
    <row r="6203" spans="7:10" ht="35.450000000000003" hidden="1" customHeight="1">
      <c r="G6203" s="113"/>
      <c r="J6203" s="28">
        <f>IFERROR(VLOOKUP(TEXT(B6203,"0"),STOCK!A:H,7,0),1)</f>
        <v>1</v>
      </c>
    </row>
    <row r="6204" spans="7:10" ht="35.450000000000003" hidden="1" customHeight="1">
      <c r="G6204" s="113"/>
      <c r="J6204" s="28">
        <f>IFERROR(VLOOKUP(TEXT(B6204,"0"),STOCK!A:H,7,0),1)</f>
        <v>1</v>
      </c>
    </row>
    <row r="6205" spans="7:10" ht="35.450000000000003" hidden="1" customHeight="1">
      <c r="G6205" s="113"/>
      <c r="J6205" s="28">
        <f>IFERROR(VLOOKUP(TEXT(B6205,"0"),STOCK!A:H,7,0),1)</f>
        <v>1</v>
      </c>
    </row>
    <row r="6206" spans="7:10" ht="35.450000000000003" hidden="1" customHeight="1">
      <c r="G6206" s="113"/>
      <c r="J6206" s="28">
        <f>IFERROR(VLOOKUP(TEXT(B6206,"0"),STOCK!A:H,7,0),1)</f>
        <v>1</v>
      </c>
    </row>
    <row r="6207" spans="7:10" ht="35.450000000000003" hidden="1" customHeight="1">
      <c r="G6207" s="113"/>
      <c r="J6207" s="28">
        <f>IFERROR(VLOOKUP(TEXT(B6207,"0"),STOCK!A:H,7,0),1)</f>
        <v>1</v>
      </c>
    </row>
    <row r="6208" spans="7:10" ht="35.450000000000003" hidden="1" customHeight="1">
      <c r="G6208" s="113"/>
      <c r="J6208" s="28">
        <f>IFERROR(VLOOKUP(TEXT(B6208,"0"),STOCK!A:H,7,0),1)</f>
        <v>1</v>
      </c>
    </row>
    <row r="6209" spans="7:10" ht="35.450000000000003" hidden="1" customHeight="1">
      <c r="G6209" s="113"/>
      <c r="J6209" s="28">
        <f>IFERROR(VLOOKUP(TEXT(B6209,"0"),STOCK!A:H,7,0),1)</f>
        <v>1</v>
      </c>
    </row>
    <row r="6210" spans="7:10" ht="35.450000000000003" hidden="1" customHeight="1">
      <c r="G6210" s="113"/>
      <c r="J6210" s="28">
        <f>IFERROR(VLOOKUP(TEXT(B6210,"0"),STOCK!A:H,7,0),1)</f>
        <v>1</v>
      </c>
    </row>
    <row r="6211" spans="7:10" ht="35.450000000000003" hidden="1" customHeight="1">
      <c r="G6211" s="113"/>
      <c r="J6211" s="28">
        <f>IFERROR(VLOOKUP(TEXT(B6211,"0"),STOCK!A:H,7,0),1)</f>
        <v>1</v>
      </c>
    </row>
    <row r="6212" spans="7:10" ht="35.450000000000003" hidden="1" customHeight="1">
      <c r="G6212" s="113"/>
      <c r="J6212" s="28">
        <f>IFERROR(VLOOKUP(TEXT(B6212,"0"),STOCK!A:H,7,0),1)</f>
        <v>1</v>
      </c>
    </row>
    <row r="6213" spans="7:10" ht="35.450000000000003" hidden="1" customHeight="1">
      <c r="G6213" s="113"/>
      <c r="J6213" s="28">
        <f>IFERROR(VLOOKUP(TEXT(B6213,"0"),STOCK!A:H,7,0),1)</f>
        <v>1</v>
      </c>
    </row>
    <row r="6214" spans="7:10" ht="35.450000000000003" hidden="1" customHeight="1">
      <c r="G6214" s="113"/>
      <c r="J6214" s="28">
        <f>IFERROR(VLOOKUP(TEXT(B6214,"0"),STOCK!A:H,7,0),1)</f>
        <v>1</v>
      </c>
    </row>
    <row r="6215" spans="7:10" ht="35.450000000000003" hidden="1" customHeight="1">
      <c r="G6215" s="113"/>
      <c r="J6215" s="28">
        <f>IFERROR(VLOOKUP(TEXT(B6215,"0"),STOCK!A:H,7,0),1)</f>
        <v>1</v>
      </c>
    </row>
    <row r="6216" spans="7:10" ht="35.450000000000003" hidden="1" customHeight="1">
      <c r="G6216" s="113"/>
      <c r="J6216" s="28">
        <f>IFERROR(VLOOKUP(TEXT(B6216,"0"),STOCK!A:H,7,0),1)</f>
        <v>1</v>
      </c>
    </row>
    <row r="6217" spans="7:10" ht="35.450000000000003" hidden="1" customHeight="1">
      <c r="G6217" s="113"/>
      <c r="J6217" s="28">
        <f>IFERROR(VLOOKUP(TEXT(B6217,"0"),STOCK!A:H,7,0),1)</f>
        <v>1</v>
      </c>
    </row>
    <row r="6218" spans="7:10" ht="35.450000000000003" hidden="1" customHeight="1">
      <c r="G6218" s="113"/>
      <c r="J6218" s="28">
        <f>IFERROR(VLOOKUP(TEXT(B6218,"0"),STOCK!A:H,7,0),1)</f>
        <v>1</v>
      </c>
    </row>
    <row r="6219" spans="7:10" ht="35.450000000000003" hidden="1" customHeight="1">
      <c r="G6219" s="113"/>
      <c r="J6219" s="28">
        <f>IFERROR(VLOOKUP(TEXT(B6219,"0"),STOCK!A:H,7,0),1)</f>
        <v>1</v>
      </c>
    </row>
    <row r="6220" spans="7:10" ht="35.450000000000003" hidden="1" customHeight="1">
      <c r="G6220" s="113"/>
      <c r="J6220" s="28">
        <f>IFERROR(VLOOKUP(TEXT(B6220,"0"),STOCK!A:H,7,0),1)</f>
        <v>1</v>
      </c>
    </row>
    <row r="6221" spans="7:10" ht="35.450000000000003" hidden="1" customHeight="1">
      <c r="G6221" s="113"/>
      <c r="J6221" s="28">
        <f>IFERROR(VLOOKUP(TEXT(B6221,"0"),STOCK!A:H,7,0),1)</f>
        <v>1</v>
      </c>
    </row>
    <row r="6222" spans="7:10" ht="35.450000000000003" hidden="1" customHeight="1">
      <c r="G6222" s="113"/>
      <c r="J6222" s="28">
        <f>IFERROR(VLOOKUP(TEXT(B6222,"0"),STOCK!A:H,7,0),1)</f>
        <v>1</v>
      </c>
    </row>
    <row r="6223" spans="7:10" ht="35.450000000000003" hidden="1" customHeight="1">
      <c r="G6223" s="113"/>
      <c r="J6223" s="28">
        <f>IFERROR(VLOOKUP(TEXT(B6223,"0"),STOCK!A:H,7,0),1)</f>
        <v>1</v>
      </c>
    </row>
    <row r="6224" spans="7:10" ht="35.450000000000003" hidden="1" customHeight="1">
      <c r="G6224" s="113"/>
      <c r="J6224" s="28">
        <f>IFERROR(VLOOKUP(TEXT(B6224,"0"),STOCK!A:H,7,0),1)</f>
        <v>1</v>
      </c>
    </row>
    <row r="6225" spans="7:10" ht="35.450000000000003" hidden="1" customHeight="1">
      <c r="G6225" s="113"/>
      <c r="J6225" s="28">
        <f>IFERROR(VLOOKUP(TEXT(B6225,"0"),STOCK!A:H,7,0),1)</f>
        <v>1</v>
      </c>
    </row>
    <row r="6226" spans="7:10" ht="35.450000000000003" hidden="1" customHeight="1">
      <c r="G6226" s="113"/>
      <c r="J6226" s="28">
        <f>IFERROR(VLOOKUP(TEXT(B6226,"0"),STOCK!A:H,7,0),1)</f>
        <v>1</v>
      </c>
    </row>
    <row r="6227" spans="7:10" ht="35.450000000000003" hidden="1" customHeight="1">
      <c r="G6227" s="113"/>
      <c r="J6227" s="28">
        <f>IFERROR(VLOOKUP(TEXT(B6227,"0"),STOCK!A:H,7,0),1)</f>
        <v>1</v>
      </c>
    </row>
    <row r="6228" spans="7:10" ht="35.450000000000003" hidden="1" customHeight="1">
      <c r="G6228" s="113"/>
      <c r="J6228" s="28">
        <f>IFERROR(VLOOKUP(TEXT(B6228,"0"),STOCK!A:H,7,0),1)</f>
        <v>1</v>
      </c>
    </row>
    <row r="6229" spans="7:10" ht="35.450000000000003" hidden="1" customHeight="1">
      <c r="G6229" s="113"/>
      <c r="J6229" s="28">
        <f>IFERROR(VLOOKUP(TEXT(B6229,"0"),STOCK!A:H,7,0),1)</f>
        <v>1</v>
      </c>
    </row>
    <row r="6230" spans="7:10" ht="35.450000000000003" hidden="1" customHeight="1">
      <c r="G6230" s="113"/>
      <c r="J6230" s="28">
        <f>IFERROR(VLOOKUP(TEXT(B6230,"0"),STOCK!A:H,7,0),1)</f>
        <v>1</v>
      </c>
    </row>
    <row r="6231" spans="7:10" ht="35.450000000000003" hidden="1" customHeight="1">
      <c r="G6231" s="113"/>
      <c r="J6231" s="28">
        <f>IFERROR(VLOOKUP(TEXT(B6231,"0"),STOCK!A:H,7,0),1)</f>
        <v>1</v>
      </c>
    </row>
    <row r="6232" spans="7:10" ht="35.450000000000003" hidden="1" customHeight="1">
      <c r="G6232" s="113"/>
      <c r="J6232" s="28">
        <f>IFERROR(VLOOKUP(TEXT(B6232,"0"),STOCK!A:H,7,0),1)</f>
        <v>1</v>
      </c>
    </row>
    <row r="6233" spans="7:10" ht="35.450000000000003" hidden="1" customHeight="1">
      <c r="G6233" s="113"/>
      <c r="J6233" s="28">
        <f>IFERROR(VLOOKUP(TEXT(B6233,"0"),STOCK!A:H,7,0),1)</f>
        <v>1</v>
      </c>
    </row>
    <row r="6234" spans="7:10" ht="35.450000000000003" hidden="1" customHeight="1">
      <c r="G6234" s="113"/>
      <c r="J6234" s="28">
        <f>IFERROR(VLOOKUP(TEXT(B6234,"0"),STOCK!A:H,7,0),1)</f>
        <v>1</v>
      </c>
    </row>
    <row r="6235" spans="7:10" ht="35.450000000000003" hidden="1" customHeight="1">
      <c r="G6235" s="113"/>
      <c r="J6235" s="28">
        <f>IFERROR(VLOOKUP(TEXT(B6235,"0"),STOCK!A:H,7,0),1)</f>
        <v>1</v>
      </c>
    </row>
    <row r="6236" spans="7:10" ht="35.450000000000003" hidden="1" customHeight="1">
      <c r="G6236" s="113"/>
      <c r="J6236" s="28">
        <f>IFERROR(VLOOKUP(TEXT(B6236,"0"),STOCK!A:H,7,0),1)</f>
        <v>1</v>
      </c>
    </row>
    <row r="6237" spans="7:10" ht="35.450000000000003" hidden="1" customHeight="1">
      <c r="G6237" s="113"/>
      <c r="J6237" s="28">
        <f>IFERROR(VLOOKUP(TEXT(B6237,"0"),STOCK!A:H,7,0),1)</f>
        <v>1</v>
      </c>
    </row>
    <row r="6238" spans="7:10" ht="35.450000000000003" hidden="1" customHeight="1">
      <c r="G6238" s="113"/>
      <c r="J6238" s="28">
        <f>IFERROR(VLOOKUP(TEXT(B6238,"0"),STOCK!A:H,7,0),1)</f>
        <v>1</v>
      </c>
    </row>
    <row r="6239" spans="7:10" ht="35.450000000000003" hidden="1" customHeight="1">
      <c r="G6239" s="113"/>
      <c r="J6239" s="28">
        <f>IFERROR(VLOOKUP(TEXT(B6239,"0"),STOCK!A:H,7,0),1)</f>
        <v>1</v>
      </c>
    </row>
    <row r="6240" spans="7:10" ht="35.450000000000003" hidden="1" customHeight="1">
      <c r="G6240" s="113"/>
      <c r="J6240" s="28">
        <f>IFERROR(VLOOKUP(TEXT(B6240,"0"),STOCK!A:H,7,0),1)</f>
        <v>1</v>
      </c>
    </row>
    <row r="6241" spans="7:10" ht="35.450000000000003" hidden="1" customHeight="1">
      <c r="G6241" s="113"/>
      <c r="J6241" s="28">
        <f>IFERROR(VLOOKUP(TEXT(B6241,"0"),STOCK!A:H,7,0),1)</f>
        <v>1</v>
      </c>
    </row>
    <row r="6242" spans="7:10" ht="35.450000000000003" hidden="1" customHeight="1">
      <c r="G6242" s="113"/>
      <c r="J6242" s="28">
        <f>IFERROR(VLOOKUP(TEXT(B6242,"0"),STOCK!A:H,7,0),1)</f>
        <v>1</v>
      </c>
    </row>
    <row r="6243" spans="7:10" ht="35.450000000000003" hidden="1" customHeight="1">
      <c r="G6243" s="113"/>
      <c r="J6243" s="28">
        <f>IFERROR(VLOOKUP(TEXT(B6243,"0"),STOCK!A:H,7,0),1)</f>
        <v>1</v>
      </c>
    </row>
    <row r="6244" spans="7:10" ht="35.450000000000003" hidden="1" customHeight="1">
      <c r="G6244" s="113"/>
      <c r="J6244" s="28">
        <f>IFERROR(VLOOKUP(TEXT(B6244,"0"),STOCK!A:H,7,0),1)</f>
        <v>1</v>
      </c>
    </row>
    <row r="6245" spans="7:10" ht="35.450000000000003" hidden="1" customHeight="1">
      <c r="G6245" s="113"/>
      <c r="J6245" s="28">
        <f>IFERROR(VLOOKUP(TEXT(B6245,"0"),STOCK!A:H,7,0),1)</f>
        <v>1</v>
      </c>
    </row>
    <row r="6246" spans="7:10" ht="35.450000000000003" hidden="1" customHeight="1">
      <c r="G6246" s="113"/>
      <c r="J6246" s="28">
        <f>IFERROR(VLOOKUP(TEXT(B6246,"0"),STOCK!A:H,7,0),1)</f>
        <v>1</v>
      </c>
    </row>
    <row r="6247" spans="7:10" ht="35.450000000000003" hidden="1" customHeight="1">
      <c r="G6247" s="113"/>
      <c r="J6247" s="28">
        <f>IFERROR(VLOOKUP(TEXT(B6247,"0"),STOCK!A:H,7,0),1)</f>
        <v>1</v>
      </c>
    </row>
    <row r="6248" spans="7:10" ht="35.450000000000003" hidden="1" customHeight="1">
      <c r="G6248" s="113"/>
      <c r="J6248" s="28">
        <f>IFERROR(VLOOKUP(TEXT(B6248,"0"),STOCK!A:H,7,0),1)</f>
        <v>1</v>
      </c>
    </row>
    <row r="6249" spans="7:10" ht="35.450000000000003" hidden="1" customHeight="1">
      <c r="G6249" s="113"/>
      <c r="J6249" s="28">
        <f>IFERROR(VLOOKUP(TEXT(B6249,"0"),STOCK!A:H,7,0),1)</f>
        <v>1</v>
      </c>
    </row>
    <row r="6250" spans="7:10" ht="35.450000000000003" hidden="1" customHeight="1">
      <c r="G6250" s="113"/>
      <c r="J6250" s="28">
        <f>IFERROR(VLOOKUP(TEXT(B6250,"0"),STOCK!A:H,7,0),1)</f>
        <v>1</v>
      </c>
    </row>
    <row r="6251" spans="7:10" ht="35.450000000000003" hidden="1" customHeight="1">
      <c r="G6251" s="113"/>
      <c r="J6251" s="28">
        <f>IFERROR(VLOOKUP(TEXT(B6251,"0"),STOCK!A:H,7,0),1)</f>
        <v>1</v>
      </c>
    </row>
    <row r="6252" spans="7:10" ht="35.450000000000003" hidden="1" customHeight="1">
      <c r="G6252" s="113"/>
      <c r="J6252" s="28">
        <f>IFERROR(VLOOKUP(TEXT(B6252,"0"),STOCK!A:H,7,0),1)</f>
        <v>1</v>
      </c>
    </row>
    <row r="6253" spans="7:10" ht="35.450000000000003" hidden="1" customHeight="1">
      <c r="G6253" s="113"/>
      <c r="J6253" s="28">
        <f>IFERROR(VLOOKUP(TEXT(B6253,"0"),STOCK!A:H,7,0),1)</f>
        <v>1</v>
      </c>
    </row>
    <row r="6254" spans="7:10" ht="35.450000000000003" hidden="1" customHeight="1">
      <c r="G6254" s="113"/>
      <c r="J6254" s="28">
        <f>IFERROR(VLOOKUP(TEXT(B6254,"0"),STOCK!A:H,7,0),1)</f>
        <v>1</v>
      </c>
    </row>
    <row r="6255" spans="7:10" ht="35.450000000000003" hidden="1" customHeight="1">
      <c r="G6255" s="113"/>
      <c r="J6255" s="28">
        <f>IFERROR(VLOOKUP(TEXT(B6255,"0"),STOCK!A:H,7,0),1)</f>
        <v>1</v>
      </c>
    </row>
    <row r="6256" spans="7:10" ht="35.450000000000003" hidden="1" customHeight="1">
      <c r="G6256" s="113"/>
      <c r="J6256" s="28">
        <f>IFERROR(VLOOKUP(TEXT(B6256,"0"),STOCK!A:H,7,0),1)</f>
        <v>1</v>
      </c>
    </row>
    <row r="6257" spans="7:10" ht="35.450000000000003" hidden="1" customHeight="1">
      <c r="G6257" s="113"/>
      <c r="J6257" s="28">
        <f>IFERROR(VLOOKUP(TEXT(B6257,"0"),STOCK!A:H,7,0),1)</f>
        <v>1</v>
      </c>
    </row>
    <row r="6258" spans="7:10" ht="35.450000000000003" hidden="1" customHeight="1">
      <c r="G6258" s="113"/>
      <c r="J6258" s="28">
        <f>IFERROR(VLOOKUP(TEXT(B6258,"0"),STOCK!A:H,7,0),1)</f>
        <v>1</v>
      </c>
    </row>
    <row r="6259" spans="7:10" ht="35.450000000000003" hidden="1" customHeight="1">
      <c r="G6259" s="113"/>
      <c r="J6259" s="28">
        <f>IFERROR(VLOOKUP(TEXT(B6259,"0"),STOCK!A:H,7,0),1)</f>
        <v>1</v>
      </c>
    </row>
    <row r="6260" spans="7:10" ht="35.450000000000003" hidden="1" customHeight="1">
      <c r="G6260" s="113"/>
      <c r="J6260" s="28">
        <f>IFERROR(VLOOKUP(TEXT(B6260,"0"),STOCK!A:H,7,0),1)</f>
        <v>1</v>
      </c>
    </row>
    <row r="6261" spans="7:10" ht="35.450000000000003" hidden="1" customHeight="1">
      <c r="G6261" s="113"/>
      <c r="J6261" s="28">
        <f>IFERROR(VLOOKUP(TEXT(B6261,"0"),STOCK!A:H,7,0),1)</f>
        <v>1</v>
      </c>
    </row>
    <row r="6262" spans="7:10" ht="35.450000000000003" hidden="1" customHeight="1">
      <c r="G6262" s="113"/>
      <c r="J6262" s="28">
        <f>IFERROR(VLOOKUP(TEXT(B6262,"0"),STOCK!A:H,7,0),1)</f>
        <v>1</v>
      </c>
    </row>
    <row r="6263" spans="7:10" ht="35.450000000000003" hidden="1" customHeight="1">
      <c r="G6263" s="113"/>
      <c r="J6263" s="28">
        <f>IFERROR(VLOOKUP(TEXT(B6263,"0"),STOCK!A:H,7,0),1)</f>
        <v>1</v>
      </c>
    </row>
    <row r="6264" spans="7:10" ht="35.450000000000003" hidden="1" customHeight="1">
      <c r="G6264" s="113"/>
      <c r="J6264" s="28">
        <f>IFERROR(VLOOKUP(TEXT(B6264,"0"),STOCK!A:H,7,0),1)</f>
        <v>1</v>
      </c>
    </row>
    <row r="6265" spans="7:10" ht="35.450000000000003" hidden="1" customHeight="1">
      <c r="G6265" s="113"/>
      <c r="J6265" s="28">
        <f>IFERROR(VLOOKUP(TEXT(B6265,"0"),STOCK!A:H,7,0),1)</f>
        <v>1</v>
      </c>
    </row>
    <row r="6266" spans="7:10" ht="35.450000000000003" hidden="1" customHeight="1">
      <c r="G6266" s="113"/>
      <c r="J6266" s="28">
        <f>IFERROR(VLOOKUP(TEXT(B6266,"0"),STOCK!A:H,7,0),1)</f>
        <v>1</v>
      </c>
    </row>
    <row r="6267" spans="7:10" ht="35.450000000000003" hidden="1" customHeight="1">
      <c r="G6267" s="113"/>
      <c r="J6267" s="28">
        <f>IFERROR(VLOOKUP(TEXT(B6267,"0"),STOCK!A:H,7,0),1)</f>
        <v>1</v>
      </c>
    </row>
    <row r="6268" spans="7:10" ht="35.450000000000003" hidden="1" customHeight="1">
      <c r="G6268" s="113"/>
      <c r="J6268" s="28">
        <f>IFERROR(VLOOKUP(TEXT(B6268,"0"),STOCK!A:H,7,0),1)</f>
        <v>1</v>
      </c>
    </row>
    <row r="6269" spans="7:10" ht="35.450000000000003" hidden="1" customHeight="1">
      <c r="G6269" s="113"/>
      <c r="J6269" s="28">
        <f>IFERROR(VLOOKUP(TEXT(B6269,"0"),STOCK!A:H,7,0),1)</f>
        <v>1</v>
      </c>
    </row>
    <row r="6270" spans="7:10" ht="35.450000000000003" hidden="1" customHeight="1">
      <c r="G6270" s="113"/>
      <c r="J6270" s="28">
        <f>IFERROR(VLOOKUP(TEXT(B6270,"0"),STOCK!A:H,7,0),1)</f>
        <v>1</v>
      </c>
    </row>
    <row r="6271" spans="7:10" ht="35.450000000000003" hidden="1" customHeight="1">
      <c r="G6271" s="113"/>
      <c r="J6271" s="28">
        <f>IFERROR(VLOOKUP(TEXT(B6271,"0"),STOCK!A:H,7,0),1)</f>
        <v>1</v>
      </c>
    </row>
    <row r="6272" spans="7:10" ht="35.450000000000003" hidden="1" customHeight="1">
      <c r="G6272" s="113"/>
      <c r="J6272" s="28">
        <f>IFERROR(VLOOKUP(TEXT(B6272,"0"),STOCK!A:H,7,0),1)</f>
        <v>1</v>
      </c>
    </row>
    <row r="6273" spans="7:10" ht="35.450000000000003" hidden="1" customHeight="1">
      <c r="G6273" s="113"/>
      <c r="J6273" s="28">
        <f>IFERROR(VLOOKUP(TEXT(B6273,"0"),STOCK!A:H,7,0),1)</f>
        <v>1</v>
      </c>
    </row>
    <row r="6274" spans="7:10" ht="35.450000000000003" hidden="1" customHeight="1">
      <c r="G6274" s="113"/>
      <c r="J6274" s="28">
        <f>IFERROR(VLOOKUP(TEXT(B6274,"0"),STOCK!A:H,7,0),1)</f>
        <v>1</v>
      </c>
    </row>
    <row r="6275" spans="7:10" ht="35.450000000000003" hidden="1" customHeight="1">
      <c r="G6275" s="113"/>
      <c r="J6275" s="28">
        <f>IFERROR(VLOOKUP(TEXT(B6275,"0"),STOCK!A:H,7,0),1)</f>
        <v>1</v>
      </c>
    </row>
    <row r="6276" spans="7:10" ht="35.450000000000003" hidden="1" customHeight="1">
      <c r="G6276" s="113"/>
      <c r="J6276" s="28">
        <f>IFERROR(VLOOKUP(TEXT(B6276,"0"),STOCK!A:H,7,0),1)</f>
        <v>1</v>
      </c>
    </row>
    <row r="6277" spans="7:10" ht="35.450000000000003" hidden="1" customHeight="1">
      <c r="G6277" s="113"/>
      <c r="J6277" s="28">
        <f>IFERROR(VLOOKUP(TEXT(B6277,"0"),STOCK!A:H,7,0),1)</f>
        <v>1</v>
      </c>
    </row>
    <row r="6278" spans="7:10" ht="35.450000000000003" hidden="1" customHeight="1">
      <c r="G6278" s="113"/>
      <c r="J6278" s="28">
        <f>IFERROR(VLOOKUP(TEXT(B6278,"0"),STOCK!A:H,7,0),1)</f>
        <v>1</v>
      </c>
    </row>
    <row r="6279" spans="7:10" ht="35.450000000000003" hidden="1" customHeight="1">
      <c r="G6279" s="113"/>
      <c r="J6279" s="28">
        <f>IFERROR(VLOOKUP(TEXT(B6279,"0"),STOCK!A:H,7,0),1)</f>
        <v>1</v>
      </c>
    </row>
    <row r="6280" spans="7:10" ht="35.450000000000003" hidden="1" customHeight="1">
      <c r="G6280" s="113"/>
      <c r="J6280" s="28">
        <f>IFERROR(VLOOKUP(TEXT(B6280,"0"),STOCK!A:H,7,0),1)</f>
        <v>1</v>
      </c>
    </row>
    <row r="6281" spans="7:10" ht="35.450000000000003" hidden="1" customHeight="1">
      <c r="G6281" s="113"/>
      <c r="J6281" s="28">
        <f>IFERROR(VLOOKUP(TEXT(B6281,"0"),STOCK!A:H,7,0),1)</f>
        <v>1</v>
      </c>
    </row>
    <row r="6282" spans="7:10" ht="35.450000000000003" hidden="1" customHeight="1">
      <c r="G6282" s="113"/>
      <c r="J6282" s="28">
        <f>IFERROR(VLOOKUP(TEXT(B6282,"0"),STOCK!A:H,7,0),1)</f>
        <v>1</v>
      </c>
    </row>
    <row r="6283" spans="7:10" ht="35.450000000000003" hidden="1" customHeight="1">
      <c r="G6283" s="113"/>
      <c r="J6283" s="28">
        <f>IFERROR(VLOOKUP(TEXT(B6283,"0"),STOCK!A:H,7,0),1)</f>
        <v>1</v>
      </c>
    </row>
    <row r="6284" spans="7:10" ht="35.450000000000003" hidden="1" customHeight="1">
      <c r="G6284" s="113"/>
      <c r="J6284" s="28">
        <f>IFERROR(VLOOKUP(TEXT(B6284,"0"),STOCK!A:H,7,0),1)</f>
        <v>1</v>
      </c>
    </row>
    <row r="6285" spans="7:10" ht="35.450000000000003" hidden="1" customHeight="1">
      <c r="G6285" s="113"/>
      <c r="J6285" s="28">
        <f>IFERROR(VLOOKUP(TEXT(B6285,"0"),STOCK!A:H,7,0),1)</f>
        <v>1</v>
      </c>
    </row>
    <row r="6286" spans="7:10" ht="35.450000000000003" hidden="1" customHeight="1">
      <c r="G6286" s="113"/>
      <c r="J6286" s="28">
        <f>IFERROR(VLOOKUP(TEXT(B6286,"0"),STOCK!A:H,7,0),1)</f>
        <v>1</v>
      </c>
    </row>
    <row r="6287" spans="7:10" ht="35.450000000000003" hidden="1" customHeight="1">
      <c r="G6287" s="113"/>
      <c r="J6287" s="28">
        <f>IFERROR(VLOOKUP(TEXT(B6287,"0"),STOCK!A:H,7,0),1)</f>
        <v>1</v>
      </c>
    </row>
    <row r="6288" spans="7:10" ht="35.450000000000003" hidden="1" customHeight="1">
      <c r="G6288" s="113"/>
      <c r="J6288" s="28">
        <f>IFERROR(VLOOKUP(TEXT(B6288,"0"),STOCK!A:H,7,0),1)</f>
        <v>1</v>
      </c>
    </row>
    <row r="6289" spans="7:10" ht="35.450000000000003" hidden="1" customHeight="1">
      <c r="G6289" s="113"/>
      <c r="J6289" s="28">
        <f>IFERROR(VLOOKUP(TEXT(B6289,"0"),STOCK!A:H,7,0),1)</f>
        <v>1</v>
      </c>
    </row>
    <row r="6290" spans="7:10" ht="35.450000000000003" hidden="1" customHeight="1">
      <c r="G6290" s="113"/>
      <c r="J6290" s="28">
        <f>IFERROR(VLOOKUP(TEXT(B6290,"0"),STOCK!A:H,7,0),1)</f>
        <v>1</v>
      </c>
    </row>
    <row r="6291" spans="7:10" ht="35.450000000000003" hidden="1" customHeight="1">
      <c r="G6291" s="113"/>
      <c r="J6291" s="28">
        <f>IFERROR(VLOOKUP(TEXT(B6291,"0"),STOCK!A:H,7,0),1)</f>
        <v>1</v>
      </c>
    </row>
    <row r="6292" spans="7:10" ht="35.450000000000003" hidden="1" customHeight="1">
      <c r="G6292" s="113"/>
      <c r="J6292" s="28">
        <f>IFERROR(VLOOKUP(TEXT(B6292,"0"),STOCK!A:H,7,0),1)</f>
        <v>1</v>
      </c>
    </row>
    <row r="6293" spans="7:10" ht="35.450000000000003" hidden="1" customHeight="1">
      <c r="G6293" s="113"/>
      <c r="J6293" s="28">
        <f>IFERROR(VLOOKUP(TEXT(B6293,"0"),STOCK!A:H,7,0),1)</f>
        <v>1</v>
      </c>
    </row>
    <row r="6294" spans="7:10" ht="35.450000000000003" hidden="1" customHeight="1">
      <c r="G6294" s="113"/>
      <c r="J6294" s="28">
        <f>IFERROR(VLOOKUP(TEXT(B6294,"0"),STOCK!A:H,7,0),1)</f>
        <v>1</v>
      </c>
    </row>
    <row r="6295" spans="7:10" ht="35.450000000000003" hidden="1" customHeight="1">
      <c r="G6295" s="113"/>
      <c r="J6295" s="28">
        <f>IFERROR(VLOOKUP(TEXT(B6295,"0"),STOCK!A:H,7,0),1)</f>
        <v>1</v>
      </c>
    </row>
    <row r="6296" spans="7:10" ht="35.450000000000003" hidden="1" customHeight="1">
      <c r="G6296" s="113"/>
      <c r="J6296" s="28">
        <f>IFERROR(VLOOKUP(TEXT(B6296,"0"),STOCK!A:H,7,0),1)</f>
        <v>1</v>
      </c>
    </row>
    <row r="6297" spans="7:10" ht="35.450000000000003" hidden="1" customHeight="1">
      <c r="G6297" s="113"/>
      <c r="J6297" s="28">
        <f>IFERROR(VLOOKUP(TEXT(B6297,"0"),STOCK!A:H,7,0),1)</f>
        <v>1</v>
      </c>
    </row>
    <row r="6298" spans="7:10" ht="35.450000000000003" hidden="1" customHeight="1">
      <c r="G6298" s="113"/>
      <c r="J6298" s="28">
        <f>IFERROR(VLOOKUP(TEXT(B6298,"0"),STOCK!A:H,7,0),1)</f>
        <v>1</v>
      </c>
    </row>
    <row r="6299" spans="7:10" ht="35.450000000000003" hidden="1" customHeight="1">
      <c r="G6299" s="113"/>
      <c r="J6299" s="28">
        <f>IFERROR(VLOOKUP(TEXT(B6299,"0"),STOCK!A:H,7,0),1)</f>
        <v>1</v>
      </c>
    </row>
    <row r="6300" spans="7:10" ht="35.450000000000003" hidden="1" customHeight="1">
      <c r="G6300" s="113"/>
      <c r="J6300" s="28">
        <f>IFERROR(VLOOKUP(TEXT(B6300,"0"),STOCK!A:H,7,0),1)</f>
        <v>1</v>
      </c>
    </row>
    <row r="6301" spans="7:10" ht="35.450000000000003" hidden="1" customHeight="1">
      <c r="G6301" s="113"/>
      <c r="J6301" s="28">
        <f>IFERROR(VLOOKUP(TEXT(B6301,"0"),STOCK!A:H,7,0),1)</f>
        <v>1</v>
      </c>
    </row>
    <row r="6302" spans="7:10" ht="35.450000000000003" hidden="1" customHeight="1">
      <c r="G6302" s="113"/>
      <c r="J6302" s="28">
        <f>IFERROR(VLOOKUP(TEXT(B6302,"0"),STOCK!A:H,7,0),1)</f>
        <v>1</v>
      </c>
    </row>
    <row r="6303" spans="7:10" ht="35.450000000000003" hidden="1" customHeight="1">
      <c r="G6303" s="113"/>
      <c r="J6303" s="28">
        <f>IFERROR(VLOOKUP(TEXT(B6303,"0"),STOCK!A:H,7,0),1)</f>
        <v>1</v>
      </c>
    </row>
    <row r="6304" spans="7:10" ht="35.450000000000003" hidden="1" customHeight="1">
      <c r="G6304" s="113"/>
      <c r="J6304" s="28">
        <f>IFERROR(VLOOKUP(TEXT(B6304,"0"),STOCK!A:H,7,0),1)</f>
        <v>1</v>
      </c>
    </row>
    <row r="6305" spans="7:10" ht="35.450000000000003" hidden="1" customHeight="1">
      <c r="G6305" s="113"/>
      <c r="J6305" s="28">
        <f>IFERROR(VLOOKUP(TEXT(B6305,"0"),STOCK!A:H,7,0),1)</f>
        <v>1</v>
      </c>
    </row>
    <row r="6306" spans="7:10" ht="35.450000000000003" hidden="1" customHeight="1">
      <c r="G6306" s="113"/>
      <c r="J6306" s="28">
        <f>IFERROR(VLOOKUP(TEXT(B6306,"0"),STOCK!A:H,7,0),1)</f>
        <v>1</v>
      </c>
    </row>
    <row r="6307" spans="7:10" ht="35.450000000000003" hidden="1" customHeight="1">
      <c r="G6307" s="113"/>
      <c r="J6307" s="28">
        <f>IFERROR(VLOOKUP(TEXT(B6307,"0"),STOCK!A:H,7,0),1)</f>
        <v>1</v>
      </c>
    </row>
    <row r="6308" spans="7:10" ht="35.450000000000003" hidden="1" customHeight="1">
      <c r="G6308" s="113"/>
      <c r="J6308" s="28">
        <f>IFERROR(VLOOKUP(TEXT(B6308,"0"),STOCK!A:H,7,0),1)</f>
        <v>1</v>
      </c>
    </row>
    <row r="6309" spans="7:10" ht="35.450000000000003" hidden="1" customHeight="1">
      <c r="G6309" s="113"/>
      <c r="J6309" s="28">
        <f>IFERROR(VLOOKUP(TEXT(B6309,"0"),STOCK!A:H,7,0),1)</f>
        <v>1</v>
      </c>
    </row>
    <row r="6310" spans="7:10" ht="35.450000000000003" hidden="1" customHeight="1">
      <c r="G6310" s="113"/>
      <c r="J6310" s="28">
        <f>IFERROR(VLOOKUP(TEXT(B6310,"0"),STOCK!A:H,7,0),1)</f>
        <v>1</v>
      </c>
    </row>
    <row r="6311" spans="7:10" ht="35.450000000000003" hidden="1" customHeight="1">
      <c r="G6311" s="113"/>
      <c r="J6311" s="28">
        <f>IFERROR(VLOOKUP(TEXT(B6311,"0"),STOCK!A:H,7,0),1)</f>
        <v>1</v>
      </c>
    </row>
    <row r="6312" spans="7:10" ht="35.450000000000003" hidden="1" customHeight="1">
      <c r="G6312" s="113"/>
      <c r="J6312" s="28">
        <f>IFERROR(VLOOKUP(TEXT(B6312,"0"),STOCK!A:H,7,0),1)</f>
        <v>1</v>
      </c>
    </row>
    <row r="6313" spans="7:10" ht="35.450000000000003" hidden="1" customHeight="1">
      <c r="G6313" s="113"/>
      <c r="J6313" s="28">
        <f>IFERROR(VLOOKUP(TEXT(B6313,"0"),STOCK!A:H,7,0),1)</f>
        <v>1</v>
      </c>
    </row>
    <row r="6314" spans="7:10" ht="35.450000000000003" hidden="1" customHeight="1">
      <c r="G6314" s="113"/>
      <c r="J6314" s="28">
        <f>IFERROR(VLOOKUP(TEXT(B6314,"0"),STOCK!A:H,7,0),1)</f>
        <v>1</v>
      </c>
    </row>
    <row r="6315" spans="7:10" ht="35.450000000000003" hidden="1" customHeight="1">
      <c r="G6315" s="113"/>
      <c r="J6315" s="28">
        <f>IFERROR(VLOOKUP(TEXT(B6315,"0"),STOCK!A:H,7,0),1)</f>
        <v>1</v>
      </c>
    </row>
    <row r="6316" spans="7:10" ht="35.450000000000003" hidden="1" customHeight="1">
      <c r="G6316" s="113"/>
      <c r="J6316" s="28">
        <f>IFERROR(VLOOKUP(TEXT(B6316,"0"),STOCK!A:H,7,0),1)</f>
        <v>1</v>
      </c>
    </row>
    <row r="6317" spans="7:10" ht="35.450000000000003" hidden="1" customHeight="1">
      <c r="G6317" s="113"/>
      <c r="J6317" s="28">
        <f>IFERROR(VLOOKUP(TEXT(B6317,"0"),STOCK!A:H,7,0),1)</f>
        <v>1</v>
      </c>
    </row>
    <row r="6318" spans="7:10" ht="35.450000000000003" hidden="1" customHeight="1">
      <c r="G6318" s="113"/>
      <c r="J6318" s="28">
        <f>IFERROR(VLOOKUP(TEXT(B6318,"0"),STOCK!A:H,7,0),1)</f>
        <v>1</v>
      </c>
    </row>
    <row r="6319" spans="7:10" ht="35.450000000000003" hidden="1" customHeight="1">
      <c r="G6319" s="113"/>
      <c r="J6319" s="28">
        <f>IFERROR(VLOOKUP(TEXT(B6319,"0"),STOCK!A:H,7,0),1)</f>
        <v>1</v>
      </c>
    </row>
    <row r="6320" spans="7:10" ht="35.450000000000003" hidden="1" customHeight="1">
      <c r="G6320" s="113"/>
      <c r="J6320" s="28">
        <f>IFERROR(VLOOKUP(TEXT(B6320,"0"),STOCK!A:H,7,0),1)</f>
        <v>1</v>
      </c>
    </row>
    <row r="6321" spans="7:10" ht="35.450000000000003" hidden="1" customHeight="1">
      <c r="G6321" s="113"/>
      <c r="J6321" s="28">
        <f>IFERROR(VLOOKUP(TEXT(B6321,"0"),STOCK!A:H,7,0),1)</f>
        <v>1</v>
      </c>
    </row>
    <row r="6322" spans="7:10" ht="35.450000000000003" hidden="1" customHeight="1">
      <c r="G6322" s="113"/>
      <c r="J6322" s="28">
        <f>IFERROR(VLOOKUP(TEXT(B6322,"0"),STOCK!A:H,7,0),1)</f>
        <v>1</v>
      </c>
    </row>
    <row r="6323" spans="7:10" ht="35.450000000000003" hidden="1" customHeight="1">
      <c r="G6323" s="113"/>
      <c r="J6323" s="28">
        <f>IFERROR(VLOOKUP(TEXT(B6323,"0"),STOCK!A:H,7,0),1)</f>
        <v>1</v>
      </c>
    </row>
    <row r="6324" spans="7:10" ht="35.450000000000003" hidden="1" customHeight="1">
      <c r="G6324" s="113"/>
      <c r="J6324" s="28">
        <f>IFERROR(VLOOKUP(TEXT(B6324,"0"),STOCK!A:H,7,0),1)</f>
        <v>1</v>
      </c>
    </row>
    <row r="6325" spans="7:10" ht="35.450000000000003" hidden="1" customHeight="1">
      <c r="G6325" s="113"/>
      <c r="J6325" s="28">
        <f>IFERROR(VLOOKUP(TEXT(B6325,"0"),STOCK!A:H,7,0),1)</f>
        <v>1</v>
      </c>
    </row>
    <row r="6326" spans="7:10" ht="35.450000000000003" hidden="1" customHeight="1">
      <c r="G6326" s="113"/>
      <c r="J6326" s="28">
        <f>IFERROR(VLOOKUP(TEXT(B6326,"0"),STOCK!A:H,7,0),1)</f>
        <v>1</v>
      </c>
    </row>
    <row r="6327" spans="7:10" ht="35.450000000000003" hidden="1" customHeight="1">
      <c r="G6327" s="113"/>
      <c r="J6327" s="28">
        <f>IFERROR(VLOOKUP(TEXT(B6327,"0"),STOCK!A:H,7,0),1)</f>
        <v>1</v>
      </c>
    </row>
    <row r="6328" spans="7:10" ht="35.450000000000003" hidden="1" customHeight="1">
      <c r="G6328" s="113"/>
      <c r="J6328" s="28">
        <f>IFERROR(VLOOKUP(TEXT(B6328,"0"),STOCK!A:H,7,0),1)</f>
        <v>1</v>
      </c>
    </row>
    <row r="6329" spans="7:10" ht="35.450000000000003" hidden="1" customHeight="1">
      <c r="G6329" s="113"/>
      <c r="J6329" s="28">
        <f>IFERROR(VLOOKUP(TEXT(B6329,"0"),STOCK!A:H,7,0),1)</f>
        <v>1</v>
      </c>
    </row>
    <row r="6330" spans="7:10" ht="35.450000000000003" hidden="1" customHeight="1">
      <c r="G6330" s="113"/>
      <c r="J6330" s="28">
        <f>IFERROR(VLOOKUP(TEXT(B6330,"0"),STOCK!A:H,7,0),1)</f>
        <v>1</v>
      </c>
    </row>
    <row r="6331" spans="7:10" ht="35.450000000000003" hidden="1" customHeight="1">
      <c r="G6331" s="113"/>
      <c r="J6331" s="28">
        <f>IFERROR(VLOOKUP(TEXT(B6331,"0"),STOCK!A:H,7,0),1)</f>
        <v>1</v>
      </c>
    </row>
    <row r="6332" spans="7:10" ht="35.450000000000003" hidden="1" customHeight="1">
      <c r="G6332" s="113"/>
      <c r="J6332" s="28">
        <f>IFERROR(VLOOKUP(TEXT(B6332,"0"),STOCK!A:H,7,0),1)</f>
        <v>1</v>
      </c>
    </row>
    <row r="6333" spans="7:10" ht="35.450000000000003" hidden="1" customHeight="1">
      <c r="G6333" s="113"/>
      <c r="J6333" s="28">
        <f>IFERROR(VLOOKUP(TEXT(B6333,"0"),STOCK!A:H,7,0),1)</f>
        <v>1</v>
      </c>
    </row>
    <row r="6334" spans="7:10" ht="35.450000000000003" hidden="1" customHeight="1">
      <c r="G6334" s="113"/>
      <c r="J6334" s="28">
        <f>IFERROR(VLOOKUP(TEXT(B6334,"0"),STOCK!A:H,7,0),1)</f>
        <v>1</v>
      </c>
    </row>
    <row r="6335" spans="7:10" ht="35.450000000000003" hidden="1" customHeight="1">
      <c r="G6335" s="113"/>
      <c r="J6335" s="28">
        <f>IFERROR(VLOOKUP(TEXT(B6335,"0"),STOCK!A:H,7,0),1)</f>
        <v>1</v>
      </c>
    </row>
    <row r="6336" spans="7:10" ht="35.450000000000003" hidden="1" customHeight="1">
      <c r="G6336" s="113"/>
      <c r="J6336" s="28">
        <f>IFERROR(VLOOKUP(TEXT(B6336,"0"),STOCK!A:H,7,0),1)</f>
        <v>1</v>
      </c>
    </row>
    <row r="6337" spans="7:10" ht="35.450000000000003" hidden="1" customHeight="1">
      <c r="G6337" s="113"/>
      <c r="J6337" s="28">
        <f>IFERROR(VLOOKUP(TEXT(B6337,"0"),STOCK!A:H,7,0),1)</f>
        <v>1</v>
      </c>
    </row>
    <row r="6338" spans="7:10" ht="35.450000000000003" hidden="1" customHeight="1">
      <c r="G6338" s="113"/>
      <c r="J6338" s="28">
        <f>IFERROR(VLOOKUP(TEXT(B6338,"0"),STOCK!A:H,7,0),1)</f>
        <v>1</v>
      </c>
    </row>
    <row r="6339" spans="7:10" ht="35.450000000000003" hidden="1" customHeight="1">
      <c r="G6339" s="113"/>
      <c r="J6339" s="28">
        <f>IFERROR(VLOOKUP(TEXT(B6339,"0"),STOCK!A:H,7,0),1)</f>
        <v>1</v>
      </c>
    </row>
    <row r="6340" spans="7:10" ht="35.450000000000003" hidden="1" customHeight="1">
      <c r="G6340" s="113"/>
      <c r="J6340" s="28">
        <f>IFERROR(VLOOKUP(TEXT(B6340,"0"),STOCK!A:H,7,0),1)</f>
        <v>1</v>
      </c>
    </row>
    <row r="6341" spans="7:10" ht="35.450000000000003" hidden="1" customHeight="1">
      <c r="G6341" s="113"/>
      <c r="J6341" s="28">
        <f>IFERROR(VLOOKUP(TEXT(B6341,"0"),STOCK!A:H,7,0),1)</f>
        <v>1</v>
      </c>
    </row>
    <row r="6342" spans="7:10" ht="35.450000000000003" hidden="1" customHeight="1">
      <c r="G6342" s="113"/>
      <c r="J6342" s="28">
        <f>IFERROR(VLOOKUP(TEXT(B6342,"0"),STOCK!A:H,7,0),1)</f>
        <v>1</v>
      </c>
    </row>
    <row r="6343" spans="7:10" ht="35.450000000000003" hidden="1" customHeight="1">
      <c r="G6343" s="113"/>
      <c r="J6343" s="28">
        <f>IFERROR(VLOOKUP(TEXT(B6343,"0"),STOCK!A:H,7,0),1)</f>
        <v>1</v>
      </c>
    </row>
    <row r="6344" spans="7:10" ht="35.450000000000003" hidden="1" customHeight="1">
      <c r="G6344" s="113"/>
      <c r="J6344" s="28">
        <f>IFERROR(VLOOKUP(TEXT(B6344,"0"),STOCK!A:H,7,0),1)</f>
        <v>1</v>
      </c>
    </row>
    <row r="6345" spans="7:10" ht="35.450000000000003" hidden="1" customHeight="1">
      <c r="G6345" s="113"/>
      <c r="J6345" s="28">
        <f>IFERROR(VLOOKUP(TEXT(B6345,"0"),STOCK!A:H,7,0),1)</f>
        <v>1</v>
      </c>
    </row>
    <row r="6346" spans="7:10" ht="35.450000000000003" hidden="1" customHeight="1">
      <c r="G6346" s="113"/>
      <c r="J6346" s="28">
        <f>IFERROR(VLOOKUP(TEXT(B6346,"0"),STOCK!A:H,7,0),1)</f>
        <v>1</v>
      </c>
    </row>
    <row r="6347" spans="7:10" ht="35.450000000000003" hidden="1" customHeight="1">
      <c r="G6347" s="113"/>
      <c r="J6347" s="28">
        <f>IFERROR(VLOOKUP(TEXT(B6347,"0"),STOCK!A:H,7,0),1)</f>
        <v>1</v>
      </c>
    </row>
    <row r="6348" spans="7:10" ht="35.450000000000003" hidden="1" customHeight="1">
      <c r="G6348" s="113"/>
      <c r="J6348" s="28">
        <f>IFERROR(VLOOKUP(TEXT(B6348,"0"),STOCK!A:H,7,0),1)</f>
        <v>1</v>
      </c>
    </row>
    <row r="6349" spans="7:10" ht="35.450000000000003" hidden="1" customHeight="1">
      <c r="G6349" s="113"/>
      <c r="J6349" s="28">
        <f>IFERROR(VLOOKUP(TEXT(B6349,"0"),STOCK!A:H,7,0),1)</f>
        <v>1</v>
      </c>
    </row>
    <row r="6350" spans="7:10" ht="35.450000000000003" hidden="1" customHeight="1">
      <c r="G6350" s="113"/>
      <c r="J6350" s="28">
        <f>IFERROR(VLOOKUP(TEXT(B6350,"0"),STOCK!A:H,7,0),1)</f>
        <v>1</v>
      </c>
    </row>
    <row r="6351" spans="7:10" ht="35.450000000000003" hidden="1" customHeight="1">
      <c r="G6351" s="113"/>
      <c r="J6351" s="28">
        <f>IFERROR(VLOOKUP(TEXT(B6351,"0"),STOCK!A:H,7,0),1)</f>
        <v>1</v>
      </c>
    </row>
    <row r="6352" spans="7:10" ht="35.450000000000003" hidden="1" customHeight="1">
      <c r="G6352" s="113"/>
      <c r="J6352" s="28">
        <f>IFERROR(VLOOKUP(TEXT(B6352,"0"),STOCK!A:H,7,0),1)</f>
        <v>1</v>
      </c>
    </row>
    <row r="6353" spans="7:10" ht="35.450000000000003" hidden="1" customHeight="1">
      <c r="G6353" s="113"/>
      <c r="J6353" s="28">
        <f>IFERROR(VLOOKUP(TEXT(B6353,"0"),STOCK!A:H,7,0),1)</f>
        <v>1</v>
      </c>
    </row>
    <row r="6354" spans="7:10" ht="35.450000000000003" hidden="1" customHeight="1">
      <c r="G6354" s="113"/>
      <c r="J6354" s="28">
        <f>IFERROR(VLOOKUP(TEXT(B6354,"0"),STOCK!A:H,7,0),1)</f>
        <v>1</v>
      </c>
    </row>
    <row r="6355" spans="7:10" ht="35.450000000000003" hidden="1" customHeight="1">
      <c r="G6355" s="113"/>
      <c r="J6355" s="28">
        <f>IFERROR(VLOOKUP(TEXT(B6355,"0"),STOCK!A:H,7,0),1)</f>
        <v>1</v>
      </c>
    </row>
    <row r="6356" spans="7:10" ht="35.450000000000003" hidden="1" customHeight="1">
      <c r="G6356" s="113"/>
      <c r="J6356" s="28">
        <f>IFERROR(VLOOKUP(TEXT(B6356,"0"),STOCK!A:H,7,0),1)</f>
        <v>1</v>
      </c>
    </row>
    <row r="6357" spans="7:10" ht="35.450000000000003" hidden="1" customHeight="1">
      <c r="G6357" s="113"/>
      <c r="J6357" s="28">
        <f>IFERROR(VLOOKUP(TEXT(B6357,"0"),STOCK!A:H,7,0),1)</f>
        <v>1</v>
      </c>
    </row>
    <row r="6358" spans="7:10" ht="35.450000000000003" hidden="1" customHeight="1">
      <c r="G6358" s="113"/>
      <c r="J6358" s="28">
        <f>IFERROR(VLOOKUP(TEXT(B6358,"0"),STOCK!A:H,7,0),1)</f>
        <v>1</v>
      </c>
    </row>
    <row r="6359" spans="7:10" ht="35.450000000000003" hidden="1" customHeight="1">
      <c r="G6359" s="113"/>
      <c r="J6359" s="28">
        <f>IFERROR(VLOOKUP(TEXT(B6359,"0"),STOCK!A:H,7,0),1)</f>
        <v>1</v>
      </c>
    </row>
    <row r="6360" spans="7:10" ht="35.450000000000003" hidden="1" customHeight="1">
      <c r="G6360" s="113"/>
      <c r="J6360" s="28">
        <f>IFERROR(VLOOKUP(TEXT(B6360,"0"),STOCK!A:H,7,0),1)</f>
        <v>1</v>
      </c>
    </row>
    <row r="6361" spans="7:10" ht="35.450000000000003" hidden="1" customHeight="1">
      <c r="G6361" s="113"/>
      <c r="J6361" s="28">
        <f>IFERROR(VLOOKUP(TEXT(B6361,"0"),STOCK!A:H,7,0),1)</f>
        <v>1</v>
      </c>
    </row>
    <row r="6362" spans="7:10" ht="35.450000000000003" hidden="1" customHeight="1">
      <c r="G6362" s="113"/>
      <c r="J6362" s="28">
        <f>IFERROR(VLOOKUP(TEXT(B6362,"0"),STOCK!A:H,7,0),1)</f>
        <v>1</v>
      </c>
    </row>
    <row r="6363" spans="7:10" ht="35.450000000000003" hidden="1" customHeight="1">
      <c r="G6363" s="113"/>
      <c r="J6363" s="28">
        <f>IFERROR(VLOOKUP(TEXT(B6363,"0"),STOCK!A:H,7,0),1)</f>
        <v>1</v>
      </c>
    </row>
    <row r="6364" spans="7:10" ht="35.450000000000003" hidden="1" customHeight="1">
      <c r="G6364" s="113"/>
      <c r="J6364" s="28">
        <f>IFERROR(VLOOKUP(TEXT(B6364,"0"),STOCK!A:H,7,0),1)</f>
        <v>1</v>
      </c>
    </row>
    <row r="6365" spans="7:10" ht="35.450000000000003" hidden="1" customHeight="1">
      <c r="G6365" s="113"/>
      <c r="J6365" s="28">
        <f>IFERROR(VLOOKUP(TEXT(B6365,"0"),STOCK!A:H,7,0),1)</f>
        <v>1</v>
      </c>
    </row>
    <row r="6366" spans="7:10" ht="35.450000000000003" hidden="1" customHeight="1">
      <c r="G6366" s="113"/>
      <c r="J6366" s="28">
        <f>IFERROR(VLOOKUP(TEXT(B6366,"0"),STOCK!A:H,7,0),1)</f>
        <v>1</v>
      </c>
    </row>
    <row r="6367" spans="7:10" ht="35.450000000000003" hidden="1" customHeight="1">
      <c r="G6367" s="113"/>
      <c r="J6367" s="28">
        <f>IFERROR(VLOOKUP(TEXT(B6367,"0"),STOCK!A:H,7,0),1)</f>
        <v>1</v>
      </c>
    </row>
    <row r="6368" spans="7:10" ht="35.450000000000003" hidden="1" customHeight="1">
      <c r="G6368" s="113"/>
      <c r="J6368" s="28">
        <f>IFERROR(VLOOKUP(TEXT(B6368,"0"),STOCK!A:H,7,0),1)</f>
        <v>1</v>
      </c>
    </row>
    <row r="6369" spans="7:10" ht="35.450000000000003" hidden="1" customHeight="1">
      <c r="G6369" s="113"/>
      <c r="J6369" s="28">
        <f>IFERROR(VLOOKUP(TEXT(B6369,"0"),STOCK!A:H,7,0),1)</f>
        <v>1</v>
      </c>
    </row>
    <row r="6370" spans="7:10" ht="35.450000000000003" hidden="1" customHeight="1">
      <c r="G6370" s="113"/>
      <c r="J6370" s="28">
        <f>IFERROR(VLOOKUP(TEXT(B6370,"0"),STOCK!A:H,7,0),1)</f>
        <v>1</v>
      </c>
    </row>
    <row r="6371" spans="7:10" ht="35.450000000000003" hidden="1" customHeight="1">
      <c r="G6371" s="113"/>
      <c r="J6371" s="28">
        <f>IFERROR(VLOOKUP(TEXT(B6371,"0"),STOCK!A:H,7,0),1)</f>
        <v>1</v>
      </c>
    </row>
    <row r="6372" spans="7:10" ht="35.450000000000003" hidden="1" customHeight="1">
      <c r="G6372" s="113"/>
      <c r="J6372" s="28">
        <f>IFERROR(VLOOKUP(TEXT(B6372,"0"),STOCK!A:H,7,0),1)</f>
        <v>1</v>
      </c>
    </row>
    <row r="6373" spans="7:10" ht="35.450000000000003" hidden="1" customHeight="1">
      <c r="G6373" s="113"/>
      <c r="J6373" s="28">
        <f>IFERROR(VLOOKUP(TEXT(B6373,"0"),STOCK!A:H,7,0),1)</f>
        <v>1</v>
      </c>
    </row>
    <row r="6374" spans="7:10" ht="35.450000000000003" hidden="1" customHeight="1">
      <c r="G6374" s="113"/>
      <c r="J6374" s="28">
        <f>IFERROR(VLOOKUP(TEXT(B6374,"0"),STOCK!A:H,7,0),1)</f>
        <v>1</v>
      </c>
    </row>
    <row r="6375" spans="7:10" ht="35.450000000000003" hidden="1" customHeight="1">
      <c r="G6375" s="113"/>
      <c r="J6375" s="28">
        <f>IFERROR(VLOOKUP(TEXT(B6375,"0"),STOCK!A:H,7,0),1)</f>
        <v>1</v>
      </c>
    </row>
    <row r="6376" spans="7:10" ht="35.450000000000003" hidden="1" customHeight="1">
      <c r="G6376" s="113"/>
      <c r="J6376" s="28">
        <f>IFERROR(VLOOKUP(TEXT(B6376,"0"),STOCK!A:H,7,0),1)</f>
        <v>1</v>
      </c>
    </row>
    <row r="6377" spans="7:10" ht="35.450000000000003" hidden="1" customHeight="1">
      <c r="G6377" s="113"/>
      <c r="J6377" s="28">
        <f>IFERROR(VLOOKUP(TEXT(B6377,"0"),STOCK!A:H,7,0),1)</f>
        <v>1</v>
      </c>
    </row>
    <row r="6378" spans="7:10" ht="35.450000000000003" hidden="1" customHeight="1">
      <c r="G6378" s="113"/>
      <c r="J6378" s="28">
        <f>IFERROR(VLOOKUP(TEXT(B6378,"0"),STOCK!A:H,7,0),1)</f>
        <v>1</v>
      </c>
    </row>
    <row r="6379" spans="7:10" ht="35.450000000000003" hidden="1" customHeight="1">
      <c r="G6379" s="113"/>
      <c r="J6379" s="28">
        <f>IFERROR(VLOOKUP(TEXT(B6379,"0"),STOCK!A:H,7,0),1)</f>
        <v>1</v>
      </c>
    </row>
    <row r="6380" spans="7:10" ht="35.450000000000003" hidden="1" customHeight="1">
      <c r="G6380" s="113"/>
      <c r="J6380" s="28">
        <f>IFERROR(VLOOKUP(TEXT(B6380,"0"),STOCK!A:H,7,0),1)</f>
        <v>1</v>
      </c>
    </row>
    <row r="6381" spans="7:10" ht="35.450000000000003" hidden="1" customHeight="1">
      <c r="G6381" s="113"/>
      <c r="J6381" s="28">
        <f>IFERROR(VLOOKUP(TEXT(B6381,"0"),STOCK!A:H,7,0),1)</f>
        <v>1</v>
      </c>
    </row>
    <row r="6382" spans="7:10" ht="35.450000000000003" hidden="1" customHeight="1">
      <c r="G6382" s="113"/>
      <c r="J6382" s="28">
        <f>IFERROR(VLOOKUP(TEXT(B6382,"0"),STOCK!A:H,7,0),1)</f>
        <v>1</v>
      </c>
    </row>
    <row r="6383" spans="7:10" ht="35.450000000000003" hidden="1" customHeight="1">
      <c r="G6383" s="113"/>
      <c r="J6383" s="28">
        <f>IFERROR(VLOOKUP(TEXT(B6383,"0"),STOCK!A:H,7,0),1)</f>
        <v>1</v>
      </c>
    </row>
    <row r="6384" spans="7:10" ht="35.450000000000003" hidden="1" customHeight="1">
      <c r="G6384" s="113"/>
      <c r="J6384" s="28">
        <f>IFERROR(VLOOKUP(TEXT(B6384,"0"),STOCK!A:H,7,0),1)</f>
        <v>1</v>
      </c>
    </row>
    <row r="6385" spans="7:10" ht="35.450000000000003" hidden="1" customHeight="1">
      <c r="G6385" s="113"/>
      <c r="J6385" s="28">
        <f>IFERROR(VLOOKUP(TEXT(B6385,"0"),STOCK!A:H,7,0),1)</f>
        <v>1</v>
      </c>
    </row>
    <row r="6386" spans="7:10" ht="35.450000000000003" hidden="1" customHeight="1">
      <c r="G6386" s="113"/>
      <c r="J6386" s="28">
        <f>IFERROR(VLOOKUP(TEXT(B6386,"0"),STOCK!A:H,7,0),1)</f>
        <v>1</v>
      </c>
    </row>
    <row r="6387" spans="7:10" ht="35.450000000000003" hidden="1" customHeight="1">
      <c r="G6387" s="113"/>
      <c r="J6387" s="28">
        <f>IFERROR(VLOOKUP(TEXT(B6387,"0"),STOCK!A:H,7,0),1)</f>
        <v>1</v>
      </c>
    </row>
    <row r="6388" spans="7:10" ht="35.450000000000003" hidden="1" customHeight="1">
      <c r="G6388" s="113"/>
      <c r="J6388" s="28">
        <f>IFERROR(VLOOKUP(TEXT(B6388,"0"),STOCK!A:H,7,0),1)</f>
        <v>1</v>
      </c>
    </row>
    <row r="6389" spans="7:10" ht="35.450000000000003" hidden="1" customHeight="1">
      <c r="G6389" s="113"/>
      <c r="J6389" s="28">
        <f>IFERROR(VLOOKUP(TEXT(B6389,"0"),STOCK!A:H,7,0),1)</f>
        <v>1</v>
      </c>
    </row>
    <row r="6390" spans="7:10" ht="35.450000000000003" hidden="1" customHeight="1">
      <c r="G6390" s="113"/>
      <c r="J6390" s="28">
        <f>IFERROR(VLOOKUP(TEXT(B6390,"0"),STOCK!A:H,7,0),1)</f>
        <v>1</v>
      </c>
    </row>
    <row r="6391" spans="7:10" ht="35.450000000000003" hidden="1" customHeight="1">
      <c r="G6391" s="113"/>
      <c r="J6391" s="28">
        <f>IFERROR(VLOOKUP(TEXT(B6391,"0"),STOCK!A:H,7,0),1)</f>
        <v>1</v>
      </c>
    </row>
    <row r="6392" spans="7:10" ht="35.450000000000003" hidden="1" customHeight="1">
      <c r="G6392" s="113"/>
      <c r="J6392" s="28">
        <f>IFERROR(VLOOKUP(TEXT(B6392,"0"),STOCK!A:H,7,0),1)</f>
        <v>1</v>
      </c>
    </row>
    <row r="6393" spans="7:10" ht="35.450000000000003" hidden="1" customHeight="1">
      <c r="G6393" s="113"/>
      <c r="J6393" s="28">
        <f>IFERROR(VLOOKUP(TEXT(B6393,"0"),STOCK!A:H,7,0),1)</f>
        <v>1</v>
      </c>
    </row>
    <row r="6394" spans="7:10" ht="35.450000000000003" hidden="1" customHeight="1">
      <c r="G6394" s="113"/>
      <c r="J6394" s="28">
        <f>IFERROR(VLOOKUP(TEXT(B6394,"0"),STOCK!A:H,7,0),1)</f>
        <v>1</v>
      </c>
    </row>
    <row r="6395" spans="7:10" ht="35.450000000000003" hidden="1" customHeight="1">
      <c r="G6395" s="113"/>
      <c r="J6395" s="28">
        <f>IFERROR(VLOOKUP(TEXT(B6395,"0"),STOCK!A:H,7,0),1)</f>
        <v>1</v>
      </c>
    </row>
    <row r="6396" spans="7:10" ht="35.450000000000003" hidden="1" customHeight="1">
      <c r="G6396" s="113"/>
      <c r="J6396" s="28">
        <f>IFERROR(VLOOKUP(TEXT(B6396,"0"),STOCK!A:H,7,0),1)</f>
        <v>1</v>
      </c>
    </row>
    <row r="6397" spans="7:10" ht="35.450000000000003" hidden="1" customHeight="1">
      <c r="G6397" s="113"/>
      <c r="J6397" s="28">
        <f>IFERROR(VLOOKUP(TEXT(B6397,"0"),STOCK!A:H,7,0),1)</f>
        <v>1</v>
      </c>
    </row>
    <row r="6398" spans="7:10" ht="35.450000000000003" hidden="1" customHeight="1">
      <c r="G6398" s="113"/>
      <c r="J6398" s="28">
        <f>IFERROR(VLOOKUP(TEXT(B6398,"0"),STOCK!A:H,7,0),1)</f>
        <v>1</v>
      </c>
    </row>
    <row r="6399" spans="7:10" ht="35.450000000000003" hidden="1" customHeight="1">
      <c r="G6399" s="113"/>
      <c r="J6399" s="28">
        <f>IFERROR(VLOOKUP(TEXT(B6399,"0"),STOCK!A:H,7,0),1)</f>
        <v>1</v>
      </c>
    </row>
    <row r="6400" spans="7:10" ht="35.450000000000003" hidden="1" customHeight="1">
      <c r="G6400" s="113"/>
      <c r="J6400" s="28">
        <f>IFERROR(VLOOKUP(TEXT(B6400,"0"),STOCK!A:H,7,0),1)</f>
        <v>1</v>
      </c>
    </row>
    <row r="6401" spans="7:10" ht="35.450000000000003" hidden="1" customHeight="1">
      <c r="G6401" s="113"/>
      <c r="J6401" s="28">
        <f>IFERROR(VLOOKUP(TEXT(B6401,"0"),STOCK!A:H,7,0),1)</f>
        <v>1</v>
      </c>
    </row>
    <row r="6402" spans="7:10" ht="35.450000000000003" hidden="1" customHeight="1">
      <c r="G6402" s="113"/>
      <c r="J6402" s="28">
        <f>IFERROR(VLOOKUP(TEXT(B6402,"0"),STOCK!A:H,7,0),1)</f>
        <v>1</v>
      </c>
    </row>
    <row r="6403" spans="7:10" ht="35.450000000000003" hidden="1" customHeight="1">
      <c r="G6403" s="113"/>
      <c r="J6403" s="28">
        <f>IFERROR(VLOOKUP(TEXT(B6403,"0"),STOCK!A:H,7,0),1)</f>
        <v>1</v>
      </c>
    </row>
    <row r="6404" spans="7:10" ht="35.450000000000003" hidden="1" customHeight="1">
      <c r="G6404" s="113"/>
      <c r="J6404" s="28">
        <f>IFERROR(VLOOKUP(TEXT(B6404,"0"),STOCK!A:H,7,0),1)</f>
        <v>1</v>
      </c>
    </row>
    <row r="6405" spans="7:10" ht="35.450000000000003" hidden="1" customHeight="1">
      <c r="G6405" s="113"/>
      <c r="J6405" s="28">
        <f>IFERROR(VLOOKUP(TEXT(B6405,"0"),STOCK!A:H,7,0),1)</f>
        <v>1</v>
      </c>
    </row>
    <row r="6406" spans="7:10" ht="35.450000000000003" hidden="1" customHeight="1">
      <c r="G6406" s="113"/>
      <c r="J6406" s="28">
        <f>IFERROR(VLOOKUP(TEXT(B6406,"0"),STOCK!A:H,7,0),1)</f>
        <v>1</v>
      </c>
    </row>
    <row r="6407" spans="7:10" ht="35.450000000000003" hidden="1" customHeight="1">
      <c r="G6407" s="113"/>
      <c r="J6407" s="28">
        <f>IFERROR(VLOOKUP(TEXT(B6407,"0"),STOCK!A:H,7,0),1)</f>
        <v>1</v>
      </c>
    </row>
    <row r="6408" spans="7:10" ht="35.450000000000003" hidden="1" customHeight="1">
      <c r="G6408" s="113"/>
      <c r="J6408" s="28">
        <f>IFERROR(VLOOKUP(TEXT(B6408,"0"),STOCK!A:H,7,0),1)</f>
        <v>1</v>
      </c>
    </row>
    <row r="6409" spans="7:10" ht="35.450000000000003" hidden="1" customHeight="1">
      <c r="G6409" s="113"/>
      <c r="J6409" s="28">
        <f>IFERROR(VLOOKUP(TEXT(B6409,"0"),STOCK!A:H,7,0),1)</f>
        <v>1</v>
      </c>
    </row>
    <row r="6410" spans="7:10" ht="35.450000000000003" hidden="1" customHeight="1">
      <c r="G6410" s="113"/>
      <c r="J6410" s="28">
        <f>IFERROR(VLOOKUP(TEXT(B6410,"0"),STOCK!A:H,7,0),1)</f>
        <v>1</v>
      </c>
    </row>
    <row r="6411" spans="7:10" ht="35.450000000000003" hidden="1" customHeight="1">
      <c r="G6411" s="113"/>
      <c r="J6411" s="28">
        <f>IFERROR(VLOOKUP(TEXT(B6411,"0"),STOCK!A:H,7,0),1)</f>
        <v>1</v>
      </c>
    </row>
    <row r="6412" spans="7:10" ht="35.450000000000003" hidden="1" customHeight="1">
      <c r="G6412" s="113"/>
      <c r="J6412" s="28">
        <f>IFERROR(VLOOKUP(TEXT(B6412,"0"),STOCK!A:H,7,0),1)</f>
        <v>1</v>
      </c>
    </row>
    <row r="6413" spans="7:10" ht="35.450000000000003" hidden="1" customHeight="1">
      <c r="G6413" s="113"/>
      <c r="J6413" s="28">
        <f>IFERROR(VLOOKUP(TEXT(B6413,"0"),STOCK!A:H,7,0),1)</f>
        <v>1</v>
      </c>
    </row>
    <row r="6414" spans="7:10" ht="35.450000000000003" hidden="1" customHeight="1">
      <c r="G6414" s="113"/>
      <c r="J6414" s="28">
        <f>IFERROR(VLOOKUP(TEXT(B6414,"0"),STOCK!A:H,7,0),1)</f>
        <v>1</v>
      </c>
    </row>
    <row r="6415" spans="7:10" ht="35.450000000000003" hidden="1" customHeight="1">
      <c r="G6415" s="113"/>
      <c r="J6415" s="28">
        <f>IFERROR(VLOOKUP(TEXT(B6415,"0"),STOCK!A:H,7,0),1)</f>
        <v>1</v>
      </c>
    </row>
    <row r="6416" spans="7:10" ht="35.450000000000003" hidden="1" customHeight="1">
      <c r="G6416" s="113"/>
      <c r="J6416" s="28">
        <f>IFERROR(VLOOKUP(TEXT(B6416,"0"),STOCK!A:H,7,0),1)</f>
        <v>1</v>
      </c>
    </row>
    <row r="6417" spans="7:10" ht="35.450000000000003" hidden="1" customHeight="1">
      <c r="G6417" s="113"/>
      <c r="J6417" s="28">
        <f>IFERROR(VLOOKUP(TEXT(B6417,"0"),STOCK!A:H,7,0),1)</f>
        <v>1</v>
      </c>
    </row>
    <row r="6418" spans="7:10" ht="35.450000000000003" hidden="1" customHeight="1">
      <c r="G6418" s="113"/>
      <c r="J6418" s="28">
        <f>IFERROR(VLOOKUP(TEXT(B6418,"0"),STOCK!A:H,7,0),1)</f>
        <v>1</v>
      </c>
    </row>
    <row r="6419" spans="7:10" ht="35.450000000000003" hidden="1" customHeight="1">
      <c r="G6419" s="113"/>
      <c r="J6419" s="28">
        <f>IFERROR(VLOOKUP(TEXT(B6419,"0"),STOCK!A:H,7,0),1)</f>
        <v>1</v>
      </c>
    </row>
    <row r="6420" spans="7:10" ht="35.450000000000003" hidden="1" customHeight="1">
      <c r="G6420" s="113"/>
      <c r="J6420" s="28">
        <f>IFERROR(VLOOKUP(TEXT(B6420,"0"),STOCK!A:H,7,0),1)</f>
        <v>1</v>
      </c>
    </row>
    <row r="6421" spans="7:10" ht="35.450000000000003" hidden="1" customHeight="1">
      <c r="G6421" s="113"/>
      <c r="J6421" s="28">
        <f>IFERROR(VLOOKUP(TEXT(B6421,"0"),STOCK!A:H,7,0),1)</f>
        <v>1</v>
      </c>
    </row>
    <row r="6422" spans="7:10" ht="35.450000000000003" hidden="1" customHeight="1">
      <c r="G6422" s="113"/>
      <c r="J6422" s="28">
        <f>IFERROR(VLOOKUP(TEXT(B6422,"0"),STOCK!A:H,7,0),1)</f>
        <v>1</v>
      </c>
    </row>
    <row r="6423" spans="7:10" ht="35.450000000000003" hidden="1" customHeight="1">
      <c r="G6423" s="113"/>
      <c r="J6423" s="28">
        <f>IFERROR(VLOOKUP(TEXT(B6423,"0"),STOCK!A:H,7,0),1)</f>
        <v>1</v>
      </c>
    </row>
    <row r="6424" spans="7:10" ht="35.450000000000003" hidden="1" customHeight="1">
      <c r="G6424" s="113"/>
      <c r="J6424" s="28">
        <f>IFERROR(VLOOKUP(TEXT(B6424,"0"),STOCK!A:H,7,0),1)</f>
        <v>1</v>
      </c>
    </row>
    <row r="6425" spans="7:10" ht="35.450000000000003" hidden="1" customHeight="1">
      <c r="G6425" s="113"/>
      <c r="J6425" s="28">
        <f>IFERROR(VLOOKUP(TEXT(B6425,"0"),STOCK!A:H,7,0),1)</f>
        <v>1</v>
      </c>
    </row>
    <row r="6426" spans="7:10" ht="35.450000000000003" hidden="1" customHeight="1">
      <c r="G6426" s="113"/>
      <c r="J6426" s="28">
        <f>IFERROR(VLOOKUP(TEXT(B6426,"0"),STOCK!A:H,7,0),1)</f>
        <v>1</v>
      </c>
    </row>
    <row r="6427" spans="7:10" ht="35.450000000000003" hidden="1" customHeight="1">
      <c r="G6427" s="113"/>
      <c r="J6427" s="28">
        <f>IFERROR(VLOOKUP(TEXT(B6427,"0"),STOCK!A:H,7,0),1)</f>
        <v>1</v>
      </c>
    </row>
    <row r="6428" spans="7:10" ht="35.450000000000003" hidden="1" customHeight="1">
      <c r="G6428" s="113"/>
      <c r="J6428" s="28">
        <f>IFERROR(VLOOKUP(TEXT(B6428,"0"),STOCK!A:H,7,0),1)</f>
        <v>1</v>
      </c>
    </row>
    <row r="6429" spans="7:10" ht="35.450000000000003" hidden="1" customHeight="1">
      <c r="G6429" s="113"/>
      <c r="J6429" s="28">
        <f>IFERROR(VLOOKUP(TEXT(B6429,"0"),STOCK!A:H,7,0),1)</f>
        <v>1</v>
      </c>
    </row>
    <row r="6430" spans="7:10" ht="35.450000000000003" hidden="1" customHeight="1">
      <c r="G6430" s="113"/>
      <c r="J6430" s="28">
        <f>IFERROR(VLOOKUP(TEXT(B6430,"0"),STOCK!A:H,7,0),1)</f>
        <v>1</v>
      </c>
    </row>
    <row r="6431" spans="7:10" ht="35.450000000000003" hidden="1" customHeight="1">
      <c r="G6431" s="113"/>
      <c r="J6431" s="28">
        <f>IFERROR(VLOOKUP(TEXT(B6431,"0"),STOCK!A:H,7,0),1)</f>
        <v>1</v>
      </c>
    </row>
    <row r="6432" spans="7:10" ht="35.450000000000003" hidden="1" customHeight="1">
      <c r="G6432" s="113"/>
      <c r="J6432" s="28">
        <f>IFERROR(VLOOKUP(TEXT(B6432,"0"),STOCK!A:H,7,0),1)</f>
        <v>1</v>
      </c>
    </row>
    <row r="6433" spans="7:10" ht="35.450000000000003" hidden="1" customHeight="1">
      <c r="G6433" s="113"/>
      <c r="J6433" s="28">
        <f>IFERROR(VLOOKUP(TEXT(B6433,"0"),STOCK!A:H,7,0),1)</f>
        <v>1</v>
      </c>
    </row>
    <row r="6434" spans="7:10" ht="35.450000000000003" hidden="1" customHeight="1">
      <c r="G6434" s="113"/>
      <c r="J6434" s="28">
        <f>IFERROR(VLOOKUP(TEXT(B6434,"0"),STOCK!A:H,7,0),1)</f>
        <v>1</v>
      </c>
    </row>
    <row r="6435" spans="7:10" ht="35.450000000000003" hidden="1" customHeight="1">
      <c r="G6435" s="113"/>
      <c r="J6435" s="28">
        <f>IFERROR(VLOOKUP(TEXT(B6435,"0"),STOCK!A:H,7,0),1)</f>
        <v>1</v>
      </c>
    </row>
    <row r="6436" spans="7:10" ht="35.450000000000003" hidden="1" customHeight="1">
      <c r="G6436" s="113"/>
      <c r="J6436" s="28">
        <f>IFERROR(VLOOKUP(TEXT(B6436,"0"),STOCK!A:H,7,0),1)</f>
        <v>1</v>
      </c>
    </row>
    <row r="6437" spans="7:10" ht="35.450000000000003" hidden="1" customHeight="1">
      <c r="G6437" s="113"/>
      <c r="J6437" s="28">
        <f>IFERROR(VLOOKUP(TEXT(B6437,"0"),STOCK!A:H,7,0),1)</f>
        <v>1</v>
      </c>
    </row>
    <row r="6438" spans="7:10" ht="35.450000000000003" hidden="1" customHeight="1">
      <c r="G6438" s="113"/>
      <c r="J6438" s="28">
        <f>IFERROR(VLOOKUP(TEXT(B6438,"0"),STOCK!A:H,7,0),1)</f>
        <v>1</v>
      </c>
    </row>
    <row r="6439" spans="7:10" ht="35.450000000000003" hidden="1" customHeight="1">
      <c r="G6439" s="113"/>
      <c r="J6439" s="28">
        <f>IFERROR(VLOOKUP(TEXT(B6439,"0"),STOCK!A:H,7,0),1)</f>
        <v>1</v>
      </c>
    </row>
    <row r="6440" spans="7:10" ht="35.450000000000003" hidden="1" customHeight="1">
      <c r="G6440" s="113"/>
      <c r="J6440" s="28">
        <f>IFERROR(VLOOKUP(TEXT(B6440,"0"),STOCK!A:H,7,0),1)</f>
        <v>1</v>
      </c>
    </row>
    <row r="6441" spans="7:10" ht="35.450000000000003" hidden="1" customHeight="1">
      <c r="G6441" s="113"/>
      <c r="J6441" s="28">
        <f>IFERROR(VLOOKUP(TEXT(B6441,"0"),STOCK!A:H,7,0),1)</f>
        <v>1</v>
      </c>
    </row>
    <row r="6442" spans="7:10" ht="35.450000000000003" hidden="1" customHeight="1">
      <c r="G6442" s="113"/>
      <c r="J6442" s="28">
        <f>IFERROR(VLOOKUP(TEXT(B6442,"0"),STOCK!A:H,7,0),1)</f>
        <v>1</v>
      </c>
    </row>
    <row r="6443" spans="7:10" ht="35.450000000000003" hidden="1" customHeight="1">
      <c r="G6443" s="113"/>
      <c r="J6443" s="28">
        <f>IFERROR(VLOOKUP(TEXT(B6443,"0"),STOCK!A:H,7,0),1)</f>
        <v>1</v>
      </c>
    </row>
    <row r="6444" spans="7:10" ht="35.450000000000003" hidden="1" customHeight="1">
      <c r="G6444" s="113"/>
      <c r="J6444" s="28">
        <f>IFERROR(VLOOKUP(TEXT(B6444,"0"),STOCK!A:H,7,0),1)</f>
        <v>1</v>
      </c>
    </row>
    <row r="6445" spans="7:10" ht="35.450000000000003" hidden="1" customHeight="1">
      <c r="G6445" s="113"/>
      <c r="J6445" s="28">
        <f>IFERROR(VLOOKUP(TEXT(B6445,"0"),STOCK!A:H,7,0),1)</f>
        <v>1</v>
      </c>
    </row>
    <row r="6446" spans="7:10" ht="35.450000000000003" hidden="1" customHeight="1">
      <c r="G6446" s="113"/>
      <c r="J6446" s="28">
        <f>IFERROR(VLOOKUP(TEXT(B6446,"0"),STOCK!A:H,7,0),1)</f>
        <v>1</v>
      </c>
    </row>
    <row r="6447" spans="7:10" ht="35.450000000000003" hidden="1" customHeight="1">
      <c r="G6447" s="113"/>
      <c r="J6447" s="28">
        <f>IFERROR(VLOOKUP(TEXT(B6447,"0"),STOCK!A:H,7,0),1)</f>
        <v>1</v>
      </c>
    </row>
    <row r="6448" spans="7:10" ht="35.450000000000003" hidden="1" customHeight="1">
      <c r="G6448" s="113"/>
      <c r="J6448" s="28">
        <f>IFERROR(VLOOKUP(TEXT(B6448,"0"),STOCK!A:H,7,0),1)</f>
        <v>1</v>
      </c>
    </row>
    <row r="6449" spans="7:10" ht="35.450000000000003" hidden="1" customHeight="1">
      <c r="G6449" s="113"/>
      <c r="J6449" s="28">
        <f>IFERROR(VLOOKUP(TEXT(B6449,"0"),STOCK!A:H,7,0),1)</f>
        <v>1</v>
      </c>
    </row>
    <row r="6450" spans="7:10" ht="35.450000000000003" hidden="1" customHeight="1">
      <c r="G6450" s="113"/>
      <c r="J6450" s="28">
        <f>IFERROR(VLOOKUP(TEXT(B6450,"0"),STOCK!A:H,7,0),1)</f>
        <v>1</v>
      </c>
    </row>
    <row r="6451" spans="7:10" ht="35.450000000000003" hidden="1" customHeight="1">
      <c r="G6451" s="113"/>
      <c r="J6451" s="28">
        <f>IFERROR(VLOOKUP(TEXT(B6451,"0"),STOCK!A:H,7,0),1)</f>
        <v>1</v>
      </c>
    </row>
    <row r="6452" spans="7:10" ht="35.450000000000003" hidden="1" customHeight="1">
      <c r="G6452" s="113"/>
      <c r="J6452" s="28">
        <f>IFERROR(VLOOKUP(TEXT(B6452,"0"),STOCK!A:H,7,0),1)</f>
        <v>1</v>
      </c>
    </row>
    <row r="6453" spans="7:10" ht="35.450000000000003" hidden="1" customHeight="1">
      <c r="G6453" s="113"/>
      <c r="J6453" s="28">
        <f>IFERROR(VLOOKUP(TEXT(B6453,"0"),STOCK!A:H,7,0),1)</f>
        <v>1</v>
      </c>
    </row>
    <row r="6454" spans="7:10" ht="35.450000000000003" hidden="1" customHeight="1">
      <c r="G6454" s="113"/>
      <c r="J6454" s="28">
        <f>IFERROR(VLOOKUP(TEXT(B6454,"0"),STOCK!A:H,7,0),1)</f>
        <v>1</v>
      </c>
    </row>
    <row r="6455" spans="7:10" ht="35.450000000000003" hidden="1" customHeight="1">
      <c r="G6455" s="113"/>
      <c r="J6455" s="28">
        <f>IFERROR(VLOOKUP(TEXT(B6455,"0"),STOCK!A:H,7,0),1)</f>
        <v>1</v>
      </c>
    </row>
    <row r="6456" spans="7:10" ht="35.450000000000003" hidden="1" customHeight="1">
      <c r="G6456" s="113"/>
      <c r="J6456" s="28">
        <f>IFERROR(VLOOKUP(TEXT(B6456,"0"),STOCK!A:H,7,0),1)</f>
        <v>1</v>
      </c>
    </row>
    <row r="6457" spans="7:10" ht="35.450000000000003" hidden="1" customHeight="1">
      <c r="G6457" s="113"/>
      <c r="J6457" s="28">
        <f>IFERROR(VLOOKUP(TEXT(B6457,"0"),STOCK!A:H,7,0),1)</f>
        <v>1</v>
      </c>
    </row>
    <row r="6458" spans="7:10" ht="35.450000000000003" hidden="1" customHeight="1">
      <c r="G6458" s="113"/>
      <c r="J6458" s="28">
        <f>IFERROR(VLOOKUP(TEXT(B6458,"0"),STOCK!A:H,7,0),1)</f>
        <v>1</v>
      </c>
    </row>
    <row r="6459" spans="7:10" ht="35.450000000000003" hidden="1" customHeight="1">
      <c r="G6459" s="113"/>
      <c r="J6459" s="28">
        <f>IFERROR(VLOOKUP(TEXT(B6459,"0"),STOCK!A:H,7,0),1)</f>
        <v>1</v>
      </c>
    </row>
    <row r="6460" spans="7:10" ht="35.450000000000003" hidden="1" customHeight="1">
      <c r="G6460" s="113"/>
      <c r="J6460" s="28">
        <f>IFERROR(VLOOKUP(TEXT(B6460,"0"),STOCK!A:H,7,0),1)</f>
        <v>1</v>
      </c>
    </row>
    <row r="6461" spans="7:10" ht="35.450000000000003" hidden="1" customHeight="1">
      <c r="G6461" s="113"/>
      <c r="J6461" s="28">
        <f>IFERROR(VLOOKUP(TEXT(B6461,"0"),STOCK!A:H,7,0),1)</f>
        <v>1</v>
      </c>
    </row>
    <row r="6462" spans="7:10" ht="35.450000000000003" hidden="1" customHeight="1">
      <c r="G6462" s="113"/>
      <c r="J6462" s="28">
        <f>IFERROR(VLOOKUP(TEXT(B6462,"0"),STOCK!A:H,7,0),1)</f>
        <v>1</v>
      </c>
    </row>
    <row r="6463" spans="7:10" ht="35.450000000000003" hidden="1" customHeight="1">
      <c r="G6463" s="113"/>
      <c r="J6463" s="28">
        <f>IFERROR(VLOOKUP(TEXT(B6463,"0"),STOCK!A:H,7,0),1)</f>
        <v>1</v>
      </c>
    </row>
    <row r="6464" spans="7:10" ht="35.450000000000003" hidden="1" customHeight="1">
      <c r="G6464" s="113"/>
      <c r="J6464" s="28">
        <f>IFERROR(VLOOKUP(TEXT(B6464,"0"),STOCK!A:H,7,0),1)</f>
        <v>1</v>
      </c>
    </row>
    <row r="6465" spans="7:10" ht="35.450000000000003" hidden="1" customHeight="1">
      <c r="G6465" s="113"/>
      <c r="J6465" s="28">
        <f>IFERROR(VLOOKUP(TEXT(B6465,"0"),STOCK!A:H,7,0),1)</f>
        <v>1</v>
      </c>
    </row>
    <row r="6466" spans="7:10" ht="35.450000000000003" hidden="1" customHeight="1">
      <c r="G6466" s="113"/>
      <c r="J6466" s="28">
        <f>IFERROR(VLOOKUP(TEXT(B6466,"0"),STOCK!A:H,7,0),1)</f>
        <v>1</v>
      </c>
    </row>
    <row r="6467" spans="7:10" ht="35.450000000000003" hidden="1" customHeight="1">
      <c r="G6467" s="113"/>
      <c r="J6467" s="28">
        <f>IFERROR(VLOOKUP(TEXT(B6467,"0"),STOCK!A:H,7,0),1)</f>
        <v>1</v>
      </c>
    </row>
    <row r="6468" spans="7:10" ht="35.450000000000003" hidden="1" customHeight="1">
      <c r="G6468" s="113"/>
      <c r="J6468" s="28">
        <f>IFERROR(VLOOKUP(TEXT(B6468,"0"),STOCK!A:H,7,0),1)</f>
        <v>1</v>
      </c>
    </row>
    <row r="6469" spans="7:10" ht="35.450000000000003" hidden="1" customHeight="1">
      <c r="G6469" s="113"/>
      <c r="J6469" s="28">
        <f>IFERROR(VLOOKUP(TEXT(B6469,"0"),STOCK!A:H,7,0),1)</f>
        <v>1</v>
      </c>
    </row>
    <row r="6470" spans="7:10" ht="35.450000000000003" hidden="1" customHeight="1">
      <c r="G6470" s="113"/>
      <c r="J6470" s="28">
        <f>IFERROR(VLOOKUP(TEXT(B6470,"0"),STOCK!A:H,7,0),1)</f>
        <v>1</v>
      </c>
    </row>
    <row r="6471" spans="7:10" ht="35.450000000000003" hidden="1" customHeight="1">
      <c r="G6471" s="113"/>
      <c r="J6471" s="28">
        <f>IFERROR(VLOOKUP(TEXT(B6471,"0"),STOCK!A:H,7,0),1)</f>
        <v>1</v>
      </c>
    </row>
    <row r="6472" spans="7:10" ht="35.450000000000003" hidden="1" customHeight="1">
      <c r="G6472" s="113"/>
      <c r="J6472" s="28">
        <f>IFERROR(VLOOKUP(TEXT(B6472,"0"),STOCK!A:H,7,0),1)</f>
        <v>1</v>
      </c>
    </row>
    <row r="6473" spans="7:10" ht="35.450000000000003" hidden="1" customHeight="1">
      <c r="G6473" s="113"/>
      <c r="J6473" s="28">
        <f>IFERROR(VLOOKUP(TEXT(B6473,"0"),STOCK!A:H,7,0),1)</f>
        <v>1</v>
      </c>
    </row>
    <row r="6474" spans="7:10" ht="35.450000000000003" hidden="1" customHeight="1">
      <c r="G6474" s="113"/>
      <c r="J6474" s="28">
        <f>IFERROR(VLOOKUP(TEXT(B6474,"0"),STOCK!A:H,7,0),1)</f>
        <v>1</v>
      </c>
    </row>
    <row r="6475" spans="7:10" ht="35.450000000000003" hidden="1" customHeight="1">
      <c r="G6475" s="113"/>
      <c r="J6475" s="28">
        <f>IFERROR(VLOOKUP(TEXT(B6475,"0"),STOCK!A:H,7,0),1)</f>
        <v>1</v>
      </c>
    </row>
    <row r="6476" spans="7:10" ht="35.450000000000003" hidden="1" customHeight="1">
      <c r="G6476" s="113"/>
      <c r="J6476" s="28">
        <f>IFERROR(VLOOKUP(TEXT(B6476,"0"),STOCK!A:H,7,0),1)</f>
        <v>1</v>
      </c>
    </row>
    <row r="6477" spans="7:10" ht="35.450000000000003" hidden="1" customHeight="1">
      <c r="G6477" s="113"/>
      <c r="J6477" s="28">
        <f>IFERROR(VLOOKUP(TEXT(B6477,"0"),STOCK!A:H,7,0),1)</f>
        <v>1</v>
      </c>
    </row>
    <row r="6478" spans="7:10" ht="35.450000000000003" hidden="1" customHeight="1">
      <c r="G6478" s="113"/>
      <c r="J6478" s="28">
        <f>IFERROR(VLOOKUP(TEXT(B6478,"0"),STOCK!A:H,7,0),1)</f>
        <v>1</v>
      </c>
    </row>
    <row r="6479" spans="7:10" ht="35.450000000000003" hidden="1" customHeight="1">
      <c r="G6479" s="113"/>
      <c r="J6479" s="28">
        <f>IFERROR(VLOOKUP(TEXT(B6479,"0"),STOCK!A:H,7,0),1)</f>
        <v>1</v>
      </c>
    </row>
    <row r="6480" spans="7:10" ht="35.450000000000003" hidden="1" customHeight="1">
      <c r="G6480" s="113"/>
      <c r="J6480" s="28">
        <f>IFERROR(VLOOKUP(TEXT(B6480,"0"),STOCK!A:H,7,0),1)</f>
        <v>1</v>
      </c>
    </row>
    <row r="6481" spans="7:10" ht="35.450000000000003" hidden="1" customHeight="1">
      <c r="G6481" s="113"/>
      <c r="J6481" s="28">
        <f>IFERROR(VLOOKUP(TEXT(B6481,"0"),STOCK!A:H,7,0),1)</f>
        <v>1</v>
      </c>
    </row>
    <row r="6482" spans="7:10" ht="35.450000000000003" hidden="1" customHeight="1">
      <c r="G6482" s="113"/>
      <c r="J6482" s="28">
        <f>IFERROR(VLOOKUP(TEXT(B6482,"0"),STOCK!A:H,7,0),1)</f>
        <v>1</v>
      </c>
    </row>
    <row r="6483" spans="7:10" ht="35.450000000000003" hidden="1" customHeight="1">
      <c r="G6483" s="113"/>
      <c r="J6483" s="28">
        <f>IFERROR(VLOOKUP(TEXT(B6483,"0"),STOCK!A:H,7,0),1)</f>
        <v>1</v>
      </c>
    </row>
    <row r="6484" spans="7:10" ht="35.450000000000003" hidden="1" customHeight="1">
      <c r="G6484" s="113"/>
      <c r="J6484" s="28">
        <f>IFERROR(VLOOKUP(TEXT(B6484,"0"),STOCK!A:H,7,0),1)</f>
        <v>1</v>
      </c>
    </row>
    <row r="6485" spans="7:10" ht="35.450000000000003" hidden="1" customHeight="1">
      <c r="G6485" s="113"/>
      <c r="J6485" s="28">
        <f>IFERROR(VLOOKUP(TEXT(B6485,"0"),STOCK!A:H,7,0),1)</f>
        <v>1</v>
      </c>
    </row>
    <row r="6486" spans="7:10" ht="35.450000000000003" hidden="1" customHeight="1">
      <c r="G6486" s="113"/>
      <c r="J6486" s="28">
        <f>IFERROR(VLOOKUP(TEXT(B6486,"0"),STOCK!A:H,7,0),1)</f>
        <v>1</v>
      </c>
    </row>
    <row r="6487" spans="7:10" ht="35.450000000000003" hidden="1" customHeight="1">
      <c r="G6487" s="113"/>
      <c r="J6487" s="28">
        <f>IFERROR(VLOOKUP(TEXT(B6487,"0"),STOCK!A:H,7,0),1)</f>
        <v>1</v>
      </c>
    </row>
    <row r="6488" spans="7:10" ht="35.450000000000003" hidden="1" customHeight="1">
      <c r="G6488" s="113"/>
      <c r="J6488" s="28">
        <f>IFERROR(VLOOKUP(TEXT(B6488,"0"),STOCK!A:H,7,0),1)</f>
        <v>1</v>
      </c>
    </row>
    <row r="6489" spans="7:10" ht="35.450000000000003" hidden="1" customHeight="1">
      <c r="G6489" s="113"/>
      <c r="J6489" s="28">
        <f>IFERROR(VLOOKUP(TEXT(B6489,"0"),STOCK!A:H,7,0),1)</f>
        <v>1</v>
      </c>
    </row>
    <row r="6490" spans="7:10" ht="35.450000000000003" hidden="1" customHeight="1">
      <c r="G6490" s="113"/>
      <c r="J6490" s="28">
        <f>IFERROR(VLOOKUP(TEXT(B6490,"0"),STOCK!A:H,7,0),1)</f>
        <v>1</v>
      </c>
    </row>
    <row r="6491" spans="7:10" ht="35.450000000000003" hidden="1" customHeight="1">
      <c r="G6491" s="113"/>
      <c r="J6491" s="28">
        <f>IFERROR(VLOOKUP(TEXT(B6491,"0"),STOCK!A:H,7,0),1)</f>
        <v>1</v>
      </c>
    </row>
    <row r="6492" spans="7:10" ht="35.450000000000003" hidden="1" customHeight="1">
      <c r="G6492" s="113"/>
      <c r="J6492" s="28">
        <f>IFERROR(VLOOKUP(TEXT(B6492,"0"),STOCK!A:H,7,0),1)</f>
        <v>1</v>
      </c>
    </row>
    <row r="6493" spans="7:10" ht="35.450000000000003" hidden="1" customHeight="1">
      <c r="G6493" s="113"/>
      <c r="J6493" s="28">
        <f>IFERROR(VLOOKUP(TEXT(B6493,"0"),STOCK!A:H,7,0),1)</f>
        <v>1</v>
      </c>
    </row>
    <row r="6494" spans="7:10" ht="35.450000000000003" hidden="1" customHeight="1">
      <c r="G6494" s="113"/>
      <c r="J6494" s="28">
        <f>IFERROR(VLOOKUP(TEXT(B6494,"0"),STOCK!A:H,7,0),1)</f>
        <v>1</v>
      </c>
    </row>
    <row r="6495" spans="7:10" ht="35.450000000000003" hidden="1" customHeight="1">
      <c r="G6495" s="113"/>
      <c r="J6495" s="28">
        <f>IFERROR(VLOOKUP(TEXT(B6495,"0"),STOCK!A:H,7,0),1)</f>
        <v>1</v>
      </c>
    </row>
    <row r="6496" spans="7:10" ht="35.450000000000003" hidden="1" customHeight="1">
      <c r="G6496" s="113"/>
      <c r="J6496" s="28">
        <f>IFERROR(VLOOKUP(TEXT(B6496,"0"),STOCK!A:H,7,0),1)</f>
        <v>1</v>
      </c>
    </row>
    <row r="6497" spans="7:10" ht="35.450000000000003" hidden="1" customHeight="1">
      <c r="G6497" s="113"/>
      <c r="J6497" s="28">
        <f>IFERROR(VLOOKUP(TEXT(B6497,"0"),STOCK!A:H,7,0),1)</f>
        <v>1</v>
      </c>
    </row>
    <row r="6498" spans="7:10" ht="35.450000000000003" hidden="1" customHeight="1">
      <c r="G6498" s="113"/>
      <c r="J6498" s="28">
        <f>IFERROR(VLOOKUP(TEXT(B6498,"0"),STOCK!A:H,7,0),1)</f>
        <v>1</v>
      </c>
    </row>
    <row r="6499" spans="7:10" ht="35.450000000000003" hidden="1" customHeight="1">
      <c r="G6499" s="113"/>
      <c r="J6499" s="28">
        <f>IFERROR(VLOOKUP(TEXT(B6499,"0"),STOCK!A:H,7,0),1)</f>
        <v>1</v>
      </c>
    </row>
    <row r="6500" spans="7:10" ht="35.450000000000003" hidden="1" customHeight="1">
      <c r="G6500" s="113"/>
      <c r="J6500" s="28">
        <f>IFERROR(VLOOKUP(TEXT(B6500,"0"),STOCK!A:H,7,0),1)</f>
        <v>1</v>
      </c>
    </row>
    <row r="6501" spans="7:10" ht="35.450000000000003" hidden="1" customHeight="1">
      <c r="G6501" s="113"/>
      <c r="J6501" s="28">
        <f>IFERROR(VLOOKUP(TEXT(B6501,"0"),STOCK!A:H,7,0),1)</f>
        <v>1</v>
      </c>
    </row>
    <row r="6502" spans="7:10" ht="35.450000000000003" hidden="1" customHeight="1">
      <c r="G6502" s="113"/>
      <c r="J6502" s="28">
        <f>IFERROR(VLOOKUP(TEXT(B6502,"0"),STOCK!A:H,7,0),1)</f>
        <v>1</v>
      </c>
    </row>
    <row r="6503" spans="7:10" ht="35.450000000000003" hidden="1" customHeight="1">
      <c r="G6503" s="113"/>
      <c r="J6503" s="28">
        <f>IFERROR(VLOOKUP(TEXT(B6503,"0"),STOCK!A:H,7,0),1)</f>
        <v>1</v>
      </c>
    </row>
    <row r="6504" spans="7:10" ht="35.450000000000003" hidden="1" customHeight="1">
      <c r="G6504" s="113"/>
      <c r="J6504" s="28">
        <f>IFERROR(VLOOKUP(TEXT(B6504,"0"),STOCK!A:H,7,0),1)</f>
        <v>1</v>
      </c>
    </row>
    <row r="6505" spans="7:10" ht="35.450000000000003" hidden="1" customHeight="1">
      <c r="G6505" s="113"/>
      <c r="J6505" s="28">
        <f>IFERROR(VLOOKUP(TEXT(B6505,"0"),STOCK!A:H,7,0),1)</f>
        <v>1</v>
      </c>
    </row>
    <row r="6506" spans="7:10" ht="35.450000000000003" hidden="1" customHeight="1">
      <c r="G6506" s="113"/>
      <c r="J6506" s="28">
        <f>IFERROR(VLOOKUP(TEXT(B6506,"0"),STOCK!A:H,7,0),1)</f>
        <v>1</v>
      </c>
    </row>
    <row r="6507" spans="7:10" ht="35.450000000000003" hidden="1" customHeight="1">
      <c r="G6507" s="113"/>
      <c r="J6507" s="28">
        <f>IFERROR(VLOOKUP(TEXT(B6507,"0"),STOCK!A:H,7,0),1)</f>
        <v>1</v>
      </c>
    </row>
    <row r="6508" spans="7:10" ht="35.450000000000003" hidden="1" customHeight="1">
      <c r="G6508" s="113"/>
      <c r="J6508" s="28">
        <f>IFERROR(VLOOKUP(TEXT(B6508,"0"),STOCK!A:H,7,0),1)</f>
        <v>1</v>
      </c>
    </row>
    <row r="6509" spans="7:10" ht="35.450000000000003" hidden="1" customHeight="1">
      <c r="G6509" s="113"/>
      <c r="J6509" s="28">
        <f>IFERROR(VLOOKUP(TEXT(B6509,"0"),STOCK!A:H,7,0),1)</f>
        <v>1</v>
      </c>
    </row>
    <row r="6510" spans="7:10" ht="35.450000000000003" hidden="1" customHeight="1">
      <c r="G6510" s="113"/>
      <c r="J6510" s="28">
        <f>IFERROR(VLOOKUP(TEXT(B6510,"0"),STOCK!A:H,7,0),1)</f>
        <v>1</v>
      </c>
    </row>
    <row r="6511" spans="7:10" ht="35.450000000000003" hidden="1" customHeight="1">
      <c r="G6511" s="113"/>
      <c r="J6511" s="28">
        <f>IFERROR(VLOOKUP(TEXT(B6511,"0"),STOCK!A:H,7,0),1)</f>
        <v>1</v>
      </c>
    </row>
    <row r="6512" spans="7:10" ht="35.450000000000003" hidden="1" customHeight="1">
      <c r="G6512" s="113"/>
      <c r="J6512" s="28">
        <f>IFERROR(VLOOKUP(TEXT(B6512,"0"),STOCK!A:H,7,0),1)</f>
        <v>1</v>
      </c>
    </row>
    <row r="6513" spans="7:10" ht="35.450000000000003" hidden="1" customHeight="1">
      <c r="G6513" s="113"/>
      <c r="J6513" s="28">
        <f>IFERROR(VLOOKUP(TEXT(B6513,"0"),STOCK!A:H,7,0),1)</f>
        <v>1</v>
      </c>
    </row>
    <row r="6514" spans="7:10" ht="35.450000000000003" hidden="1" customHeight="1">
      <c r="G6514" s="113"/>
      <c r="J6514" s="28">
        <f>IFERROR(VLOOKUP(TEXT(B6514,"0"),STOCK!A:H,7,0),1)</f>
        <v>1</v>
      </c>
    </row>
    <row r="6515" spans="7:10" ht="35.450000000000003" hidden="1" customHeight="1">
      <c r="G6515" s="113"/>
      <c r="J6515" s="28">
        <f>IFERROR(VLOOKUP(TEXT(B6515,"0"),STOCK!A:H,7,0),1)</f>
        <v>1</v>
      </c>
    </row>
    <row r="6516" spans="7:10" ht="35.450000000000003" hidden="1" customHeight="1">
      <c r="G6516" s="113"/>
      <c r="J6516" s="28">
        <f>IFERROR(VLOOKUP(TEXT(B6516,"0"),STOCK!A:H,7,0),1)</f>
        <v>1</v>
      </c>
    </row>
    <row r="6517" spans="7:10" ht="35.450000000000003" hidden="1" customHeight="1">
      <c r="G6517" s="113"/>
      <c r="J6517" s="28">
        <f>IFERROR(VLOOKUP(TEXT(B6517,"0"),STOCK!A:H,7,0),1)</f>
        <v>1</v>
      </c>
    </row>
    <row r="6518" spans="7:10" ht="35.450000000000003" hidden="1" customHeight="1">
      <c r="G6518" s="113"/>
      <c r="J6518" s="28">
        <f>IFERROR(VLOOKUP(TEXT(B6518,"0"),STOCK!A:H,7,0),1)</f>
        <v>1</v>
      </c>
    </row>
    <row r="6519" spans="7:10" ht="35.450000000000003" hidden="1" customHeight="1">
      <c r="G6519" s="113"/>
      <c r="J6519" s="28">
        <f>IFERROR(VLOOKUP(TEXT(B6519,"0"),STOCK!A:H,7,0),1)</f>
        <v>1</v>
      </c>
    </row>
    <row r="6520" spans="7:10" ht="35.450000000000003" hidden="1" customHeight="1">
      <c r="G6520" s="113"/>
      <c r="J6520" s="28">
        <f>IFERROR(VLOOKUP(TEXT(B6520,"0"),STOCK!A:H,7,0),1)</f>
        <v>1</v>
      </c>
    </row>
    <row r="6521" spans="7:10" ht="35.450000000000003" hidden="1" customHeight="1">
      <c r="G6521" s="113"/>
      <c r="J6521" s="28">
        <f>IFERROR(VLOOKUP(TEXT(B6521,"0"),STOCK!A:H,7,0),1)</f>
        <v>1</v>
      </c>
    </row>
    <row r="6522" spans="7:10" ht="35.450000000000003" hidden="1" customHeight="1">
      <c r="G6522" s="113"/>
      <c r="J6522" s="28">
        <f>IFERROR(VLOOKUP(TEXT(B6522,"0"),STOCK!A:H,7,0),1)</f>
        <v>1</v>
      </c>
    </row>
    <row r="6523" spans="7:10" ht="35.450000000000003" hidden="1" customHeight="1">
      <c r="G6523" s="113"/>
      <c r="J6523" s="28">
        <f>IFERROR(VLOOKUP(TEXT(B6523,"0"),STOCK!A:H,7,0),1)</f>
        <v>1</v>
      </c>
    </row>
    <row r="6524" spans="7:10" ht="35.450000000000003" hidden="1" customHeight="1">
      <c r="G6524" s="113"/>
      <c r="J6524" s="28">
        <f>IFERROR(VLOOKUP(TEXT(B6524,"0"),STOCK!A:H,7,0),1)</f>
        <v>1</v>
      </c>
    </row>
    <row r="6525" spans="7:10" ht="35.450000000000003" hidden="1" customHeight="1">
      <c r="G6525" s="113"/>
      <c r="J6525" s="28">
        <f>IFERROR(VLOOKUP(TEXT(B6525,"0"),STOCK!A:H,7,0),1)</f>
        <v>1</v>
      </c>
    </row>
    <row r="6526" spans="7:10" ht="35.450000000000003" hidden="1" customHeight="1">
      <c r="G6526" s="113"/>
      <c r="J6526" s="28">
        <f>IFERROR(VLOOKUP(TEXT(B6526,"0"),STOCK!A:H,7,0),1)</f>
        <v>1</v>
      </c>
    </row>
    <row r="6527" spans="7:10" ht="35.450000000000003" hidden="1" customHeight="1">
      <c r="G6527" s="113"/>
      <c r="J6527" s="28">
        <f>IFERROR(VLOOKUP(TEXT(B6527,"0"),STOCK!A:H,7,0),1)</f>
        <v>1</v>
      </c>
    </row>
    <row r="6528" spans="7:10" ht="35.450000000000003" hidden="1" customHeight="1">
      <c r="G6528" s="113"/>
      <c r="J6528" s="28">
        <f>IFERROR(VLOOKUP(TEXT(B6528,"0"),STOCK!A:H,7,0),1)</f>
        <v>1</v>
      </c>
    </row>
    <row r="6529" spans="7:10" ht="35.450000000000003" hidden="1" customHeight="1">
      <c r="G6529" s="113"/>
      <c r="J6529" s="28">
        <f>IFERROR(VLOOKUP(TEXT(B6529,"0"),STOCK!A:H,7,0),1)</f>
        <v>1</v>
      </c>
    </row>
    <row r="6530" spans="7:10" ht="35.450000000000003" hidden="1" customHeight="1">
      <c r="G6530" s="113"/>
      <c r="J6530" s="28">
        <f>IFERROR(VLOOKUP(TEXT(B6530,"0"),STOCK!A:H,7,0),1)</f>
        <v>1</v>
      </c>
    </row>
    <row r="6531" spans="7:10" ht="35.450000000000003" hidden="1" customHeight="1">
      <c r="G6531" s="113"/>
      <c r="J6531" s="28">
        <f>IFERROR(VLOOKUP(TEXT(B6531,"0"),STOCK!A:H,7,0),1)</f>
        <v>1</v>
      </c>
    </row>
    <row r="6532" spans="7:10" ht="35.450000000000003" hidden="1" customHeight="1">
      <c r="G6532" s="113"/>
      <c r="J6532" s="28">
        <f>IFERROR(VLOOKUP(TEXT(B6532,"0"),STOCK!A:H,7,0),1)</f>
        <v>1</v>
      </c>
    </row>
    <row r="6533" spans="7:10" ht="35.450000000000003" hidden="1" customHeight="1">
      <c r="G6533" s="113"/>
      <c r="J6533" s="28">
        <f>IFERROR(VLOOKUP(TEXT(B6533,"0"),STOCK!A:H,7,0),1)</f>
        <v>1</v>
      </c>
    </row>
    <row r="6534" spans="7:10" ht="35.450000000000003" hidden="1" customHeight="1">
      <c r="G6534" s="113"/>
      <c r="J6534" s="28">
        <f>IFERROR(VLOOKUP(TEXT(B6534,"0"),STOCK!A:H,7,0),1)</f>
        <v>1</v>
      </c>
    </row>
    <row r="6535" spans="7:10" ht="35.450000000000003" hidden="1" customHeight="1">
      <c r="G6535" s="113"/>
      <c r="J6535" s="28">
        <f>IFERROR(VLOOKUP(TEXT(B6535,"0"),STOCK!A:H,7,0),1)</f>
        <v>1</v>
      </c>
    </row>
    <row r="6536" spans="7:10" ht="35.450000000000003" hidden="1" customHeight="1">
      <c r="G6536" s="113"/>
      <c r="J6536" s="28">
        <f>IFERROR(VLOOKUP(TEXT(B6536,"0"),STOCK!A:H,7,0),1)</f>
        <v>1</v>
      </c>
    </row>
    <row r="6537" spans="7:10" ht="35.450000000000003" hidden="1" customHeight="1">
      <c r="G6537" s="113"/>
      <c r="J6537" s="28">
        <f>IFERROR(VLOOKUP(TEXT(B6537,"0"),STOCK!A:H,7,0),1)</f>
        <v>1</v>
      </c>
    </row>
    <row r="6538" spans="7:10" ht="35.450000000000003" hidden="1" customHeight="1">
      <c r="G6538" s="113"/>
      <c r="J6538" s="28">
        <f>IFERROR(VLOOKUP(TEXT(B6538,"0"),STOCK!A:H,7,0),1)</f>
        <v>1</v>
      </c>
    </row>
    <row r="6539" spans="7:10" ht="35.450000000000003" hidden="1" customHeight="1">
      <c r="G6539" s="113"/>
      <c r="J6539" s="28">
        <f>IFERROR(VLOOKUP(TEXT(B6539,"0"),STOCK!A:H,7,0),1)</f>
        <v>1</v>
      </c>
    </row>
    <row r="6540" spans="7:10" ht="35.450000000000003" hidden="1" customHeight="1">
      <c r="G6540" s="113"/>
      <c r="J6540" s="28">
        <f>IFERROR(VLOOKUP(TEXT(B6540,"0"),STOCK!A:H,7,0),1)</f>
        <v>1</v>
      </c>
    </row>
    <row r="6541" spans="7:10" ht="35.450000000000003" hidden="1" customHeight="1">
      <c r="G6541" s="113"/>
      <c r="J6541" s="28">
        <f>IFERROR(VLOOKUP(TEXT(B6541,"0"),STOCK!A:H,7,0),1)</f>
        <v>1</v>
      </c>
    </row>
    <row r="6542" spans="7:10" ht="35.450000000000003" hidden="1" customHeight="1">
      <c r="G6542" s="113"/>
      <c r="J6542" s="28">
        <f>IFERROR(VLOOKUP(TEXT(B6542,"0"),STOCK!A:H,7,0),1)</f>
        <v>1</v>
      </c>
    </row>
    <row r="6543" spans="7:10" ht="35.450000000000003" hidden="1" customHeight="1">
      <c r="G6543" s="113"/>
      <c r="J6543" s="28">
        <f>IFERROR(VLOOKUP(TEXT(B6543,"0"),STOCK!A:H,7,0),1)</f>
        <v>1</v>
      </c>
    </row>
    <row r="6544" spans="7:10" ht="35.450000000000003" hidden="1" customHeight="1">
      <c r="G6544" s="113"/>
      <c r="J6544" s="28">
        <f>IFERROR(VLOOKUP(TEXT(B6544,"0"),STOCK!A:H,7,0),1)</f>
        <v>1</v>
      </c>
    </row>
    <row r="6545" spans="7:10" ht="35.450000000000003" hidden="1" customHeight="1">
      <c r="G6545" s="113"/>
      <c r="J6545" s="28">
        <f>IFERROR(VLOOKUP(TEXT(B6545,"0"),STOCK!A:H,7,0),1)</f>
        <v>1</v>
      </c>
    </row>
    <row r="6546" spans="7:10" ht="35.450000000000003" hidden="1" customHeight="1">
      <c r="G6546" s="113"/>
      <c r="J6546" s="28">
        <f>IFERROR(VLOOKUP(TEXT(B6546,"0"),STOCK!A:H,7,0),1)</f>
        <v>1</v>
      </c>
    </row>
    <row r="6547" spans="7:10" ht="35.450000000000003" hidden="1" customHeight="1">
      <c r="G6547" s="113"/>
      <c r="J6547" s="28">
        <f>IFERROR(VLOOKUP(TEXT(B6547,"0"),STOCK!A:H,7,0),1)</f>
        <v>1</v>
      </c>
    </row>
    <row r="6548" spans="7:10" ht="35.450000000000003" hidden="1" customHeight="1">
      <c r="G6548" s="113"/>
      <c r="J6548" s="28">
        <f>IFERROR(VLOOKUP(TEXT(B6548,"0"),STOCK!A:H,7,0),1)</f>
        <v>1</v>
      </c>
    </row>
    <row r="6549" spans="7:10" ht="35.450000000000003" hidden="1" customHeight="1">
      <c r="G6549" s="113"/>
      <c r="J6549" s="28">
        <f>IFERROR(VLOOKUP(TEXT(B6549,"0"),STOCK!A:H,7,0),1)</f>
        <v>1</v>
      </c>
    </row>
    <row r="6550" spans="7:10" ht="35.450000000000003" hidden="1" customHeight="1">
      <c r="G6550" s="113"/>
      <c r="J6550" s="28">
        <f>IFERROR(VLOOKUP(TEXT(B6550,"0"),STOCK!A:H,7,0),1)</f>
        <v>1</v>
      </c>
    </row>
    <row r="6551" spans="7:10" ht="35.450000000000003" hidden="1" customHeight="1">
      <c r="G6551" s="113"/>
      <c r="J6551" s="28">
        <f>IFERROR(VLOOKUP(TEXT(B6551,"0"),STOCK!A:H,7,0),1)</f>
        <v>1</v>
      </c>
    </row>
    <row r="6552" spans="7:10" ht="35.450000000000003" hidden="1" customHeight="1">
      <c r="G6552" s="113"/>
      <c r="J6552" s="28">
        <f>IFERROR(VLOOKUP(TEXT(B6552,"0"),STOCK!A:H,7,0),1)</f>
        <v>1</v>
      </c>
    </row>
    <row r="6553" spans="7:10" ht="35.450000000000003" hidden="1" customHeight="1">
      <c r="G6553" s="113"/>
      <c r="J6553" s="28">
        <f>IFERROR(VLOOKUP(TEXT(B6553,"0"),STOCK!A:H,7,0),1)</f>
        <v>1</v>
      </c>
    </row>
    <row r="6554" spans="7:10" ht="35.450000000000003" hidden="1" customHeight="1">
      <c r="G6554" s="113"/>
      <c r="J6554" s="28">
        <f>IFERROR(VLOOKUP(TEXT(B6554,"0"),STOCK!A:H,7,0),1)</f>
        <v>1</v>
      </c>
    </row>
    <row r="6555" spans="7:10" ht="35.450000000000003" hidden="1" customHeight="1">
      <c r="G6555" s="113"/>
      <c r="J6555" s="28">
        <f>IFERROR(VLOOKUP(TEXT(B6555,"0"),STOCK!A:H,7,0),1)</f>
        <v>1</v>
      </c>
    </row>
    <row r="6556" spans="7:10" ht="35.450000000000003" hidden="1" customHeight="1">
      <c r="G6556" s="113"/>
      <c r="J6556" s="28">
        <f>IFERROR(VLOOKUP(TEXT(B6556,"0"),STOCK!A:H,7,0),1)</f>
        <v>1</v>
      </c>
    </row>
    <row r="6557" spans="7:10" ht="35.450000000000003" hidden="1" customHeight="1">
      <c r="G6557" s="113"/>
      <c r="J6557" s="28">
        <f>IFERROR(VLOOKUP(TEXT(B6557,"0"),STOCK!A:H,7,0),1)</f>
        <v>1</v>
      </c>
    </row>
    <row r="6558" spans="7:10" ht="35.450000000000003" hidden="1" customHeight="1">
      <c r="G6558" s="113"/>
      <c r="J6558" s="28">
        <f>IFERROR(VLOOKUP(TEXT(B6558,"0"),STOCK!A:H,7,0),1)</f>
        <v>1</v>
      </c>
    </row>
    <row r="6559" spans="7:10" ht="35.450000000000003" hidden="1" customHeight="1">
      <c r="G6559" s="113"/>
      <c r="J6559" s="28">
        <f>IFERROR(VLOOKUP(TEXT(B6559,"0"),STOCK!A:H,7,0),1)</f>
        <v>1</v>
      </c>
    </row>
    <row r="6560" spans="7:10" ht="35.450000000000003" hidden="1" customHeight="1">
      <c r="G6560" s="113"/>
      <c r="J6560" s="28">
        <f>IFERROR(VLOOKUP(TEXT(B6560,"0"),STOCK!A:H,7,0),1)</f>
        <v>1</v>
      </c>
    </row>
    <row r="6561" spans="7:10" ht="35.450000000000003" hidden="1" customHeight="1">
      <c r="G6561" s="113"/>
      <c r="J6561" s="28">
        <f>IFERROR(VLOOKUP(TEXT(B6561,"0"),STOCK!A:H,7,0),1)</f>
        <v>1</v>
      </c>
    </row>
    <row r="6562" spans="7:10" ht="35.450000000000003" hidden="1" customHeight="1">
      <c r="G6562" s="113"/>
      <c r="J6562" s="28">
        <f>IFERROR(VLOOKUP(TEXT(B6562,"0"),STOCK!A:H,7,0),1)</f>
        <v>1</v>
      </c>
    </row>
    <row r="6563" spans="7:10" ht="35.450000000000003" hidden="1" customHeight="1">
      <c r="G6563" s="113"/>
      <c r="J6563" s="28">
        <f>IFERROR(VLOOKUP(TEXT(B6563,"0"),STOCK!A:H,7,0),1)</f>
        <v>1</v>
      </c>
    </row>
    <row r="6564" spans="7:10" ht="35.450000000000003" hidden="1" customHeight="1">
      <c r="G6564" s="113"/>
      <c r="J6564" s="28">
        <f>IFERROR(VLOOKUP(TEXT(B6564,"0"),STOCK!A:H,7,0),1)</f>
        <v>1</v>
      </c>
    </row>
    <row r="6565" spans="7:10" ht="35.450000000000003" hidden="1" customHeight="1">
      <c r="G6565" s="113"/>
      <c r="J6565" s="28">
        <f>IFERROR(VLOOKUP(TEXT(B6565,"0"),STOCK!A:H,7,0),1)</f>
        <v>1</v>
      </c>
    </row>
    <row r="6566" spans="7:10" ht="35.450000000000003" hidden="1" customHeight="1">
      <c r="G6566" s="113"/>
      <c r="J6566" s="28">
        <f>IFERROR(VLOOKUP(TEXT(B6566,"0"),STOCK!A:H,7,0),1)</f>
        <v>1</v>
      </c>
    </row>
    <row r="6567" spans="7:10" ht="35.450000000000003" hidden="1" customHeight="1">
      <c r="G6567" s="113"/>
      <c r="J6567" s="28">
        <f>IFERROR(VLOOKUP(TEXT(B6567,"0"),STOCK!A:H,7,0),1)</f>
        <v>1</v>
      </c>
    </row>
    <row r="6568" spans="7:10" ht="35.450000000000003" hidden="1" customHeight="1">
      <c r="G6568" s="113"/>
      <c r="J6568" s="28">
        <f>IFERROR(VLOOKUP(TEXT(B6568,"0"),STOCK!A:H,7,0),1)</f>
        <v>1</v>
      </c>
    </row>
    <row r="6569" spans="7:10" ht="35.450000000000003" hidden="1" customHeight="1">
      <c r="G6569" s="113"/>
      <c r="J6569" s="28">
        <f>IFERROR(VLOOKUP(TEXT(B6569,"0"),STOCK!A:H,7,0),1)</f>
        <v>1</v>
      </c>
    </row>
    <row r="6570" spans="7:10" ht="35.450000000000003" hidden="1" customHeight="1">
      <c r="G6570" s="113"/>
      <c r="J6570" s="28">
        <f>IFERROR(VLOOKUP(TEXT(B6570,"0"),STOCK!A:H,7,0),1)</f>
        <v>1</v>
      </c>
    </row>
    <row r="6571" spans="7:10" ht="35.450000000000003" hidden="1" customHeight="1">
      <c r="G6571" s="113"/>
      <c r="J6571" s="28">
        <f>IFERROR(VLOOKUP(TEXT(B6571,"0"),STOCK!A:H,7,0),1)</f>
        <v>1</v>
      </c>
    </row>
    <row r="6572" spans="7:10" ht="35.450000000000003" hidden="1" customHeight="1">
      <c r="G6572" s="113"/>
      <c r="J6572" s="28">
        <f>IFERROR(VLOOKUP(TEXT(B6572,"0"),STOCK!A:H,7,0),1)</f>
        <v>1</v>
      </c>
    </row>
    <row r="6573" spans="7:10" ht="35.450000000000003" hidden="1" customHeight="1">
      <c r="G6573" s="113"/>
      <c r="J6573" s="28">
        <f>IFERROR(VLOOKUP(TEXT(B6573,"0"),STOCK!A:H,7,0),1)</f>
        <v>1</v>
      </c>
    </row>
    <row r="6574" spans="7:10" ht="35.450000000000003" hidden="1" customHeight="1">
      <c r="G6574" s="113"/>
      <c r="J6574" s="28">
        <f>IFERROR(VLOOKUP(TEXT(B6574,"0"),STOCK!A:H,7,0),1)</f>
        <v>1</v>
      </c>
    </row>
    <row r="6575" spans="7:10" ht="35.450000000000003" hidden="1" customHeight="1">
      <c r="G6575" s="113"/>
      <c r="J6575" s="28">
        <f>IFERROR(VLOOKUP(TEXT(B6575,"0"),STOCK!A:H,7,0),1)</f>
        <v>1</v>
      </c>
    </row>
    <row r="6576" spans="7:10" ht="35.450000000000003" hidden="1" customHeight="1">
      <c r="G6576" s="113"/>
      <c r="J6576" s="28">
        <f>IFERROR(VLOOKUP(TEXT(B6576,"0"),STOCK!A:H,7,0),1)</f>
        <v>1</v>
      </c>
    </row>
    <row r="6577" spans="7:10" ht="35.450000000000003" hidden="1" customHeight="1">
      <c r="G6577" s="113"/>
      <c r="J6577" s="28">
        <f>IFERROR(VLOOKUP(TEXT(B6577,"0"),STOCK!A:H,7,0),1)</f>
        <v>1</v>
      </c>
    </row>
    <row r="6578" spans="7:10" ht="35.450000000000003" hidden="1" customHeight="1">
      <c r="G6578" s="113"/>
      <c r="J6578" s="28">
        <f>IFERROR(VLOOKUP(TEXT(B6578,"0"),STOCK!A:H,7,0),1)</f>
        <v>1</v>
      </c>
    </row>
    <row r="6579" spans="7:10" ht="35.450000000000003" hidden="1" customHeight="1">
      <c r="G6579" s="113"/>
      <c r="J6579" s="28">
        <f>IFERROR(VLOOKUP(TEXT(B6579,"0"),STOCK!A:H,7,0),1)</f>
        <v>1</v>
      </c>
    </row>
    <row r="6580" spans="7:10" ht="35.450000000000003" hidden="1" customHeight="1">
      <c r="G6580" s="113"/>
      <c r="J6580" s="28">
        <f>IFERROR(VLOOKUP(TEXT(B6580,"0"),STOCK!A:H,7,0),1)</f>
        <v>1</v>
      </c>
    </row>
    <row r="6581" spans="7:10" ht="35.450000000000003" hidden="1" customHeight="1">
      <c r="G6581" s="113"/>
      <c r="J6581" s="28">
        <f>IFERROR(VLOOKUP(TEXT(B6581,"0"),STOCK!A:H,7,0),1)</f>
        <v>1</v>
      </c>
    </row>
    <row r="6582" spans="7:10" ht="35.450000000000003" hidden="1" customHeight="1">
      <c r="G6582" s="113"/>
      <c r="J6582" s="28">
        <f>IFERROR(VLOOKUP(TEXT(B6582,"0"),STOCK!A:H,7,0),1)</f>
        <v>1</v>
      </c>
    </row>
    <row r="6583" spans="7:10" ht="35.450000000000003" hidden="1" customHeight="1">
      <c r="G6583" s="113"/>
      <c r="J6583" s="28">
        <f>IFERROR(VLOOKUP(TEXT(B6583,"0"),STOCK!A:H,7,0),1)</f>
        <v>1</v>
      </c>
    </row>
    <row r="6584" spans="7:10" ht="35.450000000000003" hidden="1" customHeight="1">
      <c r="G6584" s="113"/>
      <c r="J6584" s="28">
        <f>IFERROR(VLOOKUP(TEXT(B6584,"0"),STOCK!A:H,7,0),1)</f>
        <v>1</v>
      </c>
    </row>
    <row r="6585" spans="7:10" ht="35.450000000000003" hidden="1" customHeight="1">
      <c r="G6585" s="113"/>
      <c r="J6585" s="28">
        <f>IFERROR(VLOOKUP(TEXT(B6585,"0"),STOCK!A:H,7,0),1)</f>
        <v>1</v>
      </c>
    </row>
    <row r="6586" spans="7:10" ht="35.450000000000003" hidden="1" customHeight="1">
      <c r="G6586" s="113"/>
      <c r="J6586" s="28">
        <f>IFERROR(VLOOKUP(TEXT(B6586,"0"),STOCK!A:H,7,0),1)</f>
        <v>1</v>
      </c>
    </row>
    <row r="6587" spans="7:10" ht="35.450000000000003" hidden="1" customHeight="1">
      <c r="G6587" s="113"/>
      <c r="J6587" s="28">
        <f>IFERROR(VLOOKUP(TEXT(B6587,"0"),STOCK!A:H,7,0),1)</f>
        <v>1</v>
      </c>
    </row>
    <row r="6588" spans="7:10" ht="35.450000000000003" hidden="1" customHeight="1">
      <c r="G6588" s="113"/>
      <c r="J6588" s="28">
        <f>IFERROR(VLOOKUP(TEXT(B6588,"0"),STOCK!A:H,7,0),1)</f>
        <v>1</v>
      </c>
    </row>
    <row r="6589" spans="7:10" ht="35.450000000000003" hidden="1" customHeight="1">
      <c r="G6589" s="113"/>
      <c r="J6589" s="28">
        <f>IFERROR(VLOOKUP(TEXT(B6589,"0"),STOCK!A:H,7,0),1)</f>
        <v>1</v>
      </c>
    </row>
    <row r="6590" spans="7:10" ht="35.450000000000003" hidden="1" customHeight="1">
      <c r="G6590" s="113"/>
      <c r="J6590" s="28">
        <f>IFERROR(VLOOKUP(TEXT(B6590,"0"),STOCK!A:H,7,0),1)</f>
        <v>1</v>
      </c>
    </row>
    <row r="6591" spans="7:10" ht="35.450000000000003" hidden="1" customHeight="1">
      <c r="G6591" s="113"/>
      <c r="J6591" s="28">
        <f>IFERROR(VLOOKUP(TEXT(B6591,"0"),STOCK!A:H,7,0),1)</f>
        <v>1</v>
      </c>
    </row>
    <row r="6592" spans="7:10" ht="35.450000000000003" hidden="1" customHeight="1">
      <c r="G6592" s="113"/>
      <c r="J6592" s="28">
        <f>IFERROR(VLOOKUP(TEXT(B6592,"0"),STOCK!A:H,7,0),1)</f>
        <v>1</v>
      </c>
    </row>
    <row r="6593" spans="7:10" ht="35.450000000000003" hidden="1" customHeight="1">
      <c r="G6593" s="113"/>
      <c r="J6593" s="28">
        <f>IFERROR(VLOOKUP(TEXT(B6593,"0"),STOCK!A:H,7,0),1)</f>
        <v>1</v>
      </c>
    </row>
    <row r="6594" spans="7:10" ht="35.450000000000003" hidden="1" customHeight="1">
      <c r="G6594" s="113"/>
      <c r="J6594" s="28">
        <f>IFERROR(VLOOKUP(TEXT(B6594,"0"),STOCK!A:H,7,0),1)</f>
        <v>1</v>
      </c>
    </row>
    <row r="6595" spans="7:10" ht="35.450000000000003" hidden="1" customHeight="1">
      <c r="G6595" s="113"/>
      <c r="J6595" s="28">
        <f>IFERROR(VLOOKUP(TEXT(B6595,"0"),STOCK!A:H,7,0),1)</f>
        <v>1</v>
      </c>
    </row>
    <row r="6596" spans="7:10" ht="35.450000000000003" hidden="1" customHeight="1">
      <c r="G6596" s="113"/>
      <c r="J6596" s="28">
        <f>IFERROR(VLOOKUP(TEXT(B6596,"0"),STOCK!A:H,7,0),1)</f>
        <v>1</v>
      </c>
    </row>
    <row r="6597" spans="7:10" ht="35.450000000000003" hidden="1" customHeight="1">
      <c r="G6597" s="113"/>
      <c r="J6597" s="28">
        <f>IFERROR(VLOOKUP(TEXT(B6597,"0"),STOCK!A:H,7,0),1)</f>
        <v>1</v>
      </c>
    </row>
    <row r="6598" spans="7:10" ht="35.450000000000003" hidden="1" customHeight="1">
      <c r="G6598" s="113"/>
      <c r="J6598" s="28">
        <f>IFERROR(VLOOKUP(TEXT(B6598,"0"),STOCK!A:H,7,0),1)</f>
        <v>1</v>
      </c>
    </row>
    <row r="6599" spans="7:10" ht="35.450000000000003" hidden="1" customHeight="1">
      <c r="G6599" s="113"/>
      <c r="J6599" s="28">
        <f>IFERROR(VLOOKUP(TEXT(B6599,"0"),STOCK!A:H,7,0),1)</f>
        <v>1</v>
      </c>
    </row>
    <row r="6600" spans="7:10" ht="35.450000000000003" hidden="1" customHeight="1">
      <c r="G6600" s="113"/>
      <c r="J6600" s="28">
        <f>IFERROR(VLOOKUP(TEXT(B6600,"0"),STOCK!A:H,7,0),1)</f>
        <v>1</v>
      </c>
    </row>
    <row r="6601" spans="7:10" ht="35.450000000000003" hidden="1" customHeight="1">
      <c r="G6601" s="113"/>
      <c r="J6601" s="28">
        <f>IFERROR(VLOOKUP(TEXT(B6601,"0"),STOCK!A:H,7,0),1)</f>
        <v>1</v>
      </c>
    </row>
    <row r="6602" spans="7:10" ht="35.450000000000003" hidden="1" customHeight="1">
      <c r="G6602" s="113"/>
      <c r="J6602" s="28">
        <f>IFERROR(VLOOKUP(TEXT(B6602,"0"),STOCK!A:H,7,0),1)</f>
        <v>1</v>
      </c>
    </row>
    <row r="6603" spans="7:10" ht="35.450000000000003" hidden="1" customHeight="1">
      <c r="G6603" s="113"/>
      <c r="J6603" s="28">
        <f>IFERROR(VLOOKUP(TEXT(B6603,"0"),STOCK!A:H,7,0),1)</f>
        <v>1</v>
      </c>
    </row>
    <row r="6604" spans="7:10" ht="35.450000000000003" hidden="1" customHeight="1">
      <c r="G6604" s="113"/>
      <c r="J6604" s="28">
        <f>IFERROR(VLOOKUP(TEXT(B6604,"0"),STOCK!A:H,7,0),1)</f>
        <v>1</v>
      </c>
    </row>
    <row r="6605" spans="7:10" ht="35.450000000000003" hidden="1" customHeight="1">
      <c r="G6605" s="113"/>
      <c r="J6605" s="28">
        <f>IFERROR(VLOOKUP(TEXT(B6605,"0"),STOCK!A:H,7,0),1)</f>
        <v>1</v>
      </c>
    </row>
    <row r="6606" spans="7:10" ht="35.450000000000003" hidden="1" customHeight="1">
      <c r="G6606" s="113"/>
      <c r="J6606" s="28">
        <f>IFERROR(VLOOKUP(TEXT(B6606,"0"),STOCK!A:H,7,0),1)</f>
        <v>1</v>
      </c>
    </row>
    <row r="6607" spans="7:10" ht="35.450000000000003" hidden="1" customHeight="1">
      <c r="G6607" s="113"/>
      <c r="J6607" s="28">
        <f>IFERROR(VLOOKUP(TEXT(B6607,"0"),STOCK!A:H,7,0),1)</f>
        <v>1</v>
      </c>
    </row>
    <row r="6608" spans="7:10" ht="35.450000000000003" hidden="1" customHeight="1">
      <c r="G6608" s="113"/>
      <c r="J6608" s="28">
        <f>IFERROR(VLOOKUP(TEXT(B6608,"0"),STOCK!A:H,7,0),1)</f>
        <v>1</v>
      </c>
    </row>
    <row r="6609" spans="7:10" ht="35.450000000000003" hidden="1" customHeight="1">
      <c r="G6609" s="113"/>
      <c r="J6609" s="28">
        <f>IFERROR(VLOOKUP(TEXT(B6609,"0"),STOCK!A:H,7,0),1)</f>
        <v>1</v>
      </c>
    </row>
    <row r="6610" spans="7:10" ht="35.450000000000003" hidden="1" customHeight="1">
      <c r="G6610" s="113"/>
      <c r="J6610" s="28">
        <f>IFERROR(VLOOKUP(TEXT(B6610,"0"),STOCK!A:H,7,0),1)</f>
        <v>1</v>
      </c>
    </row>
    <row r="6611" spans="7:10" ht="35.450000000000003" hidden="1" customHeight="1">
      <c r="G6611" s="113"/>
      <c r="J6611" s="28">
        <f>IFERROR(VLOOKUP(TEXT(B6611,"0"),STOCK!A:H,7,0),1)</f>
        <v>1</v>
      </c>
    </row>
    <row r="6612" spans="7:10" ht="35.450000000000003" hidden="1" customHeight="1">
      <c r="G6612" s="113"/>
      <c r="J6612" s="28">
        <f>IFERROR(VLOOKUP(TEXT(B6612,"0"),STOCK!A:H,7,0),1)</f>
        <v>1</v>
      </c>
    </row>
    <row r="6613" spans="7:10" ht="35.450000000000003" hidden="1" customHeight="1">
      <c r="G6613" s="113"/>
      <c r="J6613" s="28">
        <f>IFERROR(VLOOKUP(TEXT(B6613,"0"),STOCK!A:H,7,0),1)</f>
        <v>1</v>
      </c>
    </row>
    <row r="6614" spans="7:10" ht="35.450000000000003" hidden="1" customHeight="1">
      <c r="G6614" s="113"/>
      <c r="J6614" s="28">
        <f>IFERROR(VLOOKUP(TEXT(B6614,"0"),STOCK!A:H,7,0),1)</f>
        <v>1</v>
      </c>
    </row>
    <row r="6615" spans="7:10" ht="35.450000000000003" hidden="1" customHeight="1">
      <c r="G6615" s="113"/>
      <c r="J6615" s="28">
        <f>IFERROR(VLOOKUP(TEXT(B6615,"0"),STOCK!A:H,7,0),1)</f>
        <v>1</v>
      </c>
    </row>
    <row r="6616" spans="7:10" ht="35.450000000000003" hidden="1" customHeight="1">
      <c r="G6616" s="113"/>
      <c r="J6616" s="28">
        <f>IFERROR(VLOOKUP(TEXT(B6616,"0"),STOCK!A:H,7,0),1)</f>
        <v>1</v>
      </c>
    </row>
    <row r="6617" spans="7:10" ht="35.450000000000003" hidden="1" customHeight="1">
      <c r="G6617" s="113"/>
      <c r="J6617" s="28">
        <f>IFERROR(VLOOKUP(TEXT(B6617,"0"),STOCK!A:H,7,0),1)</f>
        <v>1</v>
      </c>
    </row>
    <row r="6618" spans="7:10" ht="35.450000000000003" hidden="1" customHeight="1">
      <c r="G6618" s="113"/>
      <c r="J6618" s="28">
        <f>IFERROR(VLOOKUP(TEXT(B6618,"0"),STOCK!A:H,7,0),1)</f>
        <v>1</v>
      </c>
    </row>
    <row r="6619" spans="7:10" ht="35.450000000000003" hidden="1" customHeight="1">
      <c r="G6619" s="113"/>
      <c r="J6619" s="28">
        <f>IFERROR(VLOOKUP(TEXT(B6619,"0"),STOCK!A:H,7,0),1)</f>
        <v>1</v>
      </c>
    </row>
    <row r="6620" spans="7:10" ht="35.450000000000003" hidden="1" customHeight="1">
      <c r="G6620" s="113"/>
      <c r="J6620" s="28">
        <f>IFERROR(VLOOKUP(TEXT(B6620,"0"),STOCK!A:H,7,0),1)</f>
        <v>1</v>
      </c>
    </row>
    <row r="6621" spans="7:10" ht="35.450000000000003" hidden="1" customHeight="1">
      <c r="G6621" s="113"/>
      <c r="J6621" s="28">
        <f>IFERROR(VLOOKUP(TEXT(B6621,"0"),STOCK!A:H,7,0),1)</f>
        <v>1</v>
      </c>
    </row>
    <row r="6622" spans="7:10" ht="35.450000000000003" hidden="1" customHeight="1">
      <c r="G6622" s="113"/>
      <c r="J6622" s="28">
        <f>IFERROR(VLOOKUP(TEXT(B6622,"0"),STOCK!A:H,7,0),1)</f>
        <v>1</v>
      </c>
    </row>
    <row r="6623" spans="7:10" ht="35.450000000000003" hidden="1" customHeight="1">
      <c r="G6623" s="113"/>
      <c r="J6623" s="28">
        <f>IFERROR(VLOOKUP(TEXT(B6623,"0"),STOCK!A:H,7,0),1)</f>
        <v>1</v>
      </c>
    </row>
    <row r="6624" spans="7:10" ht="35.450000000000003" hidden="1" customHeight="1">
      <c r="G6624" s="113"/>
      <c r="J6624" s="28">
        <f>IFERROR(VLOOKUP(TEXT(B6624,"0"),STOCK!A:H,7,0),1)</f>
        <v>1</v>
      </c>
    </row>
    <row r="6625" spans="7:10" ht="35.450000000000003" hidden="1" customHeight="1">
      <c r="G6625" s="113"/>
      <c r="J6625" s="28">
        <f>IFERROR(VLOOKUP(TEXT(B6625,"0"),STOCK!A:H,7,0),1)</f>
        <v>1</v>
      </c>
    </row>
    <row r="6626" spans="7:10" ht="35.450000000000003" hidden="1" customHeight="1">
      <c r="G6626" s="113"/>
      <c r="J6626" s="28">
        <f>IFERROR(VLOOKUP(TEXT(B6626,"0"),STOCK!A:H,7,0),1)</f>
        <v>1</v>
      </c>
    </row>
    <row r="6627" spans="7:10" ht="35.450000000000003" hidden="1" customHeight="1">
      <c r="G6627" s="113"/>
      <c r="J6627" s="28">
        <f>IFERROR(VLOOKUP(TEXT(B6627,"0"),STOCK!A:H,7,0),1)</f>
        <v>1</v>
      </c>
    </row>
    <row r="6628" spans="7:10" ht="35.450000000000003" hidden="1" customHeight="1">
      <c r="G6628" s="113"/>
      <c r="J6628" s="28">
        <f>IFERROR(VLOOKUP(TEXT(B6628,"0"),STOCK!A:H,7,0),1)</f>
        <v>1</v>
      </c>
    </row>
    <row r="6629" spans="7:10" ht="35.450000000000003" hidden="1" customHeight="1">
      <c r="G6629" s="113"/>
      <c r="J6629" s="28">
        <f>IFERROR(VLOOKUP(TEXT(B6629,"0"),STOCK!A:H,7,0),1)</f>
        <v>1</v>
      </c>
    </row>
    <row r="6630" spans="7:10" ht="35.450000000000003" hidden="1" customHeight="1">
      <c r="G6630" s="113"/>
      <c r="J6630" s="28">
        <f>IFERROR(VLOOKUP(TEXT(B6630,"0"),STOCK!A:H,7,0),1)</f>
        <v>1</v>
      </c>
    </row>
    <row r="6631" spans="7:10" ht="35.450000000000003" hidden="1" customHeight="1">
      <c r="G6631" s="113"/>
      <c r="J6631" s="28">
        <f>IFERROR(VLOOKUP(TEXT(B6631,"0"),STOCK!A:H,7,0),1)</f>
        <v>1</v>
      </c>
    </row>
    <row r="6632" spans="7:10" ht="35.450000000000003" hidden="1" customHeight="1">
      <c r="G6632" s="113"/>
      <c r="J6632" s="28">
        <f>IFERROR(VLOOKUP(TEXT(B6632,"0"),STOCK!A:H,7,0),1)</f>
        <v>1</v>
      </c>
    </row>
    <row r="6633" spans="7:10" ht="35.450000000000003" hidden="1" customHeight="1">
      <c r="G6633" s="113"/>
      <c r="J6633" s="28">
        <f>IFERROR(VLOOKUP(TEXT(B6633,"0"),STOCK!A:H,7,0),1)</f>
        <v>1</v>
      </c>
    </row>
    <row r="6634" spans="7:10" ht="35.450000000000003" hidden="1" customHeight="1">
      <c r="G6634" s="113"/>
      <c r="J6634" s="28">
        <f>IFERROR(VLOOKUP(TEXT(B6634,"0"),STOCK!A:H,7,0),1)</f>
        <v>1</v>
      </c>
    </row>
    <row r="6635" spans="7:10" ht="35.450000000000003" hidden="1" customHeight="1">
      <c r="G6635" s="113"/>
      <c r="J6635" s="28">
        <f>IFERROR(VLOOKUP(TEXT(B6635,"0"),STOCK!A:H,7,0),1)</f>
        <v>1</v>
      </c>
    </row>
    <row r="6636" spans="7:10" ht="35.450000000000003" hidden="1" customHeight="1">
      <c r="G6636" s="113"/>
      <c r="J6636" s="28">
        <f>IFERROR(VLOOKUP(TEXT(B6636,"0"),STOCK!A:H,7,0),1)</f>
        <v>1</v>
      </c>
    </row>
    <row r="6637" spans="7:10" ht="35.450000000000003" hidden="1" customHeight="1">
      <c r="G6637" s="113"/>
      <c r="J6637" s="28">
        <f>IFERROR(VLOOKUP(TEXT(B6637,"0"),STOCK!A:H,7,0),1)</f>
        <v>1</v>
      </c>
    </row>
    <row r="6638" spans="7:10" ht="35.450000000000003" hidden="1" customHeight="1">
      <c r="G6638" s="113"/>
      <c r="J6638" s="28">
        <f>IFERROR(VLOOKUP(TEXT(B6638,"0"),STOCK!A:H,7,0),1)</f>
        <v>1</v>
      </c>
    </row>
    <row r="6639" spans="7:10" ht="35.450000000000003" hidden="1" customHeight="1">
      <c r="G6639" s="113"/>
      <c r="J6639" s="28">
        <f>IFERROR(VLOOKUP(TEXT(B6639,"0"),STOCK!A:H,7,0),1)</f>
        <v>1</v>
      </c>
    </row>
    <row r="6640" spans="7:10" ht="35.450000000000003" hidden="1" customHeight="1">
      <c r="G6640" s="113"/>
      <c r="J6640" s="28">
        <f>IFERROR(VLOOKUP(TEXT(B6640,"0"),STOCK!A:H,7,0),1)</f>
        <v>1</v>
      </c>
    </row>
    <row r="6641" spans="7:10" ht="35.450000000000003" hidden="1" customHeight="1">
      <c r="G6641" s="113"/>
      <c r="J6641" s="28">
        <f>IFERROR(VLOOKUP(TEXT(B6641,"0"),STOCK!A:H,7,0),1)</f>
        <v>1</v>
      </c>
    </row>
    <row r="6642" spans="7:10" ht="35.450000000000003" hidden="1" customHeight="1">
      <c r="G6642" s="113"/>
      <c r="J6642" s="28">
        <f>IFERROR(VLOOKUP(TEXT(B6642,"0"),STOCK!A:H,7,0),1)</f>
        <v>1</v>
      </c>
    </row>
    <row r="6643" spans="7:10" ht="35.450000000000003" hidden="1" customHeight="1">
      <c r="G6643" s="113"/>
      <c r="J6643" s="28">
        <f>IFERROR(VLOOKUP(TEXT(B6643,"0"),STOCK!A:H,7,0),1)</f>
        <v>1</v>
      </c>
    </row>
    <row r="6644" spans="7:10" ht="35.450000000000003" hidden="1" customHeight="1">
      <c r="G6644" s="113"/>
      <c r="J6644" s="28">
        <f>IFERROR(VLOOKUP(TEXT(B6644,"0"),STOCK!A:H,7,0),1)</f>
        <v>1</v>
      </c>
    </row>
    <row r="6645" spans="7:10" ht="35.450000000000003" hidden="1" customHeight="1">
      <c r="G6645" s="113"/>
      <c r="J6645" s="28">
        <f>IFERROR(VLOOKUP(TEXT(B6645,"0"),STOCK!A:H,7,0),1)</f>
        <v>1</v>
      </c>
    </row>
    <row r="6646" spans="7:10" ht="35.450000000000003" hidden="1" customHeight="1">
      <c r="G6646" s="113"/>
      <c r="J6646" s="28">
        <f>IFERROR(VLOOKUP(TEXT(B6646,"0"),STOCK!A:H,7,0),1)</f>
        <v>1</v>
      </c>
    </row>
    <row r="6647" spans="7:10" ht="35.450000000000003" hidden="1" customHeight="1">
      <c r="G6647" s="113"/>
      <c r="J6647" s="28">
        <f>IFERROR(VLOOKUP(TEXT(B6647,"0"),STOCK!A:H,7,0),1)</f>
        <v>1</v>
      </c>
    </row>
    <row r="6648" spans="7:10" ht="35.450000000000003" hidden="1" customHeight="1">
      <c r="G6648" s="113"/>
      <c r="J6648" s="28">
        <f>IFERROR(VLOOKUP(TEXT(B6648,"0"),STOCK!A:H,7,0),1)</f>
        <v>1</v>
      </c>
    </row>
    <row r="6649" spans="7:10" ht="35.450000000000003" hidden="1" customHeight="1">
      <c r="G6649" s="113"/>
      <c r="J6649" s="28">
        <f>IFERROR(VLOOKUP(TEXT(B6649,"0"),STOCK!A:H,7,0),1)</f>
        <v>1</v>
      </c>
    </row>
    <row r="6650" spans="7:10" ht="35.450000000000003" hidden="1" customHeight="1">
      <c r="G6650" s="113"/>
      <c r="J6650" s="28">
        <f>IFERROR(VLOOKUP(TEXT(B6650,"0"),STOCK!A:H,7,0),1)</f>
        <v>1</v>
      </c>
    </row>
    <row r="6651" spans="7:10" ht="35.450000000000003" hidden="1" customHeight="1">
      <c r="G6651" s="113"/>
      <c r="J6651" s="28">
        <f>IFERROR(VLOOKUP(TEXT(B6651,"0"),STOCK!A:H,7,0),1)</f>
        <v>1</v>
      </c>
    </row>
    <row r="6652" spans="7:10" ht="35.450000000000003" hidden="1" customHeight="1">
      <c r="G6652" s="113"/>
      <c r="J6652" s="28">
        <f>IFERROR(VLOOKUP(TEXT(B6652,"0"),STOCK!A:H,7,0),1)</f>
        <v>1</v>
      </c>
    </row>
    <row r="6653" spans="7:10" ht="35.450000000000003" hidden="1" customHeight="1">
      <c r="G6653" s="113"/>
      <c r="J6653" s="28">
        <f>IFERROR(VLOOKUP(TEXT(B6653,"0"),STOCK!A:H,7,0),1)</f>
        <v>1</v>
      </c>
    </row>
    <row r="6654" spans="7:10" ht="35.450000000000003" hidden="1" customHeight="1">
      <c r="G6654" s="113"/>
      <c r="J6654" s="28">
        <f>IFERROR(VLOOKUP(TEXT(B6654,"0"),STOCK!A:H,7,0),1)</f>
        <v>1</v>
      </c>
    </row>
    <row r="6655" spans="7:10" ht="35.450000000000003" hidden="1" customHeight="1">
      <c r="G6655" s="113"/>
      <c r="J6655" s="28">
        <f>IFERROR(VLOOKUP(TEXT(B6655,"0"),STOCK!A:H,7,0),1)</f>
        <v>1</v>
      </c>
    </row>
    <row r="6656" spans="7:10" ht="35.450000000000003" hidden="1" customHeight="1">
      <c r="G6656" s="113"/>
      <c r="J6656" s="28">
        <f>IFERROR(VLOOKUP(TEXT(B6656,"0"),STOCK!A:H,7,0),1)</f>
        <v>1</v>
      </c>
    </row>
    <row r="6657" spans="7:10" ht="35.450000000000003" hidden="1" customHeight="1">
      <c r="G6657" s="113"/>
      <c r="J6657" s="28">
        <f>IFERROR(VLOOKUP(TEXT(B6657,"0"),STOCK!A:H,7,0),1)</f>
        <v>1</v>
      </c>
    </row>
    <row r="6658" spans="7:10" ht="35.450000000000003" hidden="1" customHeight="1">
      <c r="G6658" s="113"/>
      <c r="J6658" s="28">
        <f>IFERROR(VLOOKUP(TEXT(B6658,"0"),STOCK!A:H,7,0),1)</f>
        <v>1</v>
      </c>
    </row>
    <row r="6659" spans="7:10" ht="35.450000000000003" hidden="1" customHeight="1">
      <c r="G6659" s="113"/>
      <c r="J6659" s="28">
        <f>IFERROR(VLOOKUP(TEXT(B6659,"0"),STOCK!A:H,7,0),1)</f>
        <v>1</v>
      </c>
    </row>
    <row r="6660" spans="7:10" ht="35.450000000000003" hidden="1" customHeight="1">
      <c r="G6660" s="113"/>
      <c r="J6660" s="28">
        <f>IFERROR(VLOOKUP(TEXT(B6660,"0"),STOCK!A:H,7,0),1)</f>
        <v>1</v>
      </c>
    </row>
    <row r="6661" spans="7:10" ht="35.450000000000003" hidden="1" customHeight="1">
      <c r="G6661" s="113"/>
      <c r="J6661" s="28">
        <f>IFERROR(VLOOKUP(TEXT(B6661,"0"),STOCK!A:H,7,0),1)</f>
        <v>1</v>
      </c>
    </row>
    <row r="6662" spans="7:10" ht="35.450000000000003" hidden="1" customHeight="1">
      <c r="G6662" s="113"/>
      <c r="J6662" s="28">
        <f>IFERROR(VLOOKUP(TEXT(B6662,"0"),STOCK!A:H,7,0),1)</f>
        <v>1</v>
      </c>
    </row>
    <row r="6663" spans="7:10" ht="35.450000000000003" hidden="1" customHeight="1">
      <c r="G6663" s="113"/>
      <c r="J6663" s="28">
        <f>IFERROR(VLOOKUP(TEXT(B6663,"0"),STOCK!A:H,7,0),1)</f>
        <v>1</v>
      </c>
    </row>
    <row r="6664" spans="7:10" ht="35.450000000000003" hidden="1" customHeight="1">
      <c r="G6664" s="113"/>
      <c r="J6664" s="28">
        <f>IFERROR(VLOOKUP(TEXT(B6664,"0"),STOCK!A:H,7,0),1)</f>
        <v>1</v>
      </c>
    </row>
    <row r="6665" spans="7:10" ht="35.450000000000003" hidden="1" customHeight="1">
      <c r="G6665" s="113"/>
      <c r="J6665" s="28">
        <f>IFERROR(VLOOKUP(TEXT(B6665,"0"),STOCK!A:H,7,0),1)</f>
        <v>1</v>
      </c>
    </row>
    <row r="6666" spans="7:10" ht="35.450000000000003" hidden="1" customHeight="1">
      <c r="G6666" s="113"/>
      <c r="J6666" s="28">
        <f>IFERROR(VLOOKUP(TEXT(B6666,"0"),STOCK!A:H,7,0),1)</f>
        <v>1</v>
      </c>
    </row>
    <row r="6667" spans="7:10" ht="35.450000000000003" hidden="1" customHeight="1">
      <c r="G6667" s="113"/>
      <c r="J6667" s="28">
        <f>IFERROR(VLOOKUP(TEXT(B6667,"0"),STOCK!A:H,7,0),1)</f>
        <v>1</v>
      </c>
    </row>
    <row r="6668" spans="7:10" ht="35.450000000000003" hidden="1" customHeight="1">
      <c r="G6668" s="113"/>
      <c r="J6668" s="28">
        <f>IFERROR(VLOOKUP(TEXT(B6668,"0"),STOCK!A:H,7,0),1)</f>
        <v>1</v>
      </c>
    </row>
    <row r="6669" spans="7:10" ht="35.450000000000003" hidden="1" customHeight="1">
      <c r="G6669" s="113"/>
      <c r="J6669" s="28">
        <f>IFERROR(VLOOKUP(TEXT(B6669,"0"),STOCK!A:H,7,0),1)</f>
        <v>1</v>
      </c>
    </row>
    <row r="6670" spans="7:10" ht="35.450000000000003" hidden="1" customHeight="1">
      <c r="G6670" s="113"/>
      <c r="J6670" s="28">
        <f>IFERROR(VLOOKUP(TEXT(B6670,"0"),STOCK!A:H,7,0),1)</f>
        <v>1</v>
      </c>
    </row>
    <row r="6671" spans="7:10" ht="35.450000000000003" hidden="1" customHeight="1">
      <c r="G6671" s="113"/>
      <c r="J6671" s="28">
        <f>IFERROR(VLOOKUP(TEXT(B6671,"0"),STOCK!A:H,7,0),1)</f>
        <v>1</v>
      </c>
    </row>
    <row r="6672" spans="7:10" ht="35.450000000000003" hidden="1" customHeight="1">
      <c r="G6672" s="113"/>
      <c r="J6672" s="28">
        <f>IFERROR(VLOOKUP(TEXT(B6672,"0"),STOCK!A:H,7,0),1)</f>
        <v>1</v>
      </c>
    </row>
    <row r="6673" spans="7:10" ht="35.450000000000003" hidden="1" customHeight="1">
      <c r="G6673" s="113"/>
      <c r="J6673" s="28">
        <f>IFERROR(VLOOKUP(TEXT(B6673,"0"),STOCK!A:H,7,0),1)</f>
        <v>1</v>
      </c>
    </row>
    <row r="6674" spans="7:10" ht="35.450000000000003" hidden="1" customHeight="1">
      <c r="G6674" s="113"/>
      <c r="J6674" s="28">
        <f>IFERROR(VLOOKUP(TEXT(B6674,"0"),STOCK!A:H,7,0),1)</f>
        <v>1</v>
      </c>
    </row>
    <row r="6675" spans="7:10" ht="35.450000000000003" hidden="1" customHeight="1">
      <c r="G6675" s="113"/>
      <c r="J6675" s="28">
        <f>IFERROR(VLOOKUP(TEXT(B6675,"0"),STOCK!A:H,7,0),1)</f>
        <v>1</v>
      </c>
    </row>
    <row r="6676" spans="7:10" ht="35.450000000000003" hidden="1" customHeight="1">
      <c r="G6676" s="113"/>
      <c r="J6676" s="28">
        <f>IFERROR(VLOOKUP(TEXT(B6676,"0"),STOCK!A:H,7,0),1)</f>
        <v>1</v>
      </c>
    </row>
    <row r="6677" spans="7:10" ht="35.450000000000003" hidden="1" customHeight="1">
      <c r="G6677" s="113"/>
      <c r="J6677" s="28">
        <f>IFERROR(VLOOKUP(TEXT(B6677,"0"),STOCK!A:H,7,0),1)</f>
        <v>1</v>
      </c>
    </row>
    <row r="6678" spans="7:10" ht="35.450000000000003" hidden="1" customHeight="1">
      <c r="G6678" s="113"/>
      <c r="J6678" s="28">
        <f>IFERROR(VLOOKUP(TEXT(B6678,"0"),STOCK!A:H,7,0),1)</f>
        <v>1</v>
      </c>
    </row>
    <row r="6679" spans="7:10" ht="35.450000000000003" hidden="1" customHeight="1">
      <c r="G6679" s="113"/>
      <c r="J6679" s="28">
        <f>IFERROR(VLOOKUP(TEXT(B6679,"0"),STOCK!A:H,7,0),1)</f>
        <v>1</v>
      </c>
    </row>
    <row r="6680" spans="7:10" ht="35.450000000000003" hidden="1" customHeight="1">
      <c r="G6680" s="113"/>
      <c r="J6680" s="28">
        <f>IFERROR(VLOOKUP(TEXT(B6680,"0"),STOCK!A:H,7,0),1)</f>
        <v>1</v>
      </c>
    </row>
    <row r="6681" spans="7:10" ht="35.450000000000003" hidden="1" customHeight="1">
      <c r="G6681" s="113"/>
      <c r="J6681" s="28">
        <f>IFERROR(VLOOKUP(TEXT(B6681,"0"),STOCK!A:H,7,0),1)</f>
        <v>1</v>
      </c>
    </row>
    <row r="6682" spans="7:10" ht="35.450000000000003" hidden="1" customHeight="1">
      <c r="G6682" s="113"/>
      <c r="J6682" s="28">
        <f>IFERROR(VLOOKUP(TEXT(B6682,"0"),STOCK!A:H,7,0),1)</f>
        <v>1</v>
      </c>
    </row>
    <row r="6683" spans="7:10" ht="35.450000000000003" hidden="1" customHeight="1">
      <c r="G6683" s="113"/>
      <c r="J6683" s="28">
        <f>IFERROR(VLOOKUP(TEXT(B6683,"0"),STOCK!A:H,7,0),1)</f>
        <v>1</v>
      </c>
    </row>
    <row r="6684" spans="7:10" ht="35.450000000000003" hidden="1" customHeight="1">
      <c r="G6684" s="113"/>
      <c r="J6684" s="28">
        <f>IFERROR(VLOOKUP(TEXT(B6684,"0"),STOCK!A:H,7,0),1)</f>
        <v>1</v>
      </c>
    </row>
    <row r="6685" spans="7:10" ht="35.450000000000003" hidden="1" customHeight="1">
      <c r="G6685" s="113"/>
      <c r="J6685" s="28">
        <f>IFERROR(VLOOKUP(TEXT(B6685,"0"),STOCK!A:H,7,0),1)</f>
        <v>1</v>
      </c>
    </row>
    <row r="6686" spans="7:10" ht="35.450000000000003" hidden="1" customHeight="1">
      <c r="G6686" s="113"/>
      <c r="J6686" s="28">
        <f>IFERROR(VLOOKUP(TEXT(B6686,"0"),STOCK!A:H,7,0),1)</f>
        <v>1</v>
      </c>
    </row>
    <row r="6687" spans="7:10" ht="35.450000000000003" hidden="1" customHeight="1">
      <c r="G6687" s="113"/>
      <c r="J6687" s="28">
        <f>IFERROR(VLOOKUP(TEXT(B6687,"0"),STOCK!A:H,7,0),1)</f>
        <v>1</v>
      </c>
    </row>
    <row r="6688" spans="7:10" ht="35.450000000000003" hidden="1" customHeight="1">
      <c r="G6688" s="113"/>
      <c r="J6688" s="28">
        <f>IFERROR(VLOOKUP(TEXT(B6688,"0"),STOCK!A:H,7,0),1)</f>
        <v>1</v>
      </c>
    </row>
    <row r="6689" spans="7:10" ht="35.450000000000003" hidden="1" customHeight="1">
      <c r="G6689" s="113"/>
      <c r="J6689" s="28">
        <f>IFERROR(VLOOKUP(TEXT(B6689,"0"),STOCK!A:H,7,0),1)</f>
        <v>1</v>
      </c>
    </row>
    <row r="6690" spans="7:10" ht="35.450000000000003" hidden="1" customHeight="1">
      <c r="G6690" s="113"/>
      <c r="J6690" s="28">
        <f>IFERROR(VLOOKUP(TEXT(B6690,"0"),STOCK!A:H,7,0),1)</f>
        <v>1</v>
      </c>
    </row>
    <row r="6691" spans="7:10" ht="35.450000000000003" hidden="1" customHeight="1">
      <c r="G6691" s="113"/>
      <c r="J6691" s="28">
        <f>IFERROR(VLOOKUP(TEXT(B6691,"0"),STOCK!A:H,7,0),1)</f>
        <v>1</v>
      </c>
    </row>
    <row r="6692" spans="7:10" ht="35.450000000000003" hidden="1" customHeight="1">
      <c r="G6692" s="113"/>
      <c r="J6692" s="28">
        <f>IFERROR(VLOOKUP(TEXT(B6692,"0"),STOCK!A:H,7,0),1)</f>
        <v>1</v>
      </c>
    </row>
    <row r="6693" spans="7:10" ht="35.450000000000003" hidden="1" customHeight="1">
      <c r="G6693" s="113"/>
      <c r="J6693" s="28">
        <f>IFERROR(VLOOKUP(TEXT(B6693,"0"),STOCK!A:H,7,0),1)</f>
        <v>1</v>
      </c>
    </row>
    <row r="6694" spans="7:10" ht="35.450000000000003" hidden="1" customHeight="1">
      <c r="G6694" s="113"/>
      <c r="J6694" s="28">
        <f>IFERROR(VLOOKUP(TEXT(B6694,"0"),STOCK!A:H,7,0),1)</f>
        <v>1</v>
      </c>
    </row>
    <row r="6695" spans="7:10" ht="35.450000000000003" hidden="1" customHeight="1">
      <c r="G6695" s="113"/>
      <c r="J6695" s="28">
        <f>IFERROR(VLOOKUP(TEXT(B6695,"0"),STOCK!A:H,7,0),1)</f>
        <v>1</v>
      </c>
    </row>
    <row r="6696" spans="7:10" ht="35.450000000000003" hidden="1" customHeight="1">
      <c r="G6696" s="113"/>
      <c r="J6696" s="28">
        <f>IFERROR(VLOOKUP(TEXT(B6696,"0"),STOCK!A:H,7,0),1)</f>
        <v>1</v>
      </c>
    </row>
    <row r="6697" spans="7:10" ht="35.450000000000003" hidden="1" customHeight="1">
      <c r="G6697" s="113"/>
      <c r="J6697" s="28">
        <f>IFERROR(VLOOKUP(TEXT(B6697,"0"),STOCK!A:H,7,0),1)</f>
        <v>1</v>
      </c>
    </row>
    <row r="6698" spans="7:10" ht="35.450000000000003" hidden="1" customHeight="1">
      <c r="G6698" s="113"/>
      <c r="J6698" s="28">
        <f>IFERROR(VLOOKUP(TEXT(B6698,"0"),STOCK!A:H,7,0),1)</f>
        <v>1</v>
      </c>
    </row>
    <row r="6699" spans="7:10" ht="35.450000000000003" hidden="1" customHeight="1">
      <c r="G6699" s="113"/>
      <c r="J6699" s="28">
        <f>IFERROR(VLOOKUP(TEXT(B6699,"0"),STOCK!A:H,7,0),1)</f>
        <v>1</v>
      </c>
    </row>
    <row r="6700" spans="7:10" ht="35.450000000000003" hidden="1" customHeight="1">
      <c r="G6700" s="113"/>
      <c r="J6700" s="28">
        <f>IFERROR(VLOOKUP(TEXT(B6700,"0"),STOCK!A:H,7,0),1)</f>
        <v>1</v>
      </c>
    </row>
    <row r="6701" spans="7:10" ht="35.450000000000003" hidden="1" customHeight="1">
      <c r="G6701" s="113"/>
      <c r="J6701" s="28">
        <f>IFERROR(VLOOKUP(TEXT(B6701,"0"),STOCK!A:H,7,0),1)</f>
        <v>1</v>
      </c>
    </row>
    <row r="6702" spans="7:10" ht="35.450000000000003" hidden="1" customHeight="1">
      <c r="G6702" s="113"/>
      <c r="J6702" s="28">
        <f>IFERROR(VLOOKUP(TEXT(B6702,"0"),STOCK!A:H,7,0),1)</f>
        <v>1</v>
      </c>
    </row>
    <row r="6703" spans="7:10" ht="35.450000000000003" hidden="1" customHeight="1">
      <c r="G6703" s="113"/>
      <c r="J6703" s="28">
        <f>IFERROR(VLOOKUP(TEXT(B6703,"0"),STOCK!A:H,7,0),1)</f>
        <v>1</v>
      </c>
    </row>
    <row r="6704" spans="7:10" ht="35.450000000000003" hidden="1" customHeight="1">
      <c r="G6704" s="113"/>
      <c r="J6704" s="28">
        <f>IFERROR(VLOOKUP(TEXT(B6704,"0"),STOCK!A:H,7,0),1)</f>
        <v>1</v>
      </c>
    </row>
    <row r="6705" spans="7:10" ht="35.450000000000003" hidden="1" customHeight="1">
      <c r="G6705" s="113"/>
      <c r="J6705" s="28">
        <f>IFERROR(VLOOKUP(TEXT(B6705,"0"),STOCK!A:H,7,0),1)</f>
        <v>1</v>
      </c>
    </row>
    <row r="6706" spans="7:10" ht="35.450000000000003" hidden="1" customHeight="1">
      <c r="G6706" s="113"/>
      <c r="J6706" s="28">
        <f>IFERROR(VLOOKUP(TEXT(B6706,"0"),STOCK!A:H,7,0),1)</f>
        <v>1</v>
      </c>
    </row>
    <row r="6707" spans="7:10" ht="35.450000000000003" hidden="1" customHeight="1">
      <c r="G6707" s="113"/>
      <c r="J6707" s="28">
        <f>IFERROR(VLOOKUP(TEXT(B6707,"0"),STOCK!A:H,7,0),1)</f>
        <v>1</v>
      </c>
    </row>
    <row r="6708" spans="7:10" ht="35.450000000000003" hidden="1" customHeight="1">
      <c r="G6708" s="113"/>
      <c r="J6708" s="28">
        <f>IFERROR(VLOOKUP(TEXT(B6708,"0"),STOCK!A:H,7,0),1)</f>
        <v>1</v>
      </c>
    </row>
    <row r="6709" spans="7:10" ht="35.450000000000003" hidden="1" customHeight="1">
      <c r="G6709" s="113"/>
      <c r="J6709" s="28">
        <f>IFERROR(VLOOKUP(TEXT(B6709,"0"),STOCK!A:H,7,0),1)</f>
        <v>1</v>
      </c>
    </row>
    <row r="6710" spans="7:10" ht="35.450000000000003" hidden="1" customHeight="1">
      <c r="G6710" s="113"/>
      <c r="J6710" s="28">
        <f>IFERROR(VLOOKUP(TEXT(B6710,"0"),STOCK!A:H,7,0),1)</f>
        <v>1</v>
      </c>
    </row>
    <row r="6711" spans="7:10" ht="35.450000000000003" hidden="1" customHeight="1">
      <c r="G6711" s="113"/>
      <c r="J6711" s="28">
        <f>IFERROR(VLOOKUP(TEXT(B6711,"0"),STOCK!A:H,7,0),1)</f>
        <v>1</v>
      </c>
    </row>
    <row r="6712" spans="7:10" ht="35.450000000000003" hidden="1" customHeight="1">
      <c r="G6712" s="113"/>
      <c r="J6712" s="28">
        <f>IFERROR(VLOOKUP(TEXT(B6712,"0"),STOCK!A:H,7,0),1)</f>
        <v>1</v>
      </c>
    </row>
    <row r="6713" spans="7:10" ht="35.450000000000003" hidden="1" customHeight="1">
      <c r="G6713" s="113"/>
      <c r="J6713" s="28">
        <f>IFERROR(VLOOKUP(TEXT(B6713,"0"),STOCK!A:H,7,0),1)</f>
        <v>1</v>
      </c>
    </row>
    <row r="6714" spans="7:10" ht="35.450000000000003" hidden="1" customHeight="1">
      <c r="G6714" s="113"/>
      <c r="J6714" s="28">
        <f>IFERROR(VLOOKUP(TEXT(B6714,"0"),STOCK!A:H,7,0),1)</f>
        <v>1</v>
      </c>
    </row>
    <row r="6715" spans="7:10" ht="35.450000000000003" hidden="1" customHeight="1">
      <c r="G6715" s="113"/>
      <c r="J6715" s="28">
        <f>IFERROR(VLOOKUP(TEXT(B6715,"0"),STOCK!A:H,7,0),1)</f>
        <v>1</v>
      </c>
    </row>
    <row r="6716" spans="7:10" ht="35.450000000000003" hidden="1" customHeight="1">
      <c r="G6716" s="113"/>
      <c r="J6716" s="28">
        <f>IFERROR(VLOOKUP(TEXT(B6716,"0"),STOCK!A:H,7,0),1)</f>
        <v>1</v>
      </c>
    </row>
    <row r="6717" spans="7:10" ht="35.450000000000003" hidden="1" customHeight="1">
      <c r="G6717" s="113"/>
      <c r="J6717" s="28">
        <f>IFERROR(VLOOKUP(TEXT(B6717,"0"),STOCK!A:H,7,0),1)</f>
        <v>1</v>
      </c>
    </row>
    <row r="6718" spans="7:10" ht="35.450000000000003" hidden="1" customHeight="1">
      <c r="G6718" s="113"/>
      <c r="J6718" s="28">
        <f>IFERROR(VLOOKUP(TEXT(B6718,"0"),STOCK!A:H,7,0),1)</f>
        <v>1</v>
      </c>
    </row>
    <row r="6719" spans="7:10" ht="35.450000000000003" hidden="1" customHeight="1">
      <c r="G6719" s="113"/>
      <c r="J6719" s="28">
        <f>IFERROR(VLOOKUP(TEXT(B6719,"0"),STOCK!A:H,7,0),1)</f>
        <v>1</v>
      </c>
    </row>
    <row r="6720" spans="7:10" ht="35.450000000000003" hidden="1" customHeight="1">
      <c r="G6720" s="113"/>
      <c r="J6720" s="28">
        <f>IFERROR(VLOOKUP(TEXT(B6720,"0"),STOCK!A:H,7,0),1)</f>
        <v>1</v>
      </c>
    </row>
    <row r="6721" spans="7:10" ht="35.450000000000003" hidden="1" customHeight="1">
      <c r="G6721" s="113"/>
      <c r="J6721" s="28">
        <f>IFERROR(VLOOKUP(TEXT(B6721,"0"),STOCK!A:H,7,0),1)</f>
        <v>1</v>
      </c>
    </row>
    <row r="6722" spans="7:10" ht="35.450000000000003" hidden="1" customHeight="1">
      <c r="G6722" s="113"/>
      <c r="J6722" s="28">
        <f>IFERROR(VLOOKUP(TEXT(B6722,"0"),STOCK!A:H,7,0),1)</f>
        <v>1</v>
      </c>
    </row>
    <row r="6723" spans="7:10" ht="35.450000000000003" hidden="1" customHeight="1">
      <c r="G6723" s="113"/>
      <c r="J6723" s="28">
        <f>IFERROR(VLOOKUP(TEXT(B6723,"0"),STOCK!A:H,7,0),1)</f>
        <v>1</v>
      </c>
    </row>
    <row r="6724" spans="7:10" ht="35.450000000000003" hidden="1" customHeight="1">
      <c r="G6724" s="113"/>
      <c r="J6724" s="28">
        <f>IFERROR(VLOOKUP(TEXT(B6724,"0"),STOCK!A:H,7,0),1)</f>
        <v>1</v>
      </c>
    </row>
    <row r="6725" spans="7:10" ht="35.450000000000003" hidden="1" customHeight="1">
      <c r="G6725" s="113"/>
      <c r="J6725" s="28">
        <f>IFERROR(VLOOKUP(TEXT(B6725,"0"),STOCK!A:H,7,0),1)</f>
        <v>1</v>
      </c>
    </row>
    <row r="6726" spans="7:10" ht="35.450000000000003" hidden="1" customHeight="1">
      <c r="G6726" s="113"/>
      <c r="J6726" s="28">
        <f>IFERROR(VLOOKUP(TEXT(B6726,"0"),STOCK!A:H,7,0),1)</f>
        <v>1</v>
      </c>
    </row>
    <row r="6727" spans="7:10" ht="35.450000000000003" hidden="1" customHeight="1">
      <c r="G6727" s="113"/>
      <c r="J6727" s="28">
        <f>IFERROR(VLOOKUP(TEXT(B6727,"0"),STOCK!A:H,7,0),1)</f>
        <v>1</v>
      </c>
    </row>
    <row r="6728" spans="7:10" ht="35.450000000000003" hidden="1" customHeight="1">
      <c r="G6728" s="113"/>
      <c r="J6728" s="28">
        <f>IFERROR(VLOOKUP(TEXT(B6728,"0"),STOCK!A:H,7,0),1)</f>
        <v>1</v>
      </c>
    </row>
    <row r="6729" spans="7:10" ht="35.450000000000003" hidden="1" customHeight="1">
      <c r="G6729" s="113"/>
      <c r="J6729" s="28">
        <f>IFERROR(VLOOKUP(TEXT(B6729,"0"),STOCK!A:H,7,0),1)</f>
        <v>1</v>
      </c>
    </row>
    <row r="6730" spans="7:10" ht="35.450000000000003" hidden="1" customHeight="1">
      <c r="G6730" s="113"/>
      <c r="J6730" s="28">
        <f>IFERROR(VLOOKUP(TEXT(B6730,"0"),STOCK!A:H,7,0),1)</f>
        <v>1</v>
      </c>
    </row>
    <row r="6731" spans="7:10" ht="35.450000000000003" hidden="1" customHeight="1">
      <c r="G6731" s="113"/>
      <c r="J6731" s="28">
        <f>IFERROR(VLOOKUP(TEXT(B6731,"0"),STOCK!A:H,7,0),1)</f>
        <v>1</v>
      </c>
    </row>
    <row r="6732" spans="7:10" ht="35.450000000000003" hidden="1" customHeight="1">
      <c r="G6732" s="113"/>
      <c r="J6732" s="28">
        <f>IFERROR(VLOOKUP(TEXT(B6732,"0"),STOCK!A:H,7,0),1)</f>
        <v>1</v>
      </c>
    </row>
    <row r="6733" spans="7:10" ht="35.450000000000003" hidden="1" customHeight="1">
      <c r="G6733" s="113"/>
      <c r="J6733" s="28">
        <f>IFERROR(VLOOKUP(TEXT(B6733,"0"),STOCK!A:H,7,0),1)</f>
        <v>1</v>
      </c>
    </row>
    <row r="6734" spans="7:10" ht="35.450000000000003" hidden="1" customHeight="1">
      <c r="G6734" s="113"/>
      <c r="J6734" s="28">
        <f>IFERROR(VLOOKUP(TEXT(B6734,"0"),STOCK!A:H,7,0),1)</f>
        <v>1</v>
      </c>
    </row>
    <row r="6735" spans="7:10" ht="35.450000000000003" hidden="1" customHeight="1">
      <c r="G6735" s="113"/>
      <c r="J6735" s="28">
        <f>IFERROR(VLOOKUP(TEXT(B6735,"0"),STOCK!A:H,7,0),1)</f>
        <v>1</v>
      </c>
    </row>
    <row r="6736" spans="7:10" ht="35.450000000000003" hidden="1" customHeight="1">
      <c r="G6736" s="113"/>
      <c r="J6736" s="28">
        <f>IFERROR(VLOOKUP(TEXT(B6736,"0"),STOCK!A:H,7,0),1)</f>
        <v>1</v>
      </c>
    </row>
    <row r="6737" spans="7:10" ht="35.450000000000003" hidden="1" customHeight="1">
      <c r="G6737" s="113"/>
      <c r="J6737" s="28">
        <f>IFERROR(VLOOKUP(TEXT(B6737,"0"),STOCK!A:H,7,0),1)</f>
        <v>1</v>
      </c>
    </row>
    <row r="6738" spans="7:10" ht="35.450000000000003" hidden="1" customHeight="1">
      <c r="G6738" s="113"/>
      <c r="J6738" s="28">
        <f>IFERROR(VLOOKUP(TEXT(B6738,"0"),STOCK!A:H,7,0),1)</f>
        <v>1</v>
      </c>
    </row>
    <row r="6739" spans="7:10" ht="35.450000000000003" hidden="1" customHeight="1">
      <c r="G6739" s="113"/>
      <c r="J6739" s="28">
        <f>IFERROR(VLOOKUP(TEXT(B6739,"0"),STOCK!A:H,7,0),1)</f>
        <v>1</v>
      </c>
    </row>
    <row r="6740" spans="7:10" ht="35.450000000000003" hidden="1" customHeight="1">
      <c r="G6740" s="113"/>
      <c r="J6740" s="28">
        <f>IFERROR(VLOOKUP(TEXT(B6740,"0"),STOCK!A:H,7,0),1)</f>
        <v>1</v>
      </c>
    </row>
    <row r="6741" spans="7:10" ht="35.450000000000003" hidden="1" customHeight="1">
      <c r="G6741" s="113"/>
      <c r="J6741" s="28">
        <f>IFERROR(VLOOKUP(TEXT(B6741,"0"),STOCK!A:H,7,0),1)</f>
        <v>1</v>
      </c>
    </row>
    <row r="6742" spans="7:10" ht="35.450000000000003" hidden="1" customHeight="1">
      <c r="G6742" s="113"/>
      <c r="J6742" s="28">
        <f>IFERROR(VLOOKUP(TEXT(B6742,"0"),STOCK!A:H,7,0),1)</f>
        <v>1</v>
      </c>
    </row>
    <row r="6743" spans="7:10" ht="35.450000000000003" hidden="1" customHeight="1">
      <c r="G6743" s="113"/>
      <c r="J6743" s="28">
        <f>IFERROR(VLOOKUP(TEXT(B6743,"0"),STOCK!A:H,7,0),1)</f>
        <v>1</v>
      </c>
    </row>
    <row r="6744" spans="7:10" ht="35.450000000000003" hidden="1" customHeight="1">
      <c r="G6744" s="113"/>
      <c r="J6744" s="28">
        <f>IFERROR(VLOOKUP(TEXT(B6744,"0"),STOCK!A:H,7,0),1)</f>
        <v>1</v>
      </c>
    </row>
    <row r="6745" spans="7:10" ht="35.450000000000003" hidden="1" customHeight="1">
      <c r="G6745" s="113"/>
      <c r="J6745" s="28">
        <f>IFERROR(VLOOKUP(TEXT(B6745,"0"),STOCK!A:H,7,0),1)</f>
        <v>1</v>
      </c>
    </row>
    <row r="6746" spans="7:10" ht="35.450000000000003" hidden="1" customHeight="1">
      <c r="G6746" s="113"/>
      <c r="J6746" s="28">
        <f>IFERROR(VLOOKUP(TEXT(B6746,"0"),STOCK!A:H,7,0),1)</f>
        <v>1</v>
      </c>
    </row>
    <row r="6747" spans="7:10" ht="35.450000000000003" hidden="1" customHeight="1">
      <c r="G6747" s="113"/>
      <c r="J6747" s="28">
        <f>IFERROR(VLOOKUP(TEXT(B6747,"0"),STOCK!A:H,7,0),1)</f>
        <v>1</v>
      </c>
    </row>
    <row r="6748" spans="7:10" ht="35.450000000000003" hidden="1" customHeight="1">
      <c r="G6748" s="113"/>
      <c r="J6748" s="28">
        <f>IFERROR(VLOOKUP(TEXT(B6748,"0"),STOCK!A:H,7,0),1)</f>
        <v>1</v>
      </c>
    </row>
    <row r="6749" spans="7:10" ht="35.450000000000003" hidden="1" customHeight="1">
      <c r="G6749" s="113"/>
      <c r="J6749" s="28">
        <f>IFERROR(VLOOKUP(TEXT(B6749,"0"),STOCK!A:H,7,0),1)</f>
        <v>1</v>
      </c>
    </row>
    <row r="6750" spans="7:10" ht="35.450000000000003" hidden="1" customHeight="1">
      <c r="G6750" s="113"/>
      <c r="J6750" s="28">
        <f>IFERROR(VLOOKUP(TEXT(B6750,"0"),STOCK!A:H,7,0),1)</f>
        <v>1</v>
      </c>
    </row>
    <row r="6751" spans="7:10" ht="35.450000000000003" hidden="1" customHeight="1">
      <c r="G6751" s="113"/>
      <c r="J6751" s="28">
        <f>IFERROR(VLOOKUP(TEXT(B6751,"0"),STOCK!A:H,7,0),1)</f>
        <v>1</v>
      </c>
    </row>
    <row r="6752" spans="7:10" ht="35.450000000000003" hidden="1" customHeight="1">
      <c r="G6752" s="113"/>
      <c r="J6752" s="28">
        <f>IFERROR(VLOOKUP(TEXT(B6752,"0"),STOCK!A:H,7,0),1)</f>
        <v>1</v>
      </c>
    </row>
    <row r="6753" spans="7:10" ht="35.450000000000003" hidden="1" customHeight="1">
      <c r="G6753" s="113"/>
      <c r="J6753" s="28">
        <f>IFERROR(VLOOKUP(TEXT(B6753,"0"),STOCK!A:H,7,0),1)</f>
        <v>1</v>
      </c>
    </row>
    <row r="6754" spans="7:10" ht="35.450000000000003" hidden="1" customHeight="1">
      <c r="G6754" s="113"/>
      <c r="J6754" s="28">
        <f>IFERROR(VLOOKUP(TEXT(B6754,"0"),STOCK!A:H,7,0),1)</f>
        <v>1</v>
      </c>
    </row>
    <row r="6755" spans="7:10" ht="35.450000000000003" hidden="1" customHeight="1">
      <c r="G6755" s="113"/>
      <c r="J6755" s="28">
        <f>IFERROR(VLOOKUP(TEXT(B6755,"0"),STOCK!A:H,7,0),1)</f>
        <v>1</v>
      </c>
    </row>
    <row r="6756" spans="7:10" ht="35.450000000000003" hidden="1" customHeight="1">
      <c r="G6756" s="113"/>
      <c r="J6756" s="28">
        <f>IFERROR(VLOOKUP(TEXT(B6756,"0"),STOCK!A:H,7,0),1)</f>
        <v>1</v>
      </c>
    </row>
    <row r="6757" spans="7:10" ht="35.450000000000003" hidden="1" customHeight="1">
      <c r="G6757" s="113"/>
      <c r="J6757" s="28">
        <f>IFERROR(VLOOKUP(TEXT(B6757,"0"),STOCK!A:H,7,0),1)</f>
        <v>1</v>
      </c>
    </row>
    <row r="6758" spans="7:10" ht="35.450000000000003" hidden="1" customHeight="1">
      <c r="G6758" s="113"/>
      <c r="J6758" s="28">
        <f>IFERROR(VLOOKUP(TEXT(B6758,"0"),STOCK!A:H,7,0),1)</f>
        <v>1</v>
      </c>
    </row>
    <row r="6759" spans="7:10" ht="35.450000000000003" hidden="1" customHeight="1">
      <c r="G6759" s="113"/>
      <c r="J6759" s="28">
        <f>IFERROR(VLOOKUP(TEXT(B6759,"0"),STOCK!A:H,7,0),1)</f>
        <v>1</v>
      </c>
    </row>
    <row r="6760" spans="7:10" ht="35.450000000000003" hidden="1" customHeight="1">
      <c r="G6760" s="113"/>
      <c r="J6760" s="28">
        <f>IFERROR(VLOOKUP(TEXT(B6760,"0"),STOCK!A:H,7,0),1)</f>
        <v>1</v>
      </c>
    </row>
    <row r="6761" spans="7:10" ht="35.450000000000003" hidden="1" customHeight="1">
      <c r="G6761" s="113"/>
      <c r="J6761" s="28">
        <f>IFERROR(VLOOKUP(TEXT(B6761,"0"),STOCK!A:H,7,0),1)</f>
        <v>1</v>
      </c>
    </row>
    <row r="6762" spans="7:10" ht="35.450000000000003" hidden="1" customHeight="1">
      <c r="G6762" s="113"/>
      <c r="J6762" s="28">
        <f>IFERROR(VLOOKUP(TEXT(B6762,"0"),STOCK!A:H,7,0),1)</f>
        <v>1</v>
      </c>
    </row>
    <row r="6763" spans="7:10" ht="35.450000000000003" hidden="1" customHeight="1">
      <c r="G6763" s="113"/>
      <c r="J6763" s="28">
        <f>IFERROR(VLOOKUP(TEXT(B6763,"0"),STOCK!A:H,7,0),1)</f>
        <v>1</v>
      </c>
    </row>
    <row r="6764" spans="7:10" ht="35.450000000000003" hidden="1" customHeight="1">
      <c r="G6764" s="113"/>
      <c r="J6764" s="28">
        <f>IFERROR(VLOOKUP(TEXT(B6764,"0"),STOCK!A:H,7,0),1)</f>
        <v>1</v>
      </c>
    </row>
    <row r="6765" spans="7:10" ht="35.450000000000003" hidden="1" customHeight="1">
      <c r="G6765" s="113"/>
      <c r="J6765" s="28">
        <f>IFERROR(VLOOKUP(TEXT(B6765,"0"),STOCK!A:H,7,0),1)</f>
        <v>1</v>
      </c>
    </row>
    <row r="6766" spans="7:10" ht="35.450000000000003" hidden="1" customHeight="1">
      <c r="G6766" s="113"/>
      <c r="J6766" s="28">
        <f>IFERROR(VLOOKUP(TEXT(B6766,"0"),STOCK!A:H,7,0),1)</f>
        <v>1</v>
      </c>
    </row>
    <row r="6767" spans="7:10" ht="35.450000000000003" hidden="1" customHeight="1">
      <c r="G6767" s="113"/>
      <c r="J6767" s="28">
        <f>IFERROR(VLOOKUP(TEXT(B6767,"0"),STOCK!A:H,7,0),1)</f>
        <v>1</v>
      </c>
    </row>
    <row r="6768" spans="7:10" ht="35.450000000000003" hidden="1" customHeight="1">
      <c r="G6768" s="113"/>
      <c r="J6768" s="28">
        <f>IFERROR(VLOOKUP(TEXT(B6768,"0"),STOCK!A:H,7,0),1)</f>
        <v>1</v>
      </c>
    </row>
    <row r="6769" spans="7:10" ht="35.450000000000003" hidden="1" customHeight="1">
      <c r="G6769" s="113"/>
      <c r="J6769" s="28">
        <f>IFERROR(VLOOKUP(TEXT(B6769,"0"),STOCK!A:H,7,0),1)</f>
        <v>1</v>
      </c>
    </row>
    <row r="6770" spans="7:10" ht="35.450000000000003" hidden="1" customHeight="1">
      <c r="G6770" s="113"/>
      <c r="J6770" s="28">
        <f>IFERROR(VLOOKUP(TEXT(B6770,"0"),STOCK!A:H,7,0),1)</f>
        <v>1</v>
      </c>
    </row>
    <row r="6771" spans="7:10" ht="35.450000000000003" hidden="1" customHeight="1">
      <c r="G6771" s="113"/>
      <c r="J6771" s="28">
        <f>IFERROR(VLOOKUP(TEXT(B6771,"0"),STOCK!A:H,7,0),1)</f>
        <v>1</v>
      </c>
    </row>
    <row r="6772" spans="7:10" ht="35.450000000000003" hidden="1" customHeight="1">
      <c r="G6772" s="113"/>
      <c r="J6772" s="28">
        <f>IFERROR(VLOOKUP(TEXT(B6772,"0"),STOCK!A:H,7,0),1)</f>
        <v>1</v>
      </c>
    </row>
    <row r="6773" spans="7:10" ht="35.450000000000003" hidden="1" customHeight="1">
      <c r="G6773" s="113"/>
      <c r="J6773" s="28">
        <f>IFERROR(VLOOKUP(TEXT(B6773,"0"),STOCK!A:H,7,0),1)</f>
        <v>1</v>
      </c>
    </row>
    <row r="6774" spans="7:10" ht="35.450000000000003" hidden="1" customHeight="1">
      <c r="G6774" s="113"/>
      <c r="J6774" s="28">
        <f>IFERROR(VLOOKUP(TEXT(B6774,"0"),STOCK!A:H,7,0),1)</f>
        <v>1</v>
      </c>
    </row>
    <row r="6775" spans="7:10" ht="35.450000000000003" hidden="1" customHeight="1">
      <c r="G6775" s="113"/>
      <c r="J6775" s="28">
        <f>IFERROR(VLOOKUP(TEXT(B6775,"0"),STOCK!A:H,7,0),1)</f>
        <v>1</v>
      </c>
    </row>
    <row r="6776" spans="7:10" ht="35.450000000000003" hidden="1" customHeight="1">
      <c r="G6776" s="113"/>
      <c r="J6776" s="28">
        <f>IFERROR(VLOOKUP(TEXT(B6776,"0"),STOCK!A:H,7,0),1)</f>
        <v>1</v>
      </c>
    </row>
    <row r="6777" spans="7:10" ht="35.450000000000003" hidden="1" customHeight="1">
      <c r="G6777" s="113"/>
      <c r="J6777" s="28">
        <f>IFERROR(VLOOKUP(TEXT(B6777,"0"),STOCK!A:H,7,0),1)</f>
        <v>1</v>
      </c>
    </row>
    <row r="6778" spans="7:10" ht="35.450000000000003" hidden="1" customHeight="1">
      <c r="G6778" s="113"/>
      <c r="J6778" s="28">
        <f>IFERROR(VLOOKUP(TEXT(B6778,"0"),STOCK!A:H,7,0),1)</f>
        <v>1</v>
      </c>
    </row>
    <row r="6779" spans="7:10" ht="35.450000000000003" hidden="1" customHeight="1">
      <c r="G6779" s="113"/>
      <c r="J6779" s="28">
        <f>IFERROR(VLOOKUP(TEXT(B6779,"0"),STOCK!A:H,7,0),1)</f>
        <v>1</v>
      </c>
    </row>
    <row r="6780" spans="7:10" ht="35.450000000000003" hidden="1" customHeight="1">
      <c r="G6780" s="113"/>
      <c r="J6780" s="28">
        <f>IFERROR(VLOOKUP(TEXT(B6780,"0"),STOCK!A:H,7,0),1)</f>
        <v>1</v>
      </c>
    </row>
    <row r="6781" spans="7:10" ht="35.450000000000003" hidden="1" customHeight="1">
      <c r="G6781" s="113"/>
      <c r="J6781" s="28">
        <f>IFERROR(VLOOKUP(TEXT(B6781,"0"),STOCK!A:H,7,0),1)</f>
        <v>1</v>
      </c>
    </row>
    <row r="6782" spans="7:10" ht="35.450000000000003" hidden="1" customHeight="1">
      <c r="G6782" s="113"/>
      <c r="J6782" s="28">
        <f>IFERROR(VLOOKUP(TEXT(B6782,"0"),STOCK!A:H,7,0),1)</f>
        <v>1</v>
      </c>
    </row>
    <row r="6783" spans="7:10" ht="35.450000000000003" hidden="1" customHeight="1">
      <c r="G6783" s="113"/>
      <c r="J6783" s="28">
        <f>IFERROR(VLOOKUP(TEXT(B6783,"0"),STOCK!A:H,7,0),1)</f>
        <v>1</v>
      </c>
    </row>
    <row r="6784" spans="7:10" ht="35.450000000000003" hidden="1" customHeight="1">
      <c r="G6784" s="113"/>
      <c r="J6784" s="28">
        <f>IFERROR(VLOOKUP(TEXT(B6784,"0"),STOCK!A:H,7,0),1)</f>
        <v>1</v>
      </c>
    </row>
    <row r="6785" spans="7:10" ht="35.450000000000003" hidden="1" customHeight="1">
      <c r="G6785" s="113"/>
      <c r="J6785" s="28">
        <f>IFERROR(VLOOKUP(TEXT(B6785,"0"),STOCK!A:H,7,0),1)</f>
        <v>1</v>
      </c>
    </row>
    <row r="6786" spans="7:10" ht="35.450000000000003" hidden="1" customHeight="1">
      <c r="G6786" s="113"/>
      <c r="J6786" s="28">
        <f>IFERROR(VLOOKUP(TEXT(B6786,"0"),STOCK!A:H,7,0),1)</f>
        <v>1</v>
      </c>
    </row>
    <row r="6787" spans="7:10" ht="35.450000000000003" hidden="1" customHeight="1">
      <c r="G6787" s="113"/>
      <c r="J6787" s="28">
        <f>IFERROR(VLOOKUP(TEXT(B6787,"0"),STOCK!A:H,7,0),1)</f>
        <v>1</v>
      </c>
    </row>
    <row r="6788" spans="7:10" ht="35.450000000000003" hidden="1" customHeight="1">
      <c r="G6788" s="113"/>
      <c r="J6788" s="28">
        <f>IFERROR(VLOOKUP(TEXT(B6788,"0"),STOCK!A:H,7,0),1)</f>
        <v>1</v>
      </c>
    </row>
    <row r="6789" spans="7:10" ht="35.450000000000003" hidden="1" customHeight="1">
      <c r="G6789" s="113"/>
      <c r="J6789" s="28">
        <f>IFERROR(VLOOKUP(TEXT(B6789,"0"),STOCK!A:H,7,0),1)</f>
        <v>1</v>
      </c>
    </row>
    <row r="6790" spans="7:10" ht="35.450000000000003" hidden="1" customHeight="1">
      <c r="G6790" s="113"/>
      <c r="J6790" s="28">
        <f>IFERROR(VLOOKUP(TEXT(B6790,"0"),STOCK!A:H,7,0),1)</f>
        <v>1</v>
      </c>
    </row>
    <row r="6791" spans="7:10" ht="35.450000000000003" hidden="1" customHeight="1">
      <c r="G6791" s="113"/>
      <c r="J6791" s="28">
        <f>IFERROR(VLOOKUP(TEXT(B6791,"0"),STOCK!A:H,7,0),1)</f>
        <v>1</v>
      </c>
    </row>
    <row r="6792" spans="7:10" ht="35.450000000000003" hidden="1" customHeight="1">
      <c r="G6792" s="113"/>
      <c r="J6792" s="28">
        <f>IFERROR(VLOOKUP(TEXT(B6792,"0"),STOCK!A:H,7,0),1)</f>
        <v>1</v>
      </c>
    </row>
    <row r="6793" spans="7:10" ht="35.450000000000003" hidden="1" customHeight="1">
      <c r="G6793" s="113"/>
      <c r="J6793" s="28">
        <f>IFERROR(VLOOKUP(TEXT(B6793,"0"),STOCK!A:H,7,0),1)</f>
        <v>1</v>
      </c>
    </row>
    <row r="6794" spans="7:10" ht="35.450000000000003" hidden="1" customHeight="1">
      <c r="G6794" s="113"/>
      <c r="J6794" s="28">
        <f>IFERROR(VLOOKUP(TEXT(B6794,"0"),STOCK!A:H,7,0),1)</f>
        <v>1</v>
      </c>
    </row>
    <row r="6795" spans="7:10" ht="35.450000000000003" hidden="1" customHeight="1">
      <c r="G6795" s="113"/>
      <c r="J6795" s="28">
        <f>IFERROR(VLOOKUP(TEXT(B6795,"0"),STOCK!A:H,7,0),1)</f>
        <v>1</v>
      </c>
    </row>
    <row r="6796" spans="7:10" ht="35.450000000000003" hidden="1" customHeight="1">
      <c r="G6796" s="113"/>
      <c r="J6796" s="28">
        <f>IFERROR(VLOOKUP(TEXT(B6796,"0"),STOCK!A:H,7,0),1)</f>
        <v>1</v>
      </c>
    </row>
    <row r="6797" spans="7:10" ht="35.450000000000003" hidden="1" customHeight="1">
      <c r="G6797" s="113"/>
      <c r="J6797" s="28">
        <f>IFERROR(VLOOKUP(TEXT(B6797,"0"),STOCK!A:H,7,0),1)</f>
        <v>1</v>
      </c>
    </row>
    <row r="6798" spans="7:10" ht="35.450000000000003" hidden="1" customHeight="1">
      <c r="G6798" s="113"/>
      <c r="J6798" s="28">
        <f>IFERROR(VLOOKUP(TEXT(B6798,"0"),STOCK!A:H,7,0),1)</f>
        <v>1</v>
      </c>
    </row>
    <row r="6799" spans="7:10" ht="35.450000000000003" hidden="1" customHeight="1">
      <c r="G6799" s="113"/>
      <c r="J6799" s="28">
        <f>IFERROR(VLOOKUP(TEXT(B6799,"0"),STOCK!A:H,7,0),1)</f>
        <v>1</v>
      </c>
    </row>
    <row r="6800" spans="7:10" ht="35.450000000000003" hidden="1" customHeight="1">
      <c r="G6800" s="113"/>
      <c r="J6800" s="28">
        <f>IFERROR(VLOOKUP(TEXT(B6800,"0"),STOCK!A:H,7,0),1)</f>
        <v>1</v>
      </c>
    </row>
    <row r="6801" spans="7:10" ht="35.450000000000003" hidden="1" customHeight="1">
      <c r="G6801" s="113"/>
      <c r="J6801" s="28">
        <f>IFERROR(VLOOKUP(TEXT(B6801,"0"),STOCK!A:H,7,0),1)</f>
        <v>1</v>
      </c>
    </row>
    <row r="6802" spans="7:10" ht="35.450000000000003" hidden="1" customHeight="1">
      <c r="G6802" s="113"/>
      <c r="J6802" s="28">
        <f>IFERROR(VLOOKUP(TEXT(B6802,"0"),STOCK!A:H,7,0),1)</f>
        <v>1</v>
      </c>
    </row>
    <row r="6803" spans="7:10" ht="35.450000000000003" hidden="1" customHeight="1">
      <c r="G6803" s="113"/>
      <c r="J6803" s="28">
        <f>IFERROR(VLOOKUP(TEXT(B6803,"0"),STOCK!A:H,7,0),1)</f>
        <v>1</v>
      </c>
    </row>
    <row r="6804" spans="7:10" ht="35.450000000000003" hidden="1" customHeight="1">
      <c r="G6804" s="113"/>
      <c r="J6804" s="28">
        <f>IFERROR(VLOOKUP(TEXT(B6804,"0"),STOCK!A:H,7,0),1)</f>
        <v>1</v>
      </c>
    </row>
    <row r="6805" spans="7:10" ht="35.450000000000003" hidden="1" customHeight="1">
      <c r="G6805" s="113"/>
      <c r="J6805" s="28">
        <f>IFERROR(VLOOKUP(TEXT(B6805,"0"),STOCK!A:H,7,0),1)</f>
        <v>1</v>
      </c>
    </row>
    <row r="6806" spans="7:10" ht="35.450000000000003" hidden="1" customHeight="1">
      <c r="G6806" s="113"/>
      <c r="J6806" s="28">
        <f>IFERROR(VLOOKUP(TEXT(B6806,"0"),STOCK!A:H,7,0),1)</f>
        <v>1</v>
      </c>
    </row>
    <row r="6807" spans="7:10" ht="35.450000000000003" hidden="1" customHeight="1">
      <c r="G6807" s="113"/>
      <c r="J6807" s="28">
        <f>IFERROR(VLOOKUP(TEXT(B6807,"0"),STOCK!A:H,7,0),1)</f>
        <v>1</v>
      </c>
    </row>
    <row r="6808" spans="7:10" ht="35.450000000000003" hidden="1" customHeight="1">
      <c r="G6808" s="113"/>
      <c r="J6808" s="28">
        <f>IFERROR(VLOOKUP(TEXT(B6808,"0"),STOCK!A:H,7,0),1)</f>
        <v>1</v>
      </c>
    </row>
    <row r="6809" spans="7:10" ht="35.450000000000003" hidden="1" customHeight="1">
      <c r="G6809" s="113"/>
      <c r="J6809" s="28">
        <f>IFERROR(VLOOKUP(TEXT(B6809,"0"),STOCK!A:H,7,0),1)</f>
        <v>1</v>
      </c>
    </row>
    <row r="6810" spans="7:10" ht="35.450000000000003" hidden="1" customHeight="1">
      <c r="G6810" s="113"/>
      <c r="J6810" s="28">
        <f>IFERROR(VLOOKUP(TEXT(B6810,"0"),STOCK!A:H,7,0),1)</f>
        <v>1</v>
      </c>
    </row>
    <row r="6811" spans="7:10" ht="35.450000000000003" hidden="1" customHeight="1">
      <c r="G6811" s="113"/>
      <c r="J6811" s="28">
        <f>IFERROR(VLOOKUP(TEXT(B6811,"0"),STOCK!A:H,7,0),1)</f>
        <v>1</v>
      </c>
    </row>
    <row r="6812" spans="7:10" ht="35.450000000000003" hidden="1" customHeight="1">
      <c r="G6812" s="113"/>
      <c r="J6812" s="28">
        <f>IFERROR(VLOOKUP(TEXT(B6812,"0"),STOCK!A:H,7,0),1)</f>
        <v>1</v>
      </c>
    </row>
    <row r="6813" spans="7:10" ht="35.450000000000003" hidden="1" customHeight="1">
      <c r="G6813" s="113"/>
      <c r="J6813" s="28">
        <f>IFERROR(VLOOKUP(TEXT(B6813,"0"),STOCK!A:H,7,0),1)</f>
        <v>1</v>
      </c>
    </row>
    <row r="6814" spans="7:10" ht="35.450000000000003" hidden="1" customHeight="1">
      <c r="G6814" s="113"/>
      <c r="J6814" s="28">
        <f>IFERROR(VLOOKUP(TEXT(B6814,"0"),STOCK!A:H,7,0),1)</f>
        <v>1</v>
      </c>
    </row>
    <row r="6815" spans="7:10" ht="35.450000000000003" hidden="1" customHeight="1">
      <c r="G6815" s="113"/>
      <c r="J6815" s="28">
        <f>IFERROR(VLOOKUP(TEXT(B6815,"0"),STOCK!A:H,7,0),1)</f>
        <v>1</v>
      </c>
    </row>
    <row r="6816" spans="7:10" ht="35.450000000000003" hidden="1" customHeight="1">
      <c r="G6816" s="113"/>
      <c r="J6816" s="28">
        <f>IFERROR(VLOOKUP(TEXT(B6816,"0"),STOCK!A:H,7,0),1)</f>
        <v>1</v>
      </c>
    </row>
    <row r="6817" spans="7:10" ht="35.450000000000003" hidden="1" customHeight="1">
      <c r="G6817" s="113"/>
      <c r="J6817" s="28">
        <f>IFERROR(VLOOKUP(TEXT(B6817,"0"),STOCK!A:H,7,0),1)</f>
        <v>1</v>
      </c>
    </row>
    <row r="6818" spans="7:10" ht="35.450000000000003" hidden="1" customHeight="1">
      <c r="G6818" s="113"/>
      <c r="J6818" s="28">
        <f>IFERROR(VLOOKUP(TEXT(B6818,"0"),STOCK!A:H,7,0),1)</f>
        <v>1</v>
      </c>
    </row>
    <row r="6819" spans="7:10" ht="35.450000000000003" hidden="1" customHeight="1">
      <c r="G6819" s="113"/>
      <c r="J6819" s="28">
        <f>IFERROR(VLOOKUP(TEXT(B6819,"0"),STOCK!A:H,7,0),1)</f>
        <v>1</v>
      </c>
    </row>
    <row r="6820" spans="7:10" ht="35.450000000000003" hidden="1" customHeight="1">
      <c r="G6820" s="113"/>
      <c r="J6820" s="28">
        <f>IFERROR(VLOOKUP(TEXT(B6820,"0"),STOCK!A:H,7,0),1)</f>
        <v>1</v>
      </c>
    </row>
    <row r="6821" spans="7:10" ht="35.450000000000003" hidden="1" customHeight="1">
      <c r="G6821" s="113"/>
      <c r="J6821" s="28">
        <f>IFERROR(VLOOKUP(TEXT(B6821,"0"),STOCK!A:H,7,0),1)</f>
        <v>1</v>
      </c>
    </row>
    <row r="6822" spans="7:10" ht="35.450000000000003" hidden="1" customHeight="1">
      <c r="G6822" s="113"/>
      <c r="J6822" s="28">
        <f>IFERROR(VLOOKUP(TEXT(B6822,"0"),STOCK!A:H,7,0),1)</f>
        <v>1</v>
      </c>
    </row>
    <row r="6823" spans="7:10" ht="35.450000000000003" hidden="1" customHeight="1">
      <c r="G6823" s="113"/>
      <c r="J6823" s="28">
        <f>IFERROR(VLOOKUP(TEXT(B6823,"0"),STOCK!A:H,7,0),1)</f>
        <v>1</v>
      </c>
    </row>
    <row r="6824" spans="7:10" ht="35.450000000000003" hidden="1" customHeight="1">
      <c r="G6824" s="113"/>
      <c r="J6824" s="28">
        <f>IFERROR(VLOOKUP(TEXT(B6824,"0"),STOCK!A:H,7,0),1)</f>
        <v>1</v>
      </c>
    </row>
    <row r="6825" spans="7:10" ht="35.450000000000003" hidden="1" customHeight="1">
      <c r="G6825" s="113"/>
      <c r="J6825" s="28">
        <f>IFERROR(VLOOKUP(TEXT(B6825,"0"),STOCK!A:H,7,0),1)</f>
        <v>1</v>
      </c>
    </row>
    <row r="6826" spans="7:10" ht="35.450000000000003" hidden="1" customHeight="1">
      <c r="G6826" s="113"/>
      <c r="J6826" s="28">
        <f>IFERROR(VLOOKUP(TEXT(B6826,"0"),STOCK!A:H,7,0),1)</f>
        <v>1</v>
      </c>
    </row>
    <row r="6827" spans="7:10" ht="35.450000000000003" hidden="1" customHeight="1">
      <c r="G6827" s="113"/>
      <c r="J6827" s="28">
        <f>IFERROR(VLOOKUP(TEXT(B6827,"0"),STOCK!A:H,7,0),1)</f>
        <v>1</v>
      </c>
    </row>
    <row r="6828" spans="7:10" ht="35.450000000000003" hidden="1" customHeight="1">
      <c r="G6828" s="113"/>
      <c r="J6828" s="28">
        <f>IFERROR(VLOOKUP(TEXT(B6828,"0"),STOCK!A:H,7,0),1)</f>
        <v>1</v>
      </c>
    </row>
    <row r="6829" spans="7:10" ht="35.450000000000003" hidden="1" customHeight="1">
      <c r="G6829" s="113"/>
      <c r="J6829" s="28">
        <f>IFERROR(VLOOKUP(TEXT(B6829,"0"),STOCK!A:H,7,0),1)</f>
        <v>1</v>
      </c>
    </row>
    <row r="6830" spans="7:10" ht="35.450000000000003" hidden="1" customHeight="1">
      <c r="G6830" s="113"/>
      <c r="J6830" s="28">
        <f>IFERROR(VLOOKUP(TEXT(B6830,"0"),STOCK!A:H,7,0),1)</f>
        <v>1</v>
      </c>
    </row>
    <row r="6831" spans="7:10" ht="35.450000000000003" hidden="1" customHeight="1">
      <c r="G6831" s="113"/>
      <c r="J6831" s="28">
        <f>IFERROR(VLOOKUP(TEXT(B6831,"0"),STOCK!A:H,7,0),1)</f>
        <v>1</v>
      </c>
    </row>
    <row r="6832" spans="7:10" ht="35.450000000000003" hidden="1" customHeight="1">
      <c r="G6832" s="113"/>
      <c r="J6832" s="28">
        <f>IFERROR(VLOOKUP(TEXT(B6832,"0"),STOCK!A:H,7,0),1)</f>
        <v>1</v>
      </c>
    </row>
    <row r="6833" spans="7:10" ht="35.450000000000003" hidden="1" customHeight="1">
      <c r="G6833" s="113"/>
      <c r="J6833" s="28">
        <f>IFERROR(VLOOKUP(TEXT(B6833,"0"),STOCK!A:H,7,0),1)</f>
        <v>1</v>
      </c>
    </row>
    <row r="6834" spans="7:10" ht="35.450000000000003" hidden="1" customHeight="1">
      <c r="G6834" s="113"/>
      <c r="J6834" s="28">
        <f>IFERROR(VLOOKUP(TEXT(B6834,"0"),STOCK!A:H,7,0),1)</f>
        <v>1</v>
      </c>
    </row>
    <row r="6835" spans="7:10" ht="35.450000000000003" hidden="1" customHeight="1">
      <c r="G6835" s="113"/>
      <c r="J6835" s="28">
        <f>IFERROR(VLOOKUP(TEXT(B6835,"0"),STOCK!A:H,7,0),1)</f>
        <v>1</v>
      </c>
    </row>
    <row r="6836" spans="7:10" ht="35.450000000000003" hidden="1" customHeight="1">
      <c r="G6836" s="113"/>
      <c r="J6836" s="28">
        <f>IFERROR(VLOOKUP(TEXT(B6836,"0"),STOCK!A:H,7,0),1)</f>
        <v>1</v>
      </c>
    </row>
    <row r="6837" spans="7:10" ht="35.450000000000003" hidden="1" customHeight="1">
      <c r="G6837" s="113"/>
      <c r="J6837" s="28">
        <f>IFERROR(VLOOKUP(TEXT(B6837,"0"),STOCK!A:H,7,0),1)</f>
        <v>1</v>
      </c>
    </row>
    <row r="6838" spans="7:10" ht="35.450000000000003" hidden="1" customHeight="1">
      <c r="G6838" s="113"/>
      <c r="J6838" s="28">
        <f>IFERROR(VLOOKUP(TEXT(B6838,"0"),STOCK!A:H,7,0),1)</f>
        <v>1</v>
      </c>
    </row>
    <row r="6839" spans="7:10" ht="35.450000000000003" hidden="1" customHeight="1">
      <c r="G6839" s="113"/>
      <c r="J6839" s="28">
        <f>IFERROR(VLOOKUP(TEXT(B6839,"0"),STOCK!A:H,7,0),1)</f>
        <v>1</v>
      </c>
    </row>
    <row r="6840" spans="7:10" ht="35.450000000000003" hidden="1" customHeight="1">
      <c r="G6840" s="113"/>
      <c r="J6840" s="28">
        <f>IFERROR(VLOOKUP(TEXT(B6840,"0"),STOCK!A:H,7,0),1)</f>
        <v>1</v>
      </c>
    </row>
    <row r="6841" spans="7:10" ht="35.450000000000003" hidden="1" customHeight="1">
      <c r="G6841" s="113"/>
      <c r="J6841" s="28">
        <f>IFERROR(VLOOKUP(TEXT(B6841,"0"),STOCK!A:H,7,0),1)</f>
        <v>1</v>
      </c>
    </row>
    <row r="6842" spans="7:10" ht="35.450000000000003" hidden="1" customHeight="1">
      <c r="G6842" s="113"/>
      <c r="J6842" s="28">
        <f>IFERROR(VLOOKUP(TEXT(B6842,"0"),STOCK!A:H,7,0),1)</f>
        <v>1</v>
      </c>
    </row>
    <row r="6843" spans="7:10" ht="35.450000000000003" hidden="1" customHeight="1">
      <c r="G6843" s="113"/>
      <c r="J6843" s="28">
        <f>IFERROR(VLOOKUP(TEXT(B6843,"0"),STOCK!A:H,7,0),1)</f>
        <v>1</v>
      </c>
    </row>
    <row r="6844" spans="7:10" ht="35.450000000000003" hidden="1" customHeight="1">
      <c r="G6844" s="113"/>
      <c r="J6844" s="28">
        <f>IFERROR(VLOOKUP(TEXT(B6844,"0"),STOCK!A:H,7,0),1)</f>
        <v>1</v>
      </c>
    </row>
    <row r="6845" spans="7:10" ht="35.450000000000003" hidden="1" customHeight="1">
      <c r="G6845" s="113"/>
      <c r="J6845" s="28">
        <f>IFERROR(VLOOKUP(TEXT(B6845,"0"),STOCK!A:H,7,0),1)</f>
        <v>1</v>
      </c>
    </row>
    <row r="6846" spans="7:10" ht="35.450000000000003" hidden="1" customHeight="1">
      <c r="G6846" s="113"/>
      <c r="J6846" s="28">
        <f>IFERROR(VLOOKUP(TEXT(B6846,"0"),STOCK!A:H,7,0),1)</f>
        <v>1</v>
      </c>
    </row>
    <row r="6847" spans="7:10" ht="35.450000000000003" hidden="1" customHeight="1">
      <c r="G6847" s="113"/>
      <c r="J6847" s="28">
        <f>IFERROR(VLOOKUP(TEXT(B6847,"0"),STOCK!A:H,7,0),1)</f>
        <v>1</v>
      </c>
    </row>
    <row r="6848" spans="7:10" ht="35.450000000000003" hidden="1" customHeight="1">
      <c r="G6848" s="113"/>
      <c r="J6848" s="28">
        <f>IFERROR(VLOOKUP(TEXT(B6848,"0"),STOCK!A:H,7,0),1)</f>
        <v>1</v>
      </c>
    </row>
    <row r="6849" spans="7:10" ht="35.450000000000003" hidden="1" customHeight="1">
      <c r="G6849" s="113"/>
      <c r="J6849" s="28">
        <f>IFERROR(VLOOKUP(TEXT(B6849,"0"),STOCK!A:H,7,0),1)</f>
        <v>1</v>
      </c>
    </row>
    <row r="6850" spans="7:10" ht="35.450000000000003" hidden="1" customHeight="1">
      <c r="G6850" s="113"/>
      <c r="J6850" s="28">
        <f>IFERROR(VLOOKUP(TEXT(B6850,"0"),STOCK!A:H,7,0),1)</f>
        <v>1</v>
      </c>
    </row>
    <row r="6851" spans="7:10" ht="35.450000000000003" hidden="1" customHeight="1">
      <c r="G6851" s="113"/>
      <c r="J6851" s="28">
        <f>IFERROR(VLOOKUP(TEXT(B6851,"0"),STOCK!A:H,7,0),1)</f>
        <v>1</v>
      </c>
    </row>
    <row r="6852" spans="7:10" ht="35.450000000000003" hidden="1" customHeight="1">
      <c r="G6852" s="113"/>
      <c r="J6852" s="28">
        <f>IFERROR(VLOOKUP(TEXT(B6852,"0"),STOCK!A:H,7,0),1)</f>
        <v>1</v>
      </c>
    </row>
    <row r="6853" spans="7:10" ht="35.450000000000003" hidden="1" customHeight="1">
      <c r="G6853" s="113"/>
      <c r="J6853" s="28">
        <f>IFERROR(VLOOKUP(TEXT(B6853,"0"),STOCK!A:H,7,0),1)</f>
        <v>1</v>
      </c>
    </row>
    <row r="6854" spans="7:10" ht="35.450000000000003" hidden="1" customHeight="1">
      <c r="G6854" s="113"/>
      <c r="J6854" s="28">
        <f>IFERROR(VLOOKUP(TEXT(B6854,"0"),STOCK!A:H,7,0),1)</f>
        <v>1</v>
      </c>
    </row>
    <row r="6855" spans="7:10" ht="35.450000000000003" hidden="1" customHeight="1">
      <c r="G6855" s="113"/>
      <c r="J6855" s="28">
        <f>IFERROR(VLOOKUP(TEXT(B6855,"0"),STOCK!A:H,7,0),1)</f>
        <v>1</v>
      </c>
    </row>
    <row r="6856" spans="7:10" ht="35.450000000000003" hidden="1" customHeight="1">
      <c r="G6856" s="113"/>
      <c r="J6856" s="28">
        <f>IFERROR(VLOOKUP(TEXT(B6856,"0"),STOCK!A:H,7,0),1)</f>
        <v>1</v>
      </c>
    </row>
    <row r="6857" spans="7:10" ht="35.450000000000003" hidden="1" customHeight="1">
      <c r="G6857" s="113"/>
      <c r="J6857" s="28">
        <f>IFERROR(VLOOKUP(TEXT(B6857,"0"),STOCK!A:H,7,0),1)</f>
        <v>1</v>
      </c>
    </row>
    <row r="6858" spans="7:10" ht="35.450000000000003" hidden="1" customHeight="1">
      <c r="G6858" s="113"/>
      <c r="J6858" s="28">
        <f>IFERROR(VLOOKUP(TEXT(B6858,"0"),STOCK!A:H,7,0),1)</f>
        <v>1</v>
      </c>
    </row>
    <row r="6859" spans="7:10" ht="35.450000000000003" hidden="1" customHeight="1">
      <c r="G6859" s="113"/>
      <c r="J6859" s="28">
        <f>IFERROR(VLOOKUP(TEXT(B6859,"0"),STOCK!A:H,7,0),1)</f>
        <v>1</v>
      </c>
    </row>
    <row r="6860" spans="7:10" ht="35.450000000000003" hidden="1" customHeight="1">
      <c r="G6860" s="113"/>
      <c r="J6860" s="28">
        <f>IFERROR(VLOOKUP(TEXT(B6860,"0"),STOCK!A:H,7,0),1)</f>
        <v>1</v>
      </c>
    </row>
    <row r="6861" spans="7:10" ht="35.450000000000003" hidden="1" customHeight="1">
      <c r="G6861" s="113"/>
      <c r="J6861" s="28">
        <f>IFERROR(VLOOKUP(TEXT(B6861,"0"),STOCK!A:H,7,0),1)</f>
        <v>1</v>
      </c>
    </row>
    <row r="6862" spans="7:10" ht="35.450000000000003" hidden="1" customHeight="1">
      <c r="G6862" s="113"/>
      <c r="J6862" s="28">
        <f>IFERROR(VLOOKUP(TEXT(B6862,"0"),STOCK!A:H,7,0),1)</f>
        <v>1</v>
      </c>
    </row>
    <row r="6863" spans="7:10" ht="35.450000000000003" hidden="1" customHeight="1">
      <c r="G6863" s="113"/>
      <c r="J6863" s="28">
        <f>IFERROR(VLOOKUP(TEXT(B6863,"0"),STOCK!A:H,7,0),1)</f>
        <v>1</v>
      </c>
    </row>
    <row r="6864" spans="7:10" ht="35.450000000000003" hidden="1" customHeight="1">
      <c r="G6864" s="113"/>
      <c r="J6864" s="28">
        <f>IFERROR(VLOOKUP(TEXT(B6864,"0"),STOCK!A:H,7,0),1)</f>
        <v>1</v>
      </c>
    </row>
    <row r="6865" spans="7:10" ht="35.450000000000003" hidden="1" customHeight="1">
      <c r="G6865" s="113"/>
      <c r="J6865" s="28">
        <f>IFERROR(VLOOKUP(TEXT(B6865,"0"),STOCK!A:H,7,0),1)</f>
        <v>1</v>
      </c>
    </row>
    <row r="6866" spans="7:10" ht="35.450000000000003" hidden="1" customHeight="1">
      <c r="G6866" s="113"/>
      <c r="J6866" s="28">
        <f>IFERROR(VLOOKUP(TEXT(B6866,"0"),STOCK!A:H,7,0),1)</f>
        <v>1</v>
      </c>
    </row>
    <row r="6867" spans="7:10" ht="35.450000000000003" hidden="1" customHeight="1">
      <c r="G6867" s="113"/>
      <c r="J6867" s="28">
        <f>IFERROR(VLOOKUP(TEXT(B6867,"0"),STOCK!A:H,7,0),1)</f>
        <v>1</v>
      </c>
    </row>
    <row r="6868" spans="7:10" ht="35.450000000000003" hidden="1" customHeight="1">
      <c r="G6868" s="113"/>
      <c r="J6868" s="28">
        <f>IFERROR(VLOOKUP(TEXT(B6868,"0"),STOCK!A:H,7,0),1)</f>
        <v>1</v>
      </c>
    </row>
    <row r="6869" spans="7:10" ht="35.450000000000003" hidden="1" customHeight="1">
      <c r="G6869" s="113"/>
      <c r="J6869" s="28">
        <f>IFERROR(VLOOKUP(TEXT(B6869,"0"),STOCK!A:H,7,0),1)</f>
        <v>1</v>
      </c>
    </row>
    <row r="6870" spans="7:10" ht="35.450000000000003" hidden="1" customHeight="1">
      <c r="G6870" s="113"/>
      <c r="J6870" s="28">
        <f>IFERROR(VLOOKUP(TEXT(B6870,"0"),STOCK!A:H,7,0),1)</f>
        <v>1</v>
      </c>
    </row>
    <row r="6871" spans="7:10" ht="35.450000000000003" hidden="1" customHeight="1">
      <c r="G6871" s="113"/>
      <c r="J6871" s="28">
        <f>IFERROR(VLOOKUP(TEXT(B6871,"0"),STOCK!A:H,7,0),1)</f>
        <v>1</v>
      </c>
    </row>
    <row r="6872" spans="7:10" ht="35.450000000000003" hidden="1" customHeight="1">
      <c r="G6872" s="113"/>
      <c r="J6872" s="28">
        <f>IFERROR(VLOOKUP(TEXT(B6872,"0"),STOCK!A:H,7,0),1)</f>
        <v>1</v>
      </c>
    </row>
    <row r="6873" spans="7:10" ht="35.450000000000003" hidden="1" customHeight="1">
      <c r="G6873" s="113"/>
      <c r="J6873" s="28">
        <f>IFERROR(VLOOKUP(TEXT(B6873,"0"),STOCK!A:H,7,0),1)</f>
        <v>1</v>
      </c>
    </row>
    <row r="6874" spans="7:10" ht="35.450000000000003" hidden="1" customHeight="1">
      <c r="G6874" s="113"/>
      <c r="J6874" s="28">
        <f>IFERROR(VLOOKUP(TEXT(B6874,"0"),STOCK!A:H,7,0),1)</f>
        <v>1</v>
      </c>
    </row>
    <row r="6875" spans="7:10" ht="35.450000000000003" hidden="1" customHeight="1">
      <c r="G6875" s="113"/>
      <c r="J6875" s="28">
        <f>IFERROR(VLOOKUP(TEXT(B6875,"0"),STOCK!A:H,7,0),1)</f>
        <v>1</v>
      </c>
    </row>
    <row r="6876" spans="7:10" ht="35.450000000000003" hidden="1" customHeight="1">
      <c r="G6876" s="113"/>
      <c r="J6876" s="28">
        <f>IFERROR(VLOOKUP(TEXT(B6876,"0"),STOCK!A:H,7,0),1)</f>
        <v>1</v>
      </c>
    </row>
    <row r="6877" spans="7:10" ht="35.450000000000003" hidden="1" customHeight="1">
      <c r="G6877" s="113"/>
      <c r="J6877" s="28">
        <f>IFERROR(VLOOKUP(TEXT(B6877,"0"),STOCK!A:H,7,0),1)</f>
        <v>1</v>
      </c>
    </row>
    <row r="6878" spans="7:10" ht="35.450000000000003" hidden="1" customHeight="1">
      <c r="G6878" s="113"/>
      <c r="J6878" s="28">
        <f>IFERROR(VLOOKUP(TEXT(B6878,"0"),STOCK!A:H,7,0),1)</f>
        <v>1</v>
      </c>
    </row>
    <row r="6879" spans="7:10" ht="35.450000000000003" hidden="1" customHeight="1">
      <c r="G6879" s="113"/>
      <c r="J6879" s="28">
        <f>IFERROR(VLOOKUP(TEXT(B6879,"0"),STOCK!A:H,7,0),1)</f>
        <v>1</v>
      </c>
    </row>
    <row r="6880" spans="7:10" ht="35.450000000000003" hidden="1" customHeight="1">
      <c r="G6880" s="113"/>
      <c r="J6880" s="28">
        <f>IFERROR(VLOOKUP(TEXT(B6880,"0"),STOCK!A:H,7,0),1)</f>
        <v>1</v>
      </c>
    </row>
    <row r="6881" spans="7:10" ht="35.450000000000003" hidden="1" customHeight="1">
      <c r="G6881" s="113"/>
      <c r="J6881" s="28">
        <f>IFERROR(VLOOKUP(TEXT(B6881,"0"),STOCK!A:H,7,0),1)</f>
        <v>1</v>
      </c>
    </row>
    <row r="6882" spans="7:10" ht="35.450000000000003" hidden="1" customHeight="1">
      <c r="G6882" s="113"/>
      <c r="J6882" s="28">
        <f>IFERROR(VLOOKUP(TEXT(B6882,"0"),STOCK!A:H,7,0),1)</f>
        <v>1</v>
      </c>
    </row>
    <row r="6883" spans="7:10" ht="35.450000000000003" hidden="1" customHeight="1">
      <c r="G6883" s="113"/>
      <c r="J6883" s="28">
        <f>IFERROR(VLOOKUP(TEXT(B6883,"0"),STOCK!A:H,7,0),1)</f>
        <v>1</v>
      </c>
    </row>
    <row r="6884" spans="7:10" ht="35.450000000000003" hidden="1" customHeight="1">
      <c r="G6884" s="113"/>
      <c r="J6884" s="28">
        <f>IFERROR(VLOOKUP(TEXT(B6884,"0"),STOCK!A:H,7,0),1)</f>
        <v>1</v>
      </c>
    </row>
    <row r="6885" spans="7:10" ht="35.450000000000003" hidden="1" customHeight="1">
      <c r="G6885" s="113"/>
      <c r="J6885" s="28">
        <f>IFERROR(VLOOKUP(TEXT(B6885,"0"),STOCK!A:H,7,0),1)</f>
        <v>1</v>
      </c>
    </row>
    <row r="6886" spans="7:10" ht="35.450000000000003" hidden="1" customHeight="1">
      <c r="G6886" s="113"/>
      <c r="J6886" s="28">
        <f>IFERROR(VLOOKUP(TEXT(B6886,"0"),STOCK!A:H,7,0),1)</f>
        <v>1</v>
      </c>
    </row>
    <row r="6887" spans="7:10" ht="35.450000000000003" hidden="1" customHeight="1">
      <c r="G6887" s="113"/>
      <c r="J6887" s="28">
        <f>IFERROR(VLOOKUP(TEXT(B6887,"0"),STOCK!A:H,7,0),1)</f>
        <v>1</v>
      </c>
    </row>
    <row r="6888" spans="7:10" ht="35.450000000000003" hidden="1" customHeight="1">
      <c r="G6888" s="113"/>
      <c r="J6888" s="28">
        <f>IFERROR(VLOOKUP(TEXT(B6888,"0"),STOCK!A:H,7,0),1)</f>
        <v>1</v>
      </c>
    </row>
    <row r="6889" spans="7:10" ht="35.450000000000003" hidden="1" customHeight="1">
      <c r="G6889" s="113"/>
      <c r="J6889" s="28">
        <f>IFERROR(VLOOKUP(TEXT(B6889,"0"),STOCK!A:H,7,0),1)</f>
        <v>1</v>
      </c>
    </row>
    <row r="6890" spans="7:10" ht="35.450000000000003" hidden="1" customHeight="1">
      <c r="G6890" s="113"/>
      <c r="J6890" s="28">
        <f>IFERROR(VLOOKUP(TEXT(B6890,"0"),STOCK!A:H,7,0),1)</f>
        <v>1</v>
      </c>
    </row>
    <row r="6891" spans="7:10" ht="35.450000000000003" hidden="1" customHeight="1">
      <c r="G6891" s="113"/>
      <c r="J6891" s="28">
        <f>IFERROR(VLOOKUP(TEXT(B6891,"0"),STOCK!A:H,7,0),1)</f>
        <v>1</v>
      </c>
    </row>
    <row r="6892" spans="7:10" ht="35.450000000000003" hidden="1" customHeight="1">
      <c r="G6892" s="113"/>
      <c r="J6892" s="28">
        <f>IFERROR(VLOOKUP(TEXT(B6892,"0"),STOCK!A:H,7,0),1)</f>
        <v>1</v>
      </c>
    </row>
    <row r="6893" spans="7:10" ht="35.450000000000003" hidden="1" customHeight="1">
      <c r="G6893" s="113"/>
      <c r="J6893" s="28">
        <f>IFERROR(VLOOKUP(TEXT(B6893,"0"),STOCK!A:H,7,0),1)</f>
        <v>1</v>
      </c>
    </row>
    <row r="6894" spans="7:10" ht="35.450000000000003" hidden="1" customHeight="1">
      <c r="G6894" s="113"/>
      <c r="J6894" s="28">
        <f>IFERROR(VLOOKUP(TEXT(B6894,"0"),STOCK!A:H,7,0),1)</f>
        <v>1</v>
      </c>
    </row>
    <row r="6895" spans="7:10" ht="35.450000000000003" hidden="1" customHeight="1">
      <c r="G6895" s="113"/>
      <c r="J6895" s="28">
        <f>IFERROR(VLOOKUP(TEXT(B6895,"0"),STOCK!A:H,7,0),1)</f>
        <v>1</v>
      </c>
    </row>
    <row r="6896" spans="7:10" ht="35.450000000000003" hidden="1" customHeight="1">
      <c r="G6896" s="113"/>
      <c r="J6896" s="28">
        <f>IFERROR(VLOOKUP(TEXT(B6896,"0"),STOCK!A:H,7,0),1)</f>
        <v>1</v>
      </c>
    </row>
    <row r="6897" spans="7:10" ht="35.450000000000003" hidden="1" customHeight="1">
      <c r="G6897" s="113"/>
      <c r="J6897" s="28">
        <f>IFERROR(VLOOKUP(TEXT(B6897,"0"),STOCK!A:H,7,0),1)</f>
        <v>1</v>
      </c>
    </row>
    <row r="6898" spans="7:10" ht="35.450000000000003" hidden="1" customHeight="1">
      <c r="G6898" s="113"/>
      <c r="J6898" s="28">
        <f>IFERROR(VLOOKUP(TEXT(B6898,"0"),STOCK!A:H,7,0),1)</f>
        <v>1</v>
      </c>
    </row>
    <row r="6899" spans="7:10" ht="35.450000000000003" hidden="1" customHeight="1">
      <c r="G6899" s="113"/>
      <c r="J6899" s="28">
        <f>IFERROR(VLOOKUP(TEXT(B6899,"0"),STOCK!A:H,7,0),1)</f>
        <v>1</v>
      </c>
    </row>
    <row r="6900" spans="7:10" ht="35.450000000000003" hidden="1" customHeight="1">
      <c r="G6900" s="113"/>
      <c r="J6900" s="28">
        <f>IFERROR(VLOOKUP(TEXT(B6900,"0"),STOCK!A:H,7,0),1)</f>
        <v>1</v>
      </c>
    </row>
    <row r="6901" spans="7:10" ht="35.450000000000003" hidden="1" customHeight="1">
      <c r="G6901" s="113"/>
      <c r="J6901" s="28">
        <f>IFERROR(VLOOKUP(TEXT(B6901,"0"),STOCK!A:H,7,0),1)</f>
        <v>1</v>
      </c>
    </row>
    <row r="6902" spans="7:10" ht="35.450000000000003" hidden="1" customHeight="1">
      <c r="G6902" s="113"/>
      <c r="J6902" s="28">
        <f>IFERROR(VLOOKUP(TEXT(B6902,"0"),STOCK!A:H,7,0),1)</f>
        <v>1</v>
      </c>
    </row>
    <row r="6903" spans="7:10" ht="35.450000000000003" hidden="1" customHeight="1">
      <c r="G6903" s="113"/>
      <c r="J6903" s="28">
        <f>IFERROR(VLOOKUP(TEXT(B6903,"0"),STOCK!A:H,7,0),1)</f>
        <v>1</v>
      </c>
    </row>
    <row r="6904" spans="7:10" ht="35.450000000000003" hidden="1" customHeight="1">
      <c r="G6904" s="113"/>
      <c r="J6904" s="28">
        <f>IFERROR(VLOOKUP(TEXT(B6904,"0"),STOCK!A:H,7,0),1)</f>
        <v>1</v>
      </c>
    </row>
    <row r="6905" spans="7:10" ht="35.450000000000003" hidden="1" customHeight="1">
      <c r="G6905" s="113"/>
      <c r="J6905" s="28">
        <f>IFERROR(VLOOKUP(TEXT(B6905,"0"),STOCK!A:H,7,0),1)</f>
        <v>1</v>
      </c>
    </row>
    <row r="6906" spans="7:10" ht="35.450000000000003" hidden="1" customHeight="1">
      <c r="G6906" s="113"/>
      <c r="J6906" s="28">
        <f>IFERROR(VLOOKUP(TEXT(B6906,"0"),STOCK!A:H,7,0),1)</f>
        <v>1</v>
      </c>
    </row>
    <row r="6907" spans="7:10" ht="35.450000000000003" hidden="1" customHeight="1">
      <c r="G6907" s="113"/>
      <c r="J6907" s="28">
        <f>IFERROR(VLOOKUP(TEXT(B6907,"0"),STOCK!A:H,7,0),1)</f>
        <v>1</v>
      </c>
    </row>
    <row r="6908" spans="7:10" ht="35.450000000000003" hidden="1" customHeight="1">
      <c r="G6908" s="113"/>
      <c r="J6908" s="28">
        <f>IFERROR(VLOOKUP(TEXT(B6908,"0"),STOCK!A:H,7,0),1)</f>
        <v>1</v>
      </c>
    </row>
    <row r="6909" spans="7:10" ht="35.450000000000003" hidden="1" customHeight="1">
      <c r="G6909" s="113"/>
      <c r="J6909" s="28">
        <f>IFERROR(VLOOKUP(TEXT(B6909,"0"),STOCK!A:H,7,0),1)</f>
        <v>1</v>
      </c>
    </row>
    <row r="6910" spans="7:10" ht="35.450000000000003" hidden="1" customHeight="1">
      <c r="G6910" s="113"/>
      <c r="J6910" s="28">
        <f>IFERROR(VLOOKUP(TEXT(B6910,"0"),STOCK!A:H,7,0),1)</f>
        <v>1</v>
      </c>
    </row>
    <row r="6911" spans="7:10" ht="35.450000000000003" hidden="1" customHeight="1">
      <c r="G6911" s="113"/>
      <c r="J6911" s="28">
        <f>IFERROR(VLOOKUP(TEXT(B6911,"0"),STOCK!A:H,7,0),1)</f>
        <v>1</v>
      </c>
    </row>
    <row r="6912" spans="7:10" ht="35.450000000000003" hidden="1" customHeight="1">
      <c r="G6912" s="113"/>
      <c r="J6912" s="28">
        <f>IFERROR(VLOOKUP(TEXT(B6912,"0"),STOCK!A:H,7,0),1)</f>
        <v>1</v>
      </c>
    </row>
    <row r="6913" spans="7:10" ht="35.450000000000003" hidden="1" customHeight="1">
      <c r="G6913" s="113"/>
      <c r="J6913" s="28">
        <f>IFERROR(VLOOKUP(TEXT(B6913,"0"),STOCK!A:H,7,0),1)</f>
        <v>1</v>
      </c>
    </row>
    <row r="6914" spans="7:10" ht="35.450000000000003" hidden="1" customHeight="1">
      <c r="G6914" s="113"/>
      <c r="J6914" s="28">
        <f>IFERROR(VLOOKUP(TEXT(B6914,"0"),STOCK!A:H,7,0),1)</f>
        <v>1</v>
      </c>
    </row>
    <row r="6915" spans="7:10" ht="35.450000000000003" hidden="1" customHeight="1">
      <c r="G6915" s="113"/>
      <c r="J6915" s="28">
        <f>IFERROR(VLOOKUP(TEXT(B6915,"0"),STOCK!A:H,7,0),1)</f>
        <v>1</v>
      </c>
    </row>
    <row r="6916" spans="7:10" ht="35.450000000000003" hidden="1" customHeight="1">
      <c r="G6916" s="113"/>
      <c r="J6916" s="28">
        <f>IFERROR(VLOOKUP(TEXT(B6916,"0"),STOCK!A:H,7,0),1)</f>
        <v>1</v>
      </c>
    </row>
    <row r="6917" spans="7:10" ht="35.450000000000003" hidden="1" customHeight="1">
      <c r="G6917" s="113"/>
      <c r="J6917" s="28">
        <f>IFERROR(VLOOKUP(TEXT(B6917,"0"),STOCK!A:H,7,0),1)</f>
        <v>1</v>
      </c>
    </row>
    <row r="6918" spans="7:10" ht="35.450000000000003" hidden="1" customHeight="1">
      <c r="G6918" s="113"/>
      <c r="J6918" s="28">
        <f>IFERROR(VLOOKUP(TEXT(B6918,"0"),STOCK!A:H,7,0),1)</f>
        <v>1</v>
      </c>
    </row>
    <row r="6919" spans="7:10" ht="35.450000000000003" hidden="1" customHeight="1">
      <c r="G6919" s="113"/>
      <c r="J6919" s="28">
        <f>IFERROR(VLOOKUP(TEXT(B6919,"0"),STOCK!A:H,7,0),1)</f>
        <v>1</v>
      </c>
    </row>
    <row r="6920" spans="7:10" ht="35.450000000000003" hidden="1" customHeight="1">
      <c r="G6920" s="113"/>
      <c r="J6920" s="28">
        <f>IFERROR(VLOOKUP(TEXT(B6920,"0"),STOCK!A:H,7,0),1)</f>
        <v>1</v>
      </c>
    </row>
    <row r="6921" spans="7:10" ht="35.450000000000003" hidden="1" customHeight="1">
      <c r="G6921" s="113"/>
      <c r="J6921" s="28">
        <f>IFERROR(VLOOKUP(TEXT(B6921,"0"),STOCK!A:H,7,0),1)</f>
        <v>1</v>
      </c>
    </row>
    <row r="6922" spans="7:10" ht="35.450000000000003" hidden="1" customHeight="1">
      <c r="G6922" s="113"/>
      <c r="J6922" s="28">
        <f>IFERROR(VLOOKUP(TEXT(B6922,"0"),STOCK!A:H,7,0),1)</f>
        <v>1</v>
      </c>
    </row>
    <row r="6923" spans="7:10" ht="35.450000000000003" hidden="1" customHeight="1">
      <c r="G6923" s="113"/>
      <c r="J6923" s="28">
        <f>IFERROR(VLOOKUP(TEXT(B6923,"0"),STOCK!A:H,7,0),1)</f>
        <v>1</v>
      </c>
    </row>
    <row r="6924" spans="7:10" ht="35.450000000000003" hidden="1" customHeight="1">
      <c r="G6924" s="113"/>
      <c r="J6924" s="28">
        <f>IFERROR(VLOOKUP(TEXT(B6924,"0"),STOCK!A:H,7,0),1)</f>
        <v>1</v>
      </c>
    </row>
    <row r="6925" spans="7:10" ht="35.450000000000003" hidden="1" customHeight="1">
      <c r="G6925" s="113"/>
      <c r="J6925" s="28">
        <f>IFERROR(VLOOKUP(TEXT(B6925,"0"),STOCK!A:H,7,0),1)</f>
        <v>1</v>
      </c>
    </row>
    <row r="6926" spans="7:10" ht="35.450000000000003" hidden="1" customHeight="1">
      <c r="G6926" s="113"/>
      <c r="J6926" s="28">
        <f>IFERROR(VLOOKUP(TEXT(B6926,"0"),STOCK!A:H,7,0),1)</f>
        <v>1</v>
      </c>
    </row>
    <row r="6927" spans="7:10" ht="35.450000000000003" hidden="1" customHeight="1">
      <c r="G6927" s="113"/>
      <c r="J6927" s="28">
        <f>IFERROR(VLOOKUP(TEXT(B6927,"0"),STOCK!A:H,7,0),1)</f>
        <v>1</v>
      </c>
    </row>
    <row r="6928" spans="7:10" ht="35.450000000000003" hidden="1" customHeight="1">
      <c r="G6928" s="113"/>
      <c r="J6928" s="28">
        <f>IFERROR(VLOOKUP(TEXT(B6928,"0"),STOCK!A:H,7,0),1)</f>
        <v>1</v>
      </c>
    </row>
    <row r="6929" spans="7:7" ht="35.450000000000003" hidden="1" customHeight="1">
      <c r="G6929" s="113"/>
    </row>
    <row r="6930" spans="7:7"/>
    <row r="6931" spans="7:7"/>
    <row r="6932" spans="7:7"/>
    <row r="6933" spans="7:7"/>
    <row r="6934" spans="7:7"/>
    <row r="6935" spans="7:7"/>
    <row r="6936" spans="7:7"/>
    <row r="6937" spans="7:7"/>
  </sheetData>
  <mergeCells count="9">
    <mergeCell ref="B3:E3"/>
    <mergeCell ref="E42:F42"/>
    <mergeCell ref="D10:E10"/>
    <mergeCell ref="D9:E9"/>
    <mergeCell ref="D8:E8"/>
    <mergeCell ref="D11:E11"/>
    <mergeCell ref="D4:E4"/>
    <mergeCell ref="D5:E5"/>
    <mergeCell ref="D6:E6"/>
  </mergeCells>
  <pageMargins left="0.25" right="0.25" top="0.75" bottom="0.75" header="0.3" footer="0.3"/>
  <pageSetup scale="8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BC79-B892-4300-BDBF-06277F876FCF}">
  <sheetPr codeName="FACTURA1">
    <pageSetUpPr fitToPage="1"/>
  </sheetPr>
  <dimension ref="A1:J6929"/>
  <sheetViews>
    <sheetView showGridLines="0" topLeftCell="A22" zoomScale="85" zoomScaleNormal="85" workbookViewId="0">
      <selection activeCell="F18" sqref="F18"/>
    </sheetView>
  </sheetViews>
  <sheetFormatPr baseColWidth="10" defaultColWidth="0" defaultRowHeight="13.9" customHeight="1" zeroHeight="1"/>
  <cols>
    <col min="1" max="1" width="1.140625" style="28" customWidth="1"/>
    <col min="2" max="2" width="17" style="34" customWidth="1"/>
    <col min="3" max="3" width="10" style="28" hidden="1" customWidth="1"/>
    <col min="4" max="4" width="10.140625" style="33" customWidth="1"/>
    <col min="5" max="5" width="50.7109375" style="29" customWidth="1"/>
    <col min="6" max="6" width="19.28515625" style="30" customWidth="1"/>
    <col min="7" max="7" width="19.28515625" style="32" customWidth="1"/>
    <col min="8" max="8" width="1.5703125" style="28" customWidth="1"/>
    <col min="9" max="9" width="14.140625" style="28" hidden="1" customWidth="1"/>
    <col min="10" max="10" width="19.7109375" style="28" hidden="1" customWidth="1"/>
    <col min="11" max="16384" width="14.140625" style="28" hidden="1"/>
  </cols>
  <sheetData>
    <row r="1" spans="1:10" ht="30.6" customHeight="1">
      <c r="B1" s="71" t="str">
        <f>TITULO</f>
        <v>UNIVERSAL PC, SOCIEDAD ANÓNIMA</v>
      </c>
      <c r="D1" s="38"/>
    </row>
    <row r="2" spans="1:10" ht="6" customHeight="1"/>
    <row r="3" spans="1:10" ht="13.9" customHeight="1">
      <c r="B3" s="68" t="s">
        <v>46</v>
      </c>
      <c r="C3" s="65"/>
      <c r="D3" s="65" t="str">
        <f>SUBTITULO</f>
        <v>7 AVENIDA 13-01, LOCAL B-8, zona 9, GUATEMALA, GUATEMALA</v>
      </c>
      <c r="E3" s="34"/>
      <c r="F3" s="31"/>
    </row>
    <row r="4" spans="1:10" ht="13.9" customHeight="1">
      <c r="A4" s="33"/>
      <c r="B4" s="68" t="s">
        <v>47</v>
      </c>
      <c r="C4" s="66"/>
      <c r="D4" s="64">
        <f>PARRAFO_1</f>
        <v>112067409</v>
      </c>
    </row>
    <row r="5" spans="1:10" ht="13.9" customHeight="1">
      <c r="B5" s="68" t="s">
        <v>48</v>
      </c>
      <c r="C5" s="66"/>
      <c r="D5" s="64" t="str">
        <f>PARRAFO_2</f>
        <v>4221-2271</v>
      </c>
    </row>
    <row r="6" spans="1:10" ht="13.9" customHeight="1">
      <c r="B6" s="68" t="s">
        <v>49</v>
      </c>
      <c r="C6" s="66"/>
      <c r="D6" s="64" t="str">
        <f>PARRAFO_3</f>
        <v>8:00am - 17:30pm</v>
      </c>
      <c r="G6" s="31"/>
    </row>
    <row r="7" spans="1:10" ht="18.600000000000001" customHeight="1">
      <c r="B7" s="42"/>
      <c r="D7" s="39"/>
      <c r="G7" s="31"/>
    </row>
    <row r="8" spans="1:10" ht="15.6" customHeight="1">
      <c r="B8" s="67" t="s">
        <v>10</v>
      </c>
      <c r="D8" s="177" t="s">
        <v>54</v>
      </c>
      <c r="E8" s="177"/>
    </row>
    <row r="9" spans="1:10" ht="15.6" customHeight="1">
      <c r="B9" s="67" t="s">
        <v>50</v>
      </c>
      <c r="D9" s="176"/>
      <c r="E9" s="176"/>
      <c r="G9" s="70">
        <f ca="1">NOW()</f>
        <v>46057.384460763889</v>
      </c>
    </row>
    <row r="10" spans="1:10" ht="15.6" customHeight="1">
      <c r="B10" s="67" t="s">
        <v>19</v>
      </c>
      <c r="D10" s="176"/>
      <c r="E10" s="176"/>
      <c r="G10" s="69" t="str">
        <f>UPPER(PROX_FACTURA)</f>
        <v>00001-00000002</v>
      </c>
    </row>
    <row r="11" spans="1:10" ht="15.6" customHeight="1">
      <c r="B11" s="67" t="s">
        <v>51</v>
      </c>
      <c r="C11" s="43"/>
      <c r="D11" s="176"/>
      <c r="E11" s="176"/>
    </row>
    <row r="12" spans="1:10" ht="8.4499999999999993" customHeight="1">
      <c r="E12" s="29" t="str">
        <f>IF(B12="","",IFERROR(VLOOKUP(B12,STOCK!A:H,2,0),""))&amp;IF(C12&gt;0,"("&amp;C12&amp;")Cajas.","")</f>
        <v/>
      </c>
      <c r="F12" s="31" t="s">
        <v>82</v>
      </c>
      <c r="G12" s="31"/>
      <c r="I12" s="28">
        <v>2</v>
      </c>
      <c r="J12" s="28">
        <f>IFERROR(VLOOKUP(TEXT(B12,"0"),STOCK!A:H,7,0),1)</f>
        <v>1</v>
      </c>
    </row>
    <row r="13" spans="1:10" ht="20.45" customHeight="1">
      <c r="B13" s="72" t="s">
        <v>0</v>
      </c>
      <c r="C13" s="72"/>
      <c r="D13" s="72" t="s">
        <v>52</v>
      </c>
      <c r="E13" s="73" t="s">
        <v>1</v>
      </c>
      <c r="F13" s="74" t="s">
        <v>34</v>
      </c>
      <c r="G13" s="74" t="s">
        <v>4</v>
      </c>
      <c r="I13" s="35" t="s">
        <v>37</v>
      </c>
      <c r="J13" s="35" t="str">
        <f>IFERROR(VLOOKUP(TEXT(B13,"0"),STOCK!A:H,7,0),1)</f>
        <v>UNIDADES X CAJA</v>
      </c>
    </row>
    <row r="14" spans="1:10" ht="16.899999999999999" customHeight="1">
      <c r="B14" s="75" t="s">
        <v>77</v>
      </c>
      <c r="C14" s="75">
        <v>1</v>
      </c>
      <c r="D14" s="75">
        <v>12</v>
      </c>
      <c r="E14" s="29" t="str">
        <f>IF(B14="","",IFERROR(VLOOKUP(B14,STOCK!A:H,2,0),""))&amp;IF(C14&gt;0,"("&amp;C14&amp;")Cajas.","")</f>
        <v>(1)Cajas.</v>
      </c>
      <c r="F14" s="77">
        <v>600</v>
      </c>
      <c r="G14" s="77">
        <v>7200</v>
      </c>
      <c r="I14" s="28">
        <v>2</v>
      </c>
      <c r="J14" s="28">
        <f>IFERROR(VLOOKUP(TEXT(B14,"0"),STOCK!A:H,7,0),1)</f>
        <v>1</v>
      </c>
    </row>
    <row r="15" spans="1:10" ht="16.899999999999999" customHeight="1">
      <c r="B15" s="75"/>
      <c r="C15" s="75"/>
      <c r="D15" s="75"/>
      <c r="E15" s="76"/>
      <c r="F15" s="77"/>
      <c r="G15" s="77"/>
      <c r="J15" s="28">
        <f>IFERROR(VLOOKUP(TEXT(B15,"0"),STOCK!A:H,7,0),1)</f>
        <v>1</v>
      </c>
    </row>
    <row r="16" spans="1:10" ht="16.899999999999999" customHeight="1">
      <c r="B16" s="75"/>
      <c r="C16" s="75"/>
      <c r="D16" s="75"/>
      <c r="E16" s="76"/>
      <c r="F16" s="77"/>
      <c r="G16" s="77"/>
      <c r="J16" s="28">
        <f>IFERROR(VLOOKUP(TEXT(B16,"0"),STOCK!A:H,7,0),1)</f>
        <v>1</v>
      </c>
    </row>
    <row r="17" spans="2:10" ht="16.899999999999999" customHeight="1">
      <c r="B17" s="75"/>
      <c r="C17" s="75"/>
      <c r="D17" s="75"/>
      <c r="E17" s="76"/>
      <c r="F17" s="77"/>
      <c r="G17" s="77"/>
      <c r="J17" s="28">
        <f>IFERROR(VLOOKUP(TEXT(B17,"0"),STOCK!A:H,7,0),1)</f>
        <v>1</v>
      </c>
    </row>
    <row r="18" spans="2:10" ht="16.899999999999999" customHeight="1">
      <c r="B18" s="75"/>
      <c r="C18" s="75"/>
      <c r="D18" s="75"/>
      <c r="E18" s="76"/>
      <c r="F18" s="77"/>
      <c r="G18" s="77"/>
      <c r="J18" s="28">
        <f>IFERROR(VLOOKUP(TEXT(B18,"0"),STOCK!A:H,7,0),1)</f>
        <v>1</v>
      </c>
    </row>
    <row r="19" spans="2:10" ht="16.899999999999999" customHeight="1">
      <c r="B19" s="75"/>
      <c r="C19" s="75"/>
      <c r="D19" s="75"/>
      <c r="E19" s="76"/>
      <c r="F19" s="77"/>
      <c r="G19" s="77"/>
      <c r="J19" s="28">
        <f>IFERROR(VLOOKUP(TEXT(B19,"0"),STOCK!A:H,7,0),1)</f>
        <v>1</v>
      </c>
    </row>
    <row r="20" spans="2:10" ht="16.899999999999999" customHeight="1">
      <c r="B20" s="75"/>
      <c r="C20" s="75"/>
      <c r="D20" s="75"/>
      <c r="E20" s="76"/>
      <c r="F20" s="77"/>
      <c r="G20" s="77"/>
      <c r="J20" s="28">
        <f>IFERROR(VLOOKUP(TEXT(B20,"0"),STOCK!A:H,7,0),1)</f>
        <v>1</v>
      </c>
    </row>
    <row r="21" spans="2:10" ht="16.899999999999999" customHeight="1">
      <c r="B21" s="75"/>
      <c r="C21" s="75"/>
      <c r="D21" s="75"/>
      <c r="E21" s="76"/>
      <c r="F21" s="77"/>
      <c r="G21" s="77"/>
      <c r="J21" s="28">
        <f>IFERROR(VLOOKUP(TEXT(B21,"0"),STOCK!A:H,7,0),1)</f>
        <v>1</v>
      </c>
    </row>
    <row r="22" spans="2:10" ht="16.899999999999999" customHeight="1">
      <c r="B22" s="75"/>
      <c r="C22" s="75"/>
      <c r="D22" s="75"/>
      <c r="E22" s="76"/>
      <c r="F22" s="77"/>
      <c r="G22" s="77"/>
      <c r="J22" s="28">
        <f>IFERROR(VLOOKUP(TEXT(B22,"0"),STOCK!A:H,7,0),1)</f>
        <v>1</v>
      </c>
    </row>
    <row r="23" spans="2:10" ht="16.899999999999999" customHeight="1">
      <c r="B23" s="75"/>
      <c r="C23" s="75"/>
      <c r="D23" s="75"/>
      <c r="E23" s="76"/>
      <c r="F23" s="77"/>
      <c r="G23" s="77"/>
      <c r="J23" s="28">
        <f>IFERROR(VLOOKUP(TEXT(B23,"0"),STOCK!A:H,7,0),1)</f>
        <v>1</v>
      </c>
    </row>
    <row r="24" spans="2:10" ht="16.899999999999999" customHeight="1">
      <c r="B24" s="75"/>
      <c r="C24" s="75"/>
      <c r="D24" s="75"/>
      <c r="E24" s="76"/>
      <c r="F24" s="77"/>
      <c r="G24" s="77"/>
      <c r="J24" s="28">
        <f>IFERROR(VLOOKUP(TEXT(B24,"0"),STOCK!A:H,7,0),1)</f>
        <v>1</v>
      </c>
    </row>
    <row r="25" spans="2:10" ht="16.899999999999999" customHeight="1">
      <c r="B25" s="75"/>
      <c r="C25" s="75"/>
      <c r="D25" s="75"/>
      <c r="E25" s="76"/>
      <c r="F25" s="77"/>
      <c r="G25" s="77"/>
      <c r="J25" s="28">
        <f>IFERROR(VLOOKUP(TEXT(B25,"0"),STOCK!A:H,7,0),1)</f>
        <v>1</v>
      </c>
    </row>
    <row r="26" spans="2:10" ht="16.899999999999999" customHeight="1">
      <c r="B26" s="75"/>
      <c r="C26" s="75"/>
      <c r="D26" s="75"/>
      <c r="E26" s="76"/>
      <c r="F26" s="77"/>
      <c r="G26" s="77"/>
      <c r="J26" s="28">
        <f>IFERROR(VLOOKUP(TEXT(B26,"0"),STOCK!A:H,7,0),1)</f>
        <v>1</v>
      </c>
    </row>
    <row r="27" spans="2:10" ht="16.899999999999999" customHeight="1">
      <c r="B27" s="75"/>
      <c r="C27" s="75"/>
      <c r="D27" s="75"/>
      <c r="E27" s="76"/>
      <c r="F27" s="77"/>
      <c r="G27" s="77"/>
      <c r="J27" s="28">
        <f>IFERROR(VLOOKUP(TEXT(B27,"0"),STOCK!A:H,7,0),1)</f>
        <v>1</v>
      </c>
    </row>
    <row r="28" spans="2:10" ht="16.899999999999999" customHeight="1">
      <c r="B28" s="75"/>
      <c r="C28" s="75"/>
      <c r="D28" s="75"/>
      <c r="E28" s="76"/>
      <c r="F28" s="77"/>
      <c r="G28" s="77"/>
      <c r="J28" s="28">
        <f>IFERROR(VLOOKUP(TEXT(B28,"0"),STOCK!A:H,7,0),1)</f>
        <v>1</v>
      </c>
    </row>
    <row r="29" spans="2:10" ht="16.899999999999999" customHeight="1">
      <c r="B29" s="75"/>
      <c r="C29" s="75"/>
      <c r="D29" s="75"/>
      <c r="E29" s="76"/>
      <c r="F29" s="77"/>
      <c r="G29" s="77"/>
      <c r="J29" s="28">
        <f>IFERROR(VLOOKUP(TEXT(B29,"0"),STOCK!A:H,7,0),1)</f>
        <v>1</v>
      </c>
    </row>
    <row r="30" spans="2:10" ht="16.899999999999999" customHeight="1">
      <c r="B30" s="75"/>
      <c r="C30" s="75"/>
      <c r="D30" s="75"/>
      <c r="E30" s="76"/>
      <c r="F30" s="77"/>
      <c r="G30" s="77"/>
      <c r="J30" s="28">
        <f>IFERROR(VLOOKUP(TEXT(B30,"0"),STOCK!A:H,7,0),1)</f>
        <v>1</v>
      </c>
    </row>
    <row r="31" spans="2:10" ht="16.899999999999999" customHeight="1">
      <c r="B31" s="75"/>
      <c r="C31" s="75"/>
      <c r="D31" s="75"/>
      <c r="E31" s="76"/>
      <c r="F31" s="77"/>
      <c r="G31" s="77"/>
      <c r="J31" s="28">
        <f>IFERROR(VLOOKUP(TEXT(B31,"0"),STOCK!A:H,7,0),1)</f>
        <v>1</v>
      </c>
    </row>
    <row r="32" spans="2:10" ht="16.899999999999999" customHeight="1">
      <c r="B32" s="75"/>
      <c r="C32" s="75"/>
      <c r="D32" s="75"/>
      <c r="E32" s="76"/>
      <c r="F32" s="77"/>
      <c r="G32" s="77"/>
      <c r="J32" s="28">
        <f>IFERROR(VLOOKUP(TEXT(B32,"0"),STOCK!A:H,7,0),1)</f>
        <v>1</v>
      </c>
    </row>
    <row r="33" spans="2:10" ht="16.899999999999999" customHeight="1">
      <c r="B33" s="75"/>
      <c r="C33" s="75"/>
      <c r="D33" s="75"/>
      <c r="E33" s="76"/>
      <c r="F33" s="77"/>
      <c r="G33" s="77"/>
      <c r="J33" s="28">
        <f>IFERROR(VLOOKUP(TEXT(B33,"0"),STOCK!A:H,7,0),1)</f>
        <v>1</v>
      </c>
    </row>
    <row r="34" spans="2:10" ht="16.899999999999999" customHeight="1">
      <c r="B34" s="78"/>
      <c r="C34" s="78"/>
      <c r="D34" s="79"/>
      <c r="E34" s="76"/>
      <c r="F34" s="77"/>
      <c r="G34" s="77"/>
      <c r="J34" s="28">
        <f>IFERROR(VLOOKUP(TEXT(B34,"0"),STOCK!A:H,7,0),1)</f>
        <v>1</v>
      </c>
    </row>
    <row r="35" spans="2:10" ht="5.45" customHeight="1">
      <c r="D35" s="28"/>
      <c r="F35" s="31"/>
      <c r="G35" s="31"/>
      <c r="J35" s="28">
        <f>IFERROR(VLOOKUP(TEXT(B35,"0"),STOCK!A:H,7,0),1)</f>
        <v>1</v>
      </c>
    </row>
    <row r="36" spans="2:10" ht="24.6" customHeight="1">
      <c r="D36" s="28"/>
      <c r="F36" s="80" t="s">
        <v>2</v>
      </c>
      <c r="G36" s="61">
        <f>SUM(G13:G35)</f>
        <v>7200</v>
      </c>
      <c r="J36" s="28">
        <f>IFERROR(VLOOKUP(TEXT(B36,"0"),STOCK!A:H,7,0),1)</f>
        <v>1</v>
      </c>
    </row>
    <row r="37" spans="2:10" ht="3.6" customHeight="1">
      <c r="D37" s="36"/>
      <c r="F37" s="81"/>
      <c r="G37" s="29"/>
      <c r="J37" s="28">
        <f>IFERROR(VLOOKUP(TEXT(B37,"0"),STOCK!A:H,7,0),1)</f>
        <v>1</v>
      </c>
    </row>
    <row r="38" spans="2:10" ht="24.6" customHeight="1">
      <c r="F38" s="80" t="s">
        <v>36</v>
      </c>
      <c r="G38" s="61">
        <v>0</v>
      </c>
      <c r="J38" s="28">
        <f>IFERROR(VLOOKUP(TEXT(B38,"0"),STOCK!A:H,7,0),1)</f>
        <v>1</v>
      </c>
    </row>
    <row r="39" spans="2:10" ht="7.9" customHeight="1">
      <c r="E39" s="41"/>
      <c r="F39" s="41"/>
      <c r="G39" s="37"/>
      <c r="J39" s="28">
        <f>IFERROR(VLOOKUP(TEXT(B39,"0"),STOCK!A:H,7,0),1)</f>
        <v>1</v>
      </c>
    </row>
    <row r="40" spans="2:10" ht="7.9" customHeight="1">
      <c r="E40" s="41"/>
      <c r="F40" s="41"/>
      <c r="G40" s="37"/>
      <c r="J40" s="28">
        <f>IFERROR(VLOOKUP(TEXT(B40,"0"),STOCK!A:H,7,0),1)</f>
        <v>1</v>
      </c>
    </row>
    <row r="41" spans="2:10" ht="27" customHeight="1">
      <c r="B41" s="40"/>
      <c r="C41" s="59"/>
      <c r="D41" s="60"/>
      <c r="E41" s="175" t="s">
        <v>53</v>
      </c>
      <c r="F41" s="175"/>
      <c r="G41" s="44">
        <f>TOTAL-DESCUENTO</f>
        <v>7200</v>
      </c>
      <c r="J41" s="28">
        <f>IFERROR(VLOOKUP(TEXT(B41,"0"),STOCK!A:H,7,0),1)</f>
        <v>1</v>
      </c>
    </row>
    <row r="42" spans="2:10" ht="7.9" customHeight="1">
      <c r="F42" s="31"/>
      <c r="G42" s="31"/>
      <c r="J42" s="28">
        <f>IFERROR(VLOOKUP(TEXT(B42,"0"),STOCK!A:H,7,0),1)</f>
        <v>1</v>
      </c>
    </row>
    <row r="43" spans="2:10" ht="24.6" customHeight="1">
      <c r="F43" s="80" t="s">
        <v>55</v>
      </c>
      <c r="G43" s="61">
        <v>80000</v>
      </c>
      <c r="J43" s="28">
        <f>IFERROR(VLOOKUP(TEXT(B43,"0"),STOCK!A:H,7,0),1)</f>
        <v>1</v>
      </c>
    </row>
    <row r="44" spans="2:10" ht="7.15" customHeight="1">
      <c r="F44" s="82"/>
      <c r="G44" s="29"/>
      <c r="J44" s="28">
        <f>IFERROR(VLOOKUP(TEXT(B44,"0"),STOCK!A:H,7,0),1)</f>
        <v>1</v>
      </c>
    </row>
    <row r="45" spans="2:10" ht="24.6" customHeight="1">
      <c r="F45" s="80" t="s">
        <v>56</v>
      </c>
      <c r="G45" s="62">
        <f>TOTAL_FINAL-SENA</f>
        <v>-72800</v>
      </c>
      <c r="J45" s="28">
        <f>IFERROR(VLOOKUP(TEXT(B45,"0"),STOCK!A:H,7,0),1)</f>
        <v>1</v>
      </c>
    </row>
    <row r="46" spans="2:10" ht="10.15" customHeight="1">
      <c r="J46" s="28">
        <f>IFERROR(VLOOKUP(TEXT(B46,"0"),STOCK!A:H,7,0),1)</f>
        <v>1</v>
      </c>
    </row>
    <row r="47" spans="2:10" ht="35.450000000000003" hidden="1" customHeight="1">
      <c r="J47" s="28">
        <f>IFERROR(VLOOKUP(TEXT(B47,"0"),STOCK!A:H,7,0),1)</f>
        <v>1</v>
      </c>
    </row>
    <row r="48" spans="2:10" ht="35.450000000000003" hidden="1" customHeight="1">
      <c r="J48" s="28">
        <f>IFERROR(VLOOKUP(TEXT(B48,"0"),STOCK!A:H,7,0),1)</f>
        <v>1</v>
      </c>
    </row>
    <row r="49" spans="10:10" ht="35.450000000000003" hidden="1" customHeight="1">
      <c r="J49" s="28">
        <f>IFERROR(VLOOKUP(TEXT(B49,"0"),STOCK!A:H,7,0),1)</f>
        <v>1</v>
      </c>
    </row>
    <row r="50" spans="10:10" ht="35.450000000000003" hidden="1" customHeight="1">
      <c r="J50" s="28">
        <f>IFERROR(VLOOKUP(TEXT(B50,"0"),STOCK!A:H,7,0),1)</f>
        <v>1</v>
      </c>
    </row>
    <row r="51" spans="10:10" ht="35.450000000000003" hidden="1" customHeight="1">
      <c r="J51" s="28">
        <f>IFERROR(VLOOKUP(TEXT(B51,"0"),STOCK!A:H,7,0),1)</f>
        <v>1</v>
      </c>
    </row>
    <row r="52" spans="10:10" ht="35.450000000000003" hidden="1" customHeight="1">
      <c r="J52" s="28">
        <f>IFERROR(VLOOKUP(TEXT(B52,"0"),STOCK!A:H,7,0),1)</f>
        <v>1</v>
      </c>
    </row>
    <row r="53" spans="10:10" ht="35.450000000000003" hidden="1" customHeight="1">
      <c r="J53" s="28">
        <f>IFERROR(VLOOKUP(TEXT(B53,"0"),STOCK!A:H,7,0),1)</f>
        <v>1</v>
      </c>
    </row>
    <row r="54" spans="10:10" ht="35.450000000000003" hidden="1" customHeight="1">
      <c r="J54" s="28">
        <f>IFERROR(VLOOKUP(TEXT(B54,"0"),STOCK!A:H,7,0),1)</f>
        <v>1</v>
      </c>
    </row>
    <row r="55" spans="10:10" ht="35.450000000000003" hidden="1" customHeight="1">
      <c r="J55" s="28">
        <f>IFERROR(VLOOKUP(TEXT(B55,"0"),STOCK!A:H,7,0),1)</f>
        <v>1</v>
      </c>
    </row>
    <row r="56" spans="10:10" ht="35.450000000000003" hidden="1" customHeight="1">
      <c r="J56" s="28">
        <f>IFERROR(VLOOKUP(TEXT(B56,"0"),STOCK!A:H,7,0),1)</f>
        <v>1</v>
      </c>
    </row>
    <row r="57" spans="10:10" ht="35.450000000000003" hidden="1" customHeight="1">
      <c r="J57" s="28">
        <f>IFERROR(VLOOKUP(TEXT(B57,"0"),STOCK!A:H,7,0),1)</f>
        <v>1</v>
      </c>
    </row>
    <row r="58" spans="10:10" ht="35.450000000000003" hidden="1" customHeight="1">
      <c r="J58" s="28">
        <f>IFERROR(VLOOKUP(TEXT(B58,"0"),STOCK!A:H,7,0),1)</f>
        <v>1</v>
      </c>
    </row>
    <row r="59" spans="10:10" ht="35.450000000000003" hidden="1" customHeight="1">
      <c r="J59" s="28">
        <f>IFERROR(VLOOKUP(TEXT(B59,"0"),STOCK!A:H,7,0),1)</f>
        <v>1</v>
      </c>
    </row>
    <row r="60" spans="10:10" ht="35.450000000000003" hidden="1" customHeight="1">
      <c r="J60" s="28">
        <f>IFERROR(VLOOKUP(TEXT(B60,"0"),STOCK!A:H,7,0),1)</f>
        <v>1</v>
      </c>
    </row>
    <row r="61" spans="10:10" ht="35.450000000000003" hidden="1" customHeight="1">
      <c r="J61" s="28">
        <f>IFERROR(VLOOKUP(TEXT(B61,"0"),STOCK!A:H,7,0),1)</f>
        <v>1</v>
      </c>
    </row>
    <row r="62" spans="10:10" ht="35.450000000000003" hidden="1" customHeight="1">
      <c r="J62" s="28">
        <f>IFERROR(VLOOKUP(TEXT(B62,"0"),STOCK!A:H,7,0),1)</f>
        <v>1</v>
      </c>
    </row>
    <row r="63" spans="10:10" ht="35.450000000000003" hidden="1" customHeight="1">
      <c r="J63" s="28">
        <f>IFERROR(VLOOKUP(TEXT(B63,"0"),STOCK!A:H,7,0),1)</f>
        <v>1</v>
      </c>
    </row>
    <row r="64" spans="10:10" ht="35.450000000000003" hidden="1" customHeight="1">
      <c r="J64" s="28">
        <f>IFERROR(VLOOKUP(TEXT(B64,"0"),STOCK!A:H,7,0),1)</f>
        <v>1</v>
      </c>
    </row>
    <row r="65" spans="10:10" ht="35.450000000000003" hidden="1" customHeight="1">
      <c r="J65" s="28">
        <f>IFERROR(VLOOKUP(TEXT(B65,"0"),STOCK!A:H,7,0),1)</f>
        <v>1</v>
      </c>
    </row>
    <row r="66" spans="10:10" ht="35.450000000000003" hidden="1" customHeight="1">
      <c r="J66" s="28">
        <f>IFERROR(VLOOKUP(TEXT(B66,"0"),STOCK!A:H,7,0),1)</f>
        <v>1</v>
      </c>
    </row>
    <row r="67" spans="10:10" ht="35.450000000000003" hidden="1" customHeight="1">
      <c r="J67" s="28">
        <f>IFERROR(VLOOKUP(TEXT(B67,"0"),STOCK!A:H,7,0),1)</f>
        <v>1</v>
      </c>
    </row>
    <row r="68" spans="10:10" ht="35.450000000000003" hidden="1" customHeight="1">
      <c r="J68" s="28">
        <f>IFERROR(VLOOKUP(TEXT(B68,"0"),STOCK!A:H,7,0),1)</f>
        <v>1</v>
      </c>
    </row>
    <row r="69" spans="10:10" ht="35.450000000000003" hidden="1" customHeight="1">
      <c r="J69" s="28">
        <f>IFERROR(VLOOKUP(TEXT(B69,"0"),STOCK!A:H,7,0),1)</f>
        <v>1</v>
      </c>
    </row>
    <row r="70" spans="10:10" ht="35.450000000000003" hidden="1" customHeight="1">
      <c r="J70" s="28">
        <f>IFERROR(VLOOKUP(TEXT(B70,"0"),STOCK!A:H,7,0),1)</f>
        <v>1</v>
      </c>
    </row>
    <row r="71" spans="10:10" ht="35.450000000000003" hidden="1" customHeight="1">
      <c r="J71" s="28">
        <f>IFERROR(VLOOKUP(TEXT(B71,"0"),STOCK!A:H,7,0),1)</f>
        <v>1</v>
      </c>
    </row>
    <row r="72" spans="10:10" ht="35.450000000000003" hidden="1" customHeight="1">
      <c r="J72" s="28">
        <f>IFERROR(VLOOKUP(TEXT(B72,"0"),STOCK!A:H,7,0),1)</f>
        <v>1</v>
      </c>
    </row>
    <row r="73" spans="10:10" ht="35.450000000000003" hidden="1" customHeight="1">
      <c r="J73" s="28">
        <f>IFERROR(VLOOKUP(TEXT(B73,"0"),STOCK!A:H,7,0),1)</f>
        <v>1</v>
      </c>
    </row>
    <row r="74" spans="10:10" ht="35.450000000000003" hidden="1" customHeight="1">
      <c r="J74" s="28">
        <f>IFERROR(VLOOKUP(TEXT(B74,"0"),STOCK!A:H,7,0),1)</f>
        <v>1</v>
      </c>
    </row>
    <row r="75" spans="10:10" ht="35.450000000000003" hidden="1" customHeight="1">
      <c r="J75" s="28">
        <f>IFERROR(VLOOKUP(TEXT(B75,"0"),STOCK!A:H,7,0),1)</f>
        <v>1</v>
      </c>
    </row>
    <row r="76" spans="10:10" ht="35.450000000000003" hidden="1" customHeight="1">
      <c r="J76" s="28">
        <f>IFERROR(VLOOKUP(TEXT(B76,"0"),STOCK!A:H,7,0),1)</f>
        <v>1</v>
      </c>
    </row>
    <row r="77" spans="10:10" ht="35.450000000000003" hidden="1" customHeight="1">
      <c r="J77" s="28">
        <f>IFERROR(VLOOKUP(TEXT(B77,"0"),STOCK!A:H,7,0),1)</f>
        <v>1</v>
      </c>
    </row>
    <row r="78" spans="10:10" ht="35.450000000000003" hidden="1" customHeight="1">
      <c r="J78" s="28">
        <f>IFERROR(VLOOKUP(TEXT(B78,"0"),STOCK!A:H,7,0),1)</f>
        <v>1</v>
      </c>
    </row>
    <row r="79" spans="10:10" ht="35.450000000000003" hidden="1" customHeight="1">
      <c r="J79" s="28">
        <f>IFERROR(VLOOKUP(TEXT(B79,"0"),STOCK!A:H,7,0),1)</f>
        <v>1</v>
      </c>
    </row>
    <row r="80" spans="10:10" ht="35.450000000000003" hidden="1" customHeight="1">
      <c r="J80" s="28">
        <f>IFERROR(VLOOKUP(TEXT(B80,"0"),STOCK!A:H,7,0),1)</f>
        <v>1</v>
      </c>
    </row>
    <row r="81" spans="10:10" ht="35.450000000000003" hidden="1" customHeight="1">
      <c r="J81" s="28">
        <f>IFERROR(VLOOKUP(TEXT(B81,"0"),STOCK!A:H,7,0),1)</f>
        <v>1</v>
      </c>
    </row>
    <row r="82" spans="10:10" ht="35.450000000000003" hidden="1" customHeight="1">
      <c r="J82" s="28">
        <f>IFERROR(VLOOKUP(TEXT(B82,"0"),STOCK!A:H,7,0),1)</f>
        <v>1</v>
      </c>
    </row>
    <row r="83" spans="10:10" ht="35.450000000000003" hidden="1" customHeight="1">
      <c r="J83" s="28">
        <f>IFERROR(VLOOKUP(TEXT(B83,"0"),STOCK!A:H,7,0),1)</f>
        <v>1</v>
      </c>
    </row>
    <row r="84" spans="10:10" ht="35.450000000000003" hidden="1" customHeight="1">
      <c r="J84" s="28">
        <f>IFERROR(VLOOKUP(TEXT(B84,"0"),STOCK!A:H,7,0),1)</f>
        <v>1</v>
      </c>
    </row>
    <row r="85" spans="10:10" ht="35.450000000000003" hidden="1" customHeight="1">
      <c r="J85" s="28">
        <f>IFERROR(VLOOKUP(TEXT(B85,"0"),STOCK!A:H,7,0),1)</f>
        <v>1</v>
      </c>
    </row>
    <row r="86" spans="10:10" ht="35.450000000000003" hidden="1" customHeight="1">
      <c r="J86" s="28">
        <f>IFERROR(VLOOKUP(TEXT(B86,"0"),STOCK!A:H,7,0),1)</f>
        <v>1</v>
      </c>
    </row>
    <row r="87" spans="10:10" ht="35.450000000000003" hidden="1" customHeight="1">
      <c r="J87" s="28">
        <f>IFERROR(VLOOKUP(TEXT(B87,"0"),STOCK!A:H,7,0),1)</f>
        <v>1</v>
      </c>
    </row>
    <row r="88" spans="10:10" ht="35.450000000000003" hidden="1" customHeight="1">
      <c r="J88" s="28">
        <f>IFERROR(VLOOKUP(TEXT(B88,"0"),STOCK!A:H,7,0),1)</f>
        <v>1</v>
      </c>
    </row>
    <row r="89" spans="10:10" ht="35.450000000000003" hidden="1" customHeight="1">
      <c r="J89" s="28">
        <f>IFERROR(VLOOKUP(TEXT(B89,"0"),STOCK!A:H,7,0),1)</f>
        <v>1</v>
      </c>
    </row>
    <row r="90" spans="10:10" ht="35.450000000000003" hidden="1" customHeight="1">
      <c r="J90" s="28">
        <f>IFERROR(VLOOKUP(TEXT(B90,"0"),STOCK!A:H,7,0),1)</f>
        <v>1</v>
      </c>
    </row>
    <row r="91" spans="10:10" ht="35.450000000000003" hidden="1" customHeight="1">
      <c r="J91" s="28">
        <f>IFERROR(VLOOKUP(TEXT(B91,"0"),STOCK!A:H,7,0),1)</f>
        <v>1</v>
      </c>
    </row>
    <row r="92" spans="10:10" ht="35.450000000000003" hidden="1" customHeight="1">
      <c r="J92" s="28">
        <f>IFERROR(VLOOKUP(TEXT(B92,"0"),STOCK!A:H,7,0),1)</f>
        <v>1</v>
      </c>
    </row>
    <row r="93" spans="10:10" ht="35.450000000000003" hidden="1" customHeight="1">
      <c r="J93" s="28">
        <f>IFERROR(VLOOKUP(TEXT(B93,"0"),STOCK!A:H,7,0),1)</f>
        <v>1</v>
      </c>
    </row>
    <row r="94" spans="10:10" ht="35.450000000000003" hidden="1" customHeight="1">
      <c r="J94" s="28">
        <f>IFERROR(VLOOKUP(TEXT(B94,"0"),STOCK!A:H,7,0),1)</f>
        <v>1</v>
      </c>
    </row>
    <row r="95" spans="10:10" ht="35.450000000000003" hidden="1" customHeight="1">
      <c r="J95" s="28">
        <f>IFERROR(VLOOKUP(TEXT(B95,"0"),STOCK!A:H,7,0),1)</f>
        <v>1</v>
      </c>
    </row>
    <row r="96" spans="10:10" ht="35.450000000000003" hidden="1" customHeight="1">
      <c r="J96" s="28">
        <f>IFERROR(VLOOKUP(TEXT(B96,"0"),STOCK!A:H,7,0),1)</f>
        <v>1</v>
      </c>
    </row>
    <row r="97" spans="10:10" ht="35.450000000000003" hidden="1" customHeight="1">
      <c r="J97" s="28">
        <f>IFERROR(VLOOKUP(TEXT(B97,"0"),STOCK!A:H,7,0),1)</f>
        <v>1</v>
      </c>
    </row>
    <row r="98" spans="10:10" ht="35.450000000000003" hidden="1" customHeight="1">
      <c r="J98" s="28">
        <f>IFERROR(VLOOKUP(TEXT(B98,"0"),STOCK!A:H,7,0),1)</f>
        <v>1</v>
      </c>
    </row>
    <row r="99" spans="10:10" ht="35.450000000000003" hidden="1" customHeight="1">
      <c r="J99" s="28">
        <f>IFERROR(VLOOKUP(TEXT(B99,"0"),STOCK!A:H,7,0),1)</f>
        <v>1</v>
      </c>
    </row>
    <row r="100" spans="10:10" ht="35.450000000000003" hidden="1" customHeight="1">
      <c r="J100" s="28">
        <f>IFERROR(VLOOKUP(TEXT(B100,"0"),STOCK!A:H,7,0),1)</f>
        <v>1</v>
      </c>
    </row>
    <row r="101" spans="10:10" ht="35.450000000000003" hidden="1" customHeight="1">
      <c r="J101" s="28">
        <f>IFERROR(VLOOKUP(TEXT(B101,"0"),STOCK!A:H,7,0),1)</f>
        <v>1</v>
      </c>
    </row>
    <row r="102" spans="10:10" ht="35.450000000000003" hidden="1" customHeight="1">
      <c r="J102" s="28">
        <f>IFERROR(VLOOKUP(TEXT(B102,"0"),STOCK!A:H,7,0),1)</f>
        <v>1</v>
      </c>
    </row>
    <row r="103" spans="10:10" ht="35.450000000000003" hidden="1" customHeight="1">
      <c r="J103" s="28">
        <f>IFERROR(VLOOKUP(TEXT(B103,"0"),STOCK!A:H,7,0),1)</f>
        <v>1</v>
      </c>
    </row>
    <row r="104" spans="10:10" ht="35.450000000000003" hidden="1" customHeight="1">
      <c r="J104" s="28">
        <f>IFERROR(VLOOKUP(TEXT(B104,"0"),STOCK!A:H,7,0),1)</f>
        <v>1</v>
      </c>
    </row>
    <row r="105" spans="10:10" ht="35.450000000000003" hidden="1" customHeight="1">
      <c r="J105" s="28">
        <f>IFERROR(VLOOKUP(TEXT(B105,"0"),STOCK!A:H,7,0),1)</f>
        <v>1</v>
      </c>
    </row>
    <row r="106" spans="10:10" ht="35.450000000000003" hidden="1" customHeight="1">
      <c r="J106" s="28">
        <f>IFERROR(VLOOKUP(TEXT(B106,"0"),STOCK!A:H,7,0),1)</f>
        <v>1</v>
      </c>
    </row>
    <row r="107" spans="10:10" ht="35.450000000000003" hidden="1" customHeight="1">
      <c r="J107" s="28">
        <f>IFERROR(VLOOKUP(TEXT(B107,"0"),STOCK!A:H,7,0),1)</f>
        <v>1</v>
      </c>
    </row>
    <row r="108" spans="10:10" ht="35.450000000000003" hidden="1" customHeight="1">
      <c r="J108" s="28">
        <f>IFERROR(VLOOKUP(TEXT(B108,"0"),STOCK!A:H,7,0),1)</f>
        <v>1</v>
      </c>
    </row>
    <row r="109" spans="10:10" ht="35.450000000000003" hidden="1" customHeight="1">
      <c r="J109" s="28">
        <f>IFERROR(VLOOKUP(TEXT(B109,"0"),STOCK!A:H,7,0),1)</f>
        <v>1</v>
      </c>
    </row>
    <row r="110" spans="10:10" ht="35.450000000000003" hidden="1" customHeight="1">
      <c r="J110" s="28">
        <f>IFERROR(VLOOKUP(TEXT(B110,"0"),STOCK!A:H,7,0),1)</f>
        <v>1</v>
      </c>
    </row>
    <row r="111" spans="10:10" ht="35.450000000000003" hidden="1" customHeight="1">
      <c r="J111" s="28">
        <f>IFERROR(VLOOKUP(TEXT(B111,"0"),STOCK!A:H,7,0),1)</f>
        <v>1</v>
      </c>
    </row>
    <row r="112" spans="10:10" ht="35.450000000000003" hidden="1" customHeight="1">
      <c r="J112" s="28">
        <f>IFERROR(VLOOKUP(TEXT(B112,"0"),STOCK!A:H,7,0),1)</f>
        <v>1</v>
      </c>
    </row>
    <row r="113" spans="10:10" ht="35.450000000000003" hidden="1" customHeight="1">
      <c r="J113" s="28">
        <f>IFERROR(VLOOKUP(TEXT(B113,"0"),STOCK!A:H,7,0),1)</f>
        <v>1</v>
      </c>
    </row>
    <row r="114" spans="10:10" ht="35.450000000000003" hidden="1" customHeight="1">
      <c r="J114" s="28">
        <f>IFERROR(VLOOKUP(TEXT(B114,"0"),STOCK!A:H,7,0),1)</f>
        <v>1</v>
      </c>
    </row>
    <row r="115" spans="10:10" ht="35.450000000000003" hidden="1" customHeight="1">
      <c r="J115" s="28">
        <f>IFERROR(VLOOKUP(TEXT(B115,"0"),STOCK!A:H,7,0),1)</f>
        <v>1</v>
      </c>
    </row>
    <row r="116" spans="10:10" ht="35.450000000000003" hidden="1" customHeight="1">
      <c r="J116" s="28">
        <f>IFERROR(VLOOKUP(TEXT(B116,"0"),STOCK!A:H,7,0),1)</f>
        <v>1</v>
      </c>
    </row>
    <row r="117" spans="10:10" ht="35.450000000000003" hidden="1" customHeight="1">
      <c r="J117" s="28">
        <f>IFERROR(VLOOKUP(TEXT(B117,"0"),STOCK!A:H,7,0),1)</f>
        <v>1</v>
      </c>
    </row>
    <row r="118" spans="10:10" ht="35.450000000000003" hidden="1" customHeight="1">
      <c r="J118" s="28">
        <f>IFERROR(VLOOKUP(TEXT(B118,"0"),STOCK!A:H,7,0),1)</f>
        <v>1</v>
      </c>
    </row>
    <row r="119" spans="10:10" ht="35.450000000000003" hidden="1" customHeight="1">
      <c r="J119" s="28">
        <f>IFERROR(VLOOKUP(TEXT(B119,"0"),STOCK!A:H,7,0),1)</f>
        <v>1</v>
      </c>
    </row>
    <row r="120" spans="10:10" ht="35.450000000000003" hidden="1" customHeight="1">
      <c r="J120" s="28">
        <f>IFERROR(VLOOKUP(TEXT(B120,"0"),STOCK!A:H,7,0),1)</f>
        <v>1</v>
      </c>
    </row>
    <row r="121" spans="10:10" ht="35.450000000000003" hidden="1" customHeight="1">
      <c r="J121" s="28">
        <f>IFERROR(VLOOKUP(TEXT(B121,"0"),STOCK!A:H,7,0),1)</f>
        <v>1</v>
      </c>
    </row>
    <row r="122" spans="10:10" ht="35.450000000000003" hidden="1" customHeight="1">
      <c r="J122" s="28">
        <f>IFERROR(VLOOKUP(TEXT(B122,"0"),STOCK!A:H,7,0),1)</f>
        <v>1</v>
      </c>
    </row>
    <row r="123" spans="10:10" ht="35.450000000000003" hidden="1" customHeight="1">
      <c r="J123" s="28">
        <f>IFERROR(VLOOKUP(TEXT(B123,"0"),STOCK!A:H,7,0),1)</f>
        <v>1</v>
      </c>
    </row>
    <row r="124" spans="10:10" ht="35.450000000000003" hidden="1" customHeight="1">
      <c r="J124" s="28">
        <f>IFERROR(VLOOKUP(TEXT(B124,"0"),STOCK!A:H,7,0),1)</f>
        <v>1</v>
      </c>
    </row>
    <row r="125" spans="10:10" ht="35.450000000000003" hidden="1" customHeight="1">
      <c r="J125" s="28">
        <f>IFERROR(VLOOKUP(TEXT(B125,"0"),STOCK!A:H,7,0),1)</f>
        <v>1</v>
      </c>
    </row>
    <row r="126" spans="10:10" ht="35.450000000000003" hidden="1" customHeight="1">
      <c r="J126" s="28">
        <f>IFERROR(VLOOKUP(TEXT(B126,"0"),STOCK!A:H,7,0),1)</f>
        <v>1</v>
      </c>
    </row>
    <row r="127" spans="10:10" ht="35.450000000000003" hidden="1" customHeight="1">
      <c r="J127" s="28">
        <f>IFERROR(VLOOKUP(TEXT(B127,"0"),STOCK!A:H,7,0),1)</f>
        <v>1</v>
      </c>
    </row>
    <row r="128" spans="10:10" ht="35.450000000000003" hidden="1" customHeight="1">
      <c r="J128" s="28">
        <f>IFERROR(VLOOKUP(TEXT(B128,"0"),STOCK!A:H,7,0),1)</f>
        <v>1</v>
      </c>
    </row>
    <row r="129" spans="10:10" ht="35.450000000000003" hidden="1" customHeight="1">
      <c r="J129" s="28">
        <f>IFERROR(VLOOKUP(TEXT(B129,"0"),STOCK!A:H,7,0),1)</f>
        <v>1</v>
      </c>
    </row>
    <row r="130" spans="10:10" ht="35.450000000000003" hidden="1" customHeight="1">
      <c r="J130" s="28">
        <f>IFERROR(VLOOKUP(TEXT(B130,"0"),STOCK!A:H,7,0),1)</f>
        <v>1</v>
      </c>
    </row>
    <row r="131" spans="10:10" ht="35.450000000000003" hidden="1" customHeight="1">
      <c r="J131" s="28">
        <f>IFERROR(VLOOKUP(TEXT(B131,"0"),STOCK!A:H,7,0),1)</f>
        <v>1</v>
      </c>
    </row>
    <row r="132" spans="10:10" ht="35.450000000000003" hidden="1" customHeight="1">
      <c r="J132" s="28">
        <f>IFERROR(VLOOKUP(TEXT(B132,"0"),STOCK!A:H,7,0),1)</f>
        <v>1</v>
      </c>
    </row>
    <row r="133" spans="10:10" ht="35.450000000000003" hidden="1" customHeight="1">
      <c r="J133" s="28">
        <f>IFERROR(VLOOKUP(TEXT(B133,"0"),STOCK!A:H,7,0),1)</f>
        <v>1</v>
      </c>
    </row>
    <row r="134" spans="10:10" ht="35.450000000000003" hidden="1" customHeight="1">
      <c r="J134" s="28">
        <f>IFERROR(VLOOKUP(TEXT(B134,"0"),STOCK!A:H,7,0),1)</f>
        <v>1</v>
      </c>
    </row>
    <row r="135" spans="10:10" ht="35.450000000000003" hidden="1" customHeight="1">
      <c r="J135" s="28">
        <f>IFERROR(VLOOKUP(TEXT(B135,"0"),STOCK!A:H,7,0),1)</f>
        <v>1</v>
      </c>
    </row>
    <row r="136" spans="10:10" ht="35.450000000000003" hidden="1" customHeight="1">
      <c r="J136" s="28">
        <f>IFERROR(VLOOKUP(TEXT(B136,"0"),STOCK!A:H,7,0),1)</f>
        <v>1</v>
      </c>
    </row>
    <row r="137" spans="10:10" ht="35.450000000000003" hidden="1" customHeight="1">
      <c r="J137" s="28">
        <f>IFERROR(VLOOKUP(TEXT(B137,"0"),STOCK!A:H,7,0),1)</f>
        <v>1</v>
      </c>
    </row>
    <row r="138" spans="10:10" ht="35.450000000000003" hidden="1" customHeight="1">
      <c r="J138" s="28">
        <f>IFERROR(VLOOKUP(TEXT(B138,"0"),STOCK!A:H,7,0),1)</f>
        <v>1</v>
      </c>
    </row>
    <row r="139" spans="10:10" ht="35.450000000000003" hidden="1" customHeight="1">
      <c r="J139" s="28">
        <f>IFERROR(VLOOKUP(TEXT(B139,"0"),STOCK!A:H,7,0),1)</f>
        <v>1</v>
      </c>
    </row>
    <row r="140" spans="10:10" ht="35.450000000000003" hidden="1" customHeight="1">
      <c r="J140" s="28">
        <f>IFERROR(VLOOKUP(TEXT(B140,"0"),STOCK!A:H,7,0),1)</f>
        <v>1</v>
      </c>
    </row>
    <row r="141" spans="10:10" ht="35.450000000000003" hidden="1" customHeight="1">
      <c r="J141" s="28">
        <f>IFERROR(VLOOKUP(TEXT(B141,"0"),STOCK!A:H,7,0),1)</f>
        <v>1</v>
      </c>
    </row>
    <row r="142" spans="10:10" ht="35.450000000000003" hidden="1" customHeight="1">
      <c r="J142" s="28">
        <f>IFERROR(VLOOKUP(TEXT(B142,"0"),STOCK!A:H,7,0),1)</f>
        <v>1</v>
      </c>
    </row>
    <row r="143" spans="10:10" ht="35.450000000000003" hidden="1" customHeight="1">
      <c r="J143" s="28">
        <f>IFERROR(VLOOKUP(TEXT(B143,"0"),STOCK!A:H,7,0),1)</f>
        <v>1</v>
      </c>
    </row>
    <row r="144" spans="10:10" ht="35.450000000000003" hidden="1" customHeight="1">
      <c r="J144" s="28">
        <f>IFERROR(VLOOKUP(TEXT(B144,"0"),STOCK!A:H,7,0),1)</f>
        <v>1</v>
      </c>
    </row>
    <row r="145" spans="10:10" ht="35.450000000000003" hidden="1" customHeight="1">
      <c r="J145" s="28">
        <f>IFERROR(VLOOKUP(TEXT(B145,"0"),STOCK!A:H,7,0),1)</f>
        <v>1</v>
      </c>
    </row>
    <row r="146" spans="10:10" ht="35.450000000000003" hidden="1" customHeight="1">
      <c r="J146" s="28">
        <f>IFERROR(VLOOKUP(TEXT(B146,"0"),STOCK!A:H,7,0),1)</f>
        <v>1</v>
      </c>
    </row>
    <row r="147" spans="10:10" ht="35.450000000000003" hidden="1" customHeight="1">
      <c r="J147" s="28">
        <f>IFERROR(VLOOKUP(TEXT(B147,"0"),STOCK!A:H,7,0),1)</f>
        <v>1</v>
      </c>
    </row>
    <row r="148" spans="10:10" ht="35.450000000000003" hidden="1" customHeight="1">
      <c r="J148" s="28">
        <f>IFERROR(VLOOKUP(TEXT(B148,"0"),STOCK!A:H,7,0),1)</f>
        <v>1</v>
      </c>
    </row>
    <row r="149" spans="10:10" ht="35.450000000000003" hidden="1" customHeight="1">
      <c r="J149" s="28">
        <f>IFERROR(VLOOKUP(TEXT(B149,"0"),STOCK!A:H,7,0),1)</f>
        <v>1</v>
      </c>
    </row>
    <row r="150" spans="10:10" ht="35.450000000000003" hidden="1" customHeight="1">
      <c r="J150" s="28">
        <f>IFERROR(VLOOKUP(TEXT(B150,"0"),STOCK!A:H,7,0),1)</f>
        <v>1</v>
      </c>
    </row>
    <row r="151" spans="10:10" ht="35.450000000000003" hidden="1" customHeight="1">
      <c r="J151" s="28">
        <f>IFERROR(VLOOKUP(TEXT(B151,"0"),STOCK!A:H,7,0),1)</f>
        <v>1</v>
      </c>
    </row>
    <row r="152" spans="10:10" ht="35.450000000000003" hidden="1" customHeight="1">
      <c r="J152" s="28">
        <f>IFERROR(VLOOKUP(TEXT(B152,"0"),STOCK!A:H,7,0),1)</f>
        <v>1</v>
      </c>
    </row>
    <row r="153" spans="10:10" ht="35.450000000000003" hidden="1" customHeight="1">
      <c r="J153" s="28">
        <f>IFERROR(VLOOKUP(TEXT(B153,"0"),STOCK!A:H,7,0),1)</f>
        <v>1</v>
      </c>
    </row>
    <row r="154" spans="10:10" ht="35.450000000000003" hidden="1" customHeight="1">
      <c r="J154" s="28">
        <f>IFERROR(VLOOKUP(TEXT(B154,"0"),STOCK!A:H,7,0),1)</f>
        <v>1</v>
      </c>
    </row>
    <row r="155" spans="10:10" ht="35.450000000000003" hidden="1" customHeight="1">
      <c r="J155" s="28">
        <f>IFERROR(VLOOKUP(TEXT(B155,"0"),STOCK!A:H,7,0),1)</f>
        <v>1</v>
      </c>
    </row>
    <row r="156" spans="10:10" ht="35.450000000000003" hidden="1" customHeight="1">
      <c r="J156" s="28">
        <f>IFERROR(VLOOKUP(TEXT(B156,"0"),STOCK!A:H,7,0),1)</f>
        <v>1</v>
      </c>
    </row>
    <row r="157" spans="10:10" ht="35.450000000000003" hidden="1" customHeight="1">
      <c r="J157" s="28">
        <f>IFERROR(VLOOKUP(TEXT(B157,"0"),STOCK!A:H,7,0),1)</f>
        <v>1</v>
      </c>
    </row>
    <row r="158" spans="10:10" ht="35.450000000000003" hidden="1" customHeight="1">
      <c r="J158" s="28">
        <f>IFERROR(VLOOKUP(TEXT(B158,"0"),STOCK!A:H,7,0),1)</f>
        <v>1</v>
      </c>
    </row>
    <row r="159" spans="10:10" ht="35.450000000000003" hidden="1" customHeight="1">
      <c r="J159" s="28">
        <f>IFERROR(VLOOKUP(TEXT(B159,"0"),STOCK!A:H,7,0),1)</f>
        <v>1</v>
      </c>
    </row>
    <row r="160" spans="10:10" ht="35.450000000000003" hidden="1" customHeight="1">
      <c r="J160" s="28">
        <f>IFERROR(VLOOKUP(TEXT(B160,"0"),STOCK!A:H,7,0),1)</f>
        <v>1</v>
      </c>
    </row>
    <row r="161" spans="10:10" ht="35.450000000000003" hidden="1" customHeight="1">
      <c r="J161" s="28">
        <f>IFERROR(VLOOKUP(TEXT(B161,"0"),STOCK!A:H,7,0),1)</f>
        <v>1</v>
      </c>
    </row>
    <row r="162" spans="10:10" ht="35.450000000000003" hidden="1" customHeight="1">
      <c r="J162" s="28">
        <f>IFERROR(VLOOKUP(TEXT(B162,"0"),STOCK!A:H,7,0),1)</f>
        <v>1</v>
      </c>
    </row>
    <row r="163" spans="10:10" ht="35.450000000000003" hidden="1" customHeight="1">
      <c r="J163" s="28">
        <f>IFERROR(VLOOKUP(TEXT(B163,"0"),STOCK!A:H,7,0),1)</f>
        <v>1</v>
      </c>
    </row>
    <row r="164" spans="10:10" ht="35.450000000000003" hidden="1" customHeight="1">
      <c r="J164" s="28">
        <f>IFERROR(VLOOKUP(TEXT(B164,"0"),STOCK!A:H,7,0),1)</f>
        <v>1</v>
      </c>
    </row>
    <row r="165" spans="10:10" ht="35.450000000000003" hidden="1" customHeight="1">
      <c r="J165" s="28">
        <f>IFERROR(VLOOKUP(TEXT(B165,"0"),STOCK!A:H,7,0),1)</f>
        <v>1</v>
      </c>
    </row>
    <row r="166" spans="10:10" ht="35.450000000000003" hidden="1" customHeight="1">
      <c r="J166" s="28">
        <f>IFERROR(VLOOKUP(TEXT(B166,"0"),STOCK!A:H,7,0),1)</f>
        <v>1</v>
      </c>
    </row>
    <row r="167" spans="10:10" ht="35.450000000000003" hidden="1" customHeight="1">
      <c r="J167" s="28">
        <f>IFERROR(VLOOKUP(TEXT(B167,"0"),STOCK!A:H,7,0),1)</f>
        <v>1</v>
      </c>
    </row>
    <row r="168" spans="10:10" ht="35.450000000000003" hidden="1" customHeight="1">
      <c r="J168" s="28">
        <f>IFERROR(VLOOKUP(TEXT(B168,"0"),STOCK!A:H,7,0),1)</f>
        <v>1</v>
      </c>
    </row>
    <row r="169" spans="10:10" ht="35.450000000000003" hidden="1" customHeight="1">
      <c r="J169" s="28">
        <f>IFERROR(VLOOKUP(TEXT(B169,"0"),STOCK!A:H,7,0),1)</f>
        <v>1</v>
      </c>
    </row>
    <row r="170" spans="10:10" ht="35.450000000000003" hidden="1" customHeight="1">
      <c r="J170" s="28">
        <f>IFERROR(VLOOKUP(TEXT(B170,"0"),STOCK!A:H,7,0),1)</f>
        <v>1</v>
      </c>
    </row>
    <row r="171" spans="10:10" ht="35.450000000000003" hidden="1" customHeight="1">
      <c r="J171" s="28">
        <f>IFERROR(VLOOKUP(TEXT(B171,"0"),STOCK!A:H,7,0),1)</f>
        <v>1</v>
      </c>
    </row>
    <row r="172" spans="10:10" ht="35.450000000000003" hidden="1" customHeight="1">
      <c r="J172" s="28">
        <f>IFERROR(VLOOKUP(TEXT(B172,"0"),STOCK!A:H,7,0),1)</f>
        <v>1</v>
      </c>
    </row>
    <row r="173" spans="10:10" ht="35.450000000000003" hidden="1" customHeight="1">
      <c r="J173" s="28">
        <f>IFERROR(VLOOKUP(TEXT(B173,"0"),STOCK!A:H,7,0),1)</f>
        <v>1</v>
      </c>
    </row>
    <row r="174" spans="10:10" ht="35.450000000000003" hidden="1" customHeight="1">
      <c r="J174" s="28">
        <f>IFERROR(VLOOKUP(TEXT(B174,"0"),STOCK!A:H,7,0),1)</f>
        <v>1</v>
      </c>
    </row>
    <row r="175" spans="10:10" ht="35.450000000000003" hidden="1" customHeight="1">
      <c r="J175" s="28">
        <f>IFERROR(VLOOKUP(TEXT(B175,"0"),STOCK!A:H,7,0),1)</f>
        <v>1</v>
      </c>
    </row>
    <row r="176" spans="10:10" ht="35.450000000000003" hidden="1" customHeight="1">
      <c r="J176" s="28">
        <f>IFERROR(VLOOKUP(TEXT(B176,"0"),STOCK!A:H,7,0),1)</f>
        <v>1</v>
      </c>
    </row>
    <row r="177" spans="10:10" ht="35.450000000000003" hidden="1" customHeight="1">
      <c r="J177" s="28">
        <f>IFERROR(VLOOKUP(TEXT(B177,"0"),STOCK!A:H,7,0),1)</f>
        <v>1</v>
      </c>
    </row>
    <row r="178" spans="10:10" ht="35.450000000000003" hidden="1" customHeight="1">
      <c r="J178" s="28">
        <f>IFERROR(VLOOKUP(TEXT(B178,"0"),STOCK!A:H,7,0),1)</f>
        <v>1</v>
      </c>
    </row>
    <row r="179" spans="10:10" ht="35.450000000000003" hidden="1" customHeight="1">
      <c r="J179" s="28">
        <f>IFERROR(VLOOKUP(TEXT(B179,"0"),STOCK!A:H,7,0),1)</f>
        <v>1</v>
      </c>
    </row>
    <row r="180" spans="10:10" ht="35.450000000000003" hidden="1" customHeight="1">
      <c r="J180" s="28">
        <f>IFERROR(VLOOKUP(TEXT(B180,"0"),STOCK!A:H,7,0),1)</f>
        <v>1</v>
      </c>
    </row>
    <row r="181" spans="10:10" ht="35.450000000000003" hidden="1" customHeight="1">
      <c r="J181" s="28">
        <f>IFERROR(VLOOKUP(TEXT(B181,"0"),STOCK!A:H,7,0),1)</f>
        <v>1</v>
      </c>
    </row>
    <row r="182" spans="10:10" ht="35.450000000000003" hidden="1" customHeight="1">
      <c r="J182" s="28">
        <f>IFERROR(VLOOKUP(TEXT(B182,"0"),STOCK!A:H,7,0),1)</f>
        <v>1</v>
      </c>
    </row>
    <row r="183" spans="10:10" ht="35.450000000000003" hidden="1" customHeight="1">
      <c r="J183" s="28">
        <f>IFERROR(VLOOKUP(TEXT(B183,"0"),STOCK!A:H,7,0),1)</f>
        <v>1</v>
      </c>
    </row>
    <row r="184" spans="10:10" ht="35.450000000000003" hidden="1" customHeight="1">
      <c r="J184" s="28">
        <f>IFERROR(VLOOKUP(TEXT(B184,"0"),STOCK!A:H,7,0),1)</f>
        <v>1</v>
      </c>
    </row>
    <row r="185" spans="10:10" ht="35.450000000000003" hidden="1" customHeight="1">
      <c r="J185" s="28">
        <f>IFERROR(VLOOKUP(TEXT(B185,"0"),STOCK!A:H,7,0),1)</f>
        <v>1</v>
      </c>
    </row>
    <row r="186" spans="10:10" ht="35.450000000000003" hidden="1" customHeight="1">
      <c r="J186" s="28">
        <f>IFERROR(VLOOKUP(TEXT(B186,"0"),STOCK!A:H,7,0),1)</f>
        <v>1</v>
      </c>
    </row>
    <row r="187" spans="10:10" ht="35.450000000000003" hidden="1" customHeight="1">
      <c r="J187" s="28">
        <f>IFERROR(VLOOKUP(TEXT(B187,"0"),STOCK!A:H,7,0),1)</f>
        <v>1</v>
      </c>
    </row>
    <row r="188" spans="10:10" ht="35.450000000000003" hidden="1" customHeight="1">
      <c r="J188" s="28">
        <f>IFERROR(VLOOKUP(TEXT(B188,"0"),STOCK!A:H,7,0),1)</f>
        <v>1</v>
      </c>
    </row>
    <row r="189" spans="10:10" ht="35.450000000000003" hidden="1" customHeight="1">
      <c r="J189" s="28">
        <f>IFERROR(VLOOKUP(TEXT(B189,"0"),STOCK!A:H,7,0),1)</f>
        <v>1</v>
      </c>
    </row>
    <row r="190" spans="10:10" ht="35.450000000000003" hidden="1" customHeight="1">
      <c r="J190" s="28">
        <f>IFERROR(VLOOKUP(TEXT(B190,"0"),STOCK!A:H,7,0),1)</f>
        <v>1</v>
      </c>
    </row>
    <row r="191" spans="10:10" ht="35.450000000000003" hidden="1" customHeight="1">
      <c r="J191" s="28">
        <f>IFERROR(VLOOKUP(TEXT(B191,"0"),STOCK!A:H,7,0),1)</f>
        <v>1</v>
      </c>
    </row>
    <row r="192" spans="10:10" ht="35.450000000000003" hidden="1" customHeight="1">
      <c r="J192" s="28">
        <f>IFERROR(VLOOKUP(TEXT(B192,"0"),STOCK!A:H,7,0),1)</f>
        <v>1</v>
      </c>
    </row>
    <row r="193" spans="10:10" ht="35.450000000000003" hidden="1" customHeight="1">
      <c r="J193" s="28">
        <f>IFERROR(VLOOKUP(TEXT(B193,"0"),STOCK!A:H,7,0),1)</f>
        <v>1</v>
      </c>
    </row>
    <row r="194" spans="10:10" ht="35.450000000000003" hidden="1" customHeight="1">
      <c r="J194" s="28">
        <f>IFERROR(VLOOKUP(TEXT(B194,"0"),STOCK!A:H,7,0),1)</f>
        <v>1</v>
      </c>
    </row>
    <row r="195" spans="10:10" ht="35.450000000000003" hidden="1" customHeight="1">
      <c r="J195" s="28">
        <f>IFERROR(VLOOKUP(TEXT(B195,"0"),STOCK!A:H,7,0),1)</f>
        <v>1</v>
      </c>
    </row>
    <row r="196" spans="10:10" ht="35.450000000000003" hidden="1" customHeight="1">
      <c r="J196" s="28">
        <f>IFERROR(VLOOKUP(TEXT(B196,"0"),STOCK!A:H,7,0),1)</f>
        <v>1</v>
      </c>
    </row>
    <row r="197" spans="10:10" ht="35.450000000000003" hidden="1" customHeight="1">
      <c r="J197" s="28">
        <f>IFERROR(VLOOKUP(TEXT(B197,"0"),STOCK!A:H,7,0),1)</f>
        <v>1</v>
      </c>
    </row>
    <row r="198" spans="10:10" ht="35.450000000000003" hidden="1" customHeight="1">
      <c r="J198" s="28">
        <f>IFERROR(VLOOKUP(TEXT(B198,"0"),STOCK!A:H,7,0),1)</f>
        <v>1</v>
      </c>
    </row>
    <row r="199" spans="10:10" ht="35.450000000000003" hidden="1" customHeight="1">
      <c r="J199" s="28">
        <f>IFERROR(VLOOKUP(TEXT(B199,"0"),STOCK!A:H,7,0),1)</f>
        <v>1</v>
      </c>
    </row>
    <row r="200" spans="10:10" ht="35.450000000000003" hidden="1" customHeight="1">
      <c r="J200" s="28">
        <f>IFERROR(VLOOKUP(TEXT(B200,"0"),STOCK!A:H,7,0),1)</f>
        <v>1</v>
      </c>
    </row>
    <row r="201" spans="10:10" ht="35.450000000000003" hidden="1" customHeight="1">
      <c r="J201" s="28">
        <f>IFERROR(VLOOKUP(TEXT(B201,"0"),STOCK!A:H,7,0),1)</f>
        <v>1</v>
      </c>
    </row>
    <row r="202" spans="10:10" ht="35.450000000000003" hidden="1" customHeight="1">
      <c r="J202" s="28">
        <f>IFERROR(VLOOKUP(TEXT(B202,"0"),STOCK!A:H,7,0),1)</f>
        <v>1</v>
      </c>
    </row>
    <row r="203" spans="10:10" ht="35.450000000000003" hidden="1" customHeight="1">
      <c r="J203" s="28">
        <f>IFERROR(VLOOKUP(TEXT(B203,"0"),STOCK!A:H,7,0),1)</f>
        <v>1</v>
      </c>
    </row>
    <row r="204" spans="10:10" ht="35.450000000000003" hidden="1" customHeight="1">
      <c r="J204" s="28">
        <f>IFERROR(VLOOKUP(TEXT(B204,"0"),STOCK!A:H,7,0),1)</f>
        <v>1</v>
      </c>
    </row>
    <row r="205" spans="10:10" ht="35.450000000000003" hidden="1" customHeight="1">
      <c r="J205" s="28">
        <f>IFERROR(VLOOKUP(TEXT(B205,"0"),STOCK!A:H,7,0),1)</f>
        <v>1</v>
      </c>
    </row>
    <row r="206" spans="10:10" ht="35.450000000000003" hidden="1" customHeight="1">
      <c r="J206" s="28">
        <f>IFERROR(VLOOKUP(TEXT(B206,"0"),STOCK!A:H,7,0),1)</f>
        <v>1</v>
      </c>
    </row>
    <row r="207" spans="10:10" ht="35.450000000000003" hidden="1" customHeight="1">
      <c r="J207" s="28">
        <f>IFERROR(VLOOKUP(TEXT(B207,"0"),STOCK!A:H,7,0),1)</f>
        <v>1</v>
      </c>
    </row>
    <row r="208" spans="10:10" ht="35.450000000000003" hidden="1" customHeight="1">
      <c r="J208" s="28">
        <f>IFERROR(VLOOKUP(TEXT(B208,"0"),STOCK!A:H,7,0),1)</f>
        <v>1</v>
      </c>
    </row>
    <row r="209" spans="10:10" ht="35.450000000000003" hidden="1" customHeight="1">
      <c r="J209" s="28">
        <f>IFERROR(VLOOKUP(TEXT(B209,"0"),STOCK!A:H,7,0),1)</f>
        <v>1</v>
      </c>
    </row>
    <row r="210" spans="10:10" ht="35.450000000000003" hidden="1" customHeight="1">
      <c r="J210" s="28">
        <f>IFERROR(VLOOKUP(TEXT(B210,"0"),STOCK!A:H,7,0),1)</f>
        <v>1</v>
      </c>
    </row>
    <row r="211" spans="10:10" ht="35.450000000000003" hidden="1" customHeight="1">
      <c r="J211" s="28">
        <f>IFERROR(VLOOKUP(TEXT(B211,"0"),STOCK!A:H,7,0),1)</f>
        <v>1</v>
      </c>
    </row>
    <row r="212" spans="10:10" ht="35.450000000000003" hidden="1" customHeight="1">
      <c r="J212" s="28">
        <f>IFERROR(VLOOKUP(TEXT(B212,"0"),STOCK!A:H,7,0),1)</f>
        <v>1</v>
      </c>
    </row>
    <row r="213" spans="10:10" ht="35.450000000000003" hidden="1" customHeight="1">
      <c r="J213" s="28">
        <f>IFERROR(VLOOKUP(TEXT(B213,"0"),STOCK!A:H,7,0),1)</f>
        <v>1</v>
      </c>
    </row>
    <row r="214" spans="10:10" ht="35.450000000000003" hidden="1" customHeight="1">
      <c r="J214" s="28">
        <f>IFERROR(VLOOKUP(TEXT(B214,"0"),STOCK!A:H,7,0),1)</f>
        <v>1</v>
      </c>
    </row>
    <row r="215" spans="10:10" ht="35.450000000000003" hidden="1" customHeight="1">
      <c r="J215" s="28">
        <f>IFERROR(VLOOKUP(TEXT(B215,"0"),STOCK!A:H,7,0),1)</f>
        <v>1</v>
      </c>
    </row>
    <row r="216" spans="10:10" ht="35.450000000000003" hidden="1" customHeight="1">
      <c r="J216" s="28">
        <f>IFERROR(VLOOKUP(TEXT(B216,"0"),STOCK!A:H,7,0),1)</f>
        <v>1</v>
      </c>
    </row>
    <row r="217" spans="10:10" ht="35.450000000000003" hidden="1" customHeight="1">
      <c r="J217" s="28">
        <f>IFERROR(VLOOKUP(TEXT(B217,"0"),STOCK!A:H,7,0),1)</f>
        <v>1</v>
      </c>
    </row>
    <row r="218" spans="10:10" ht="35.450000000000003" hidden="1" customHeight="1">
      <c r="J218" s="28">
        <f>IFERROR(VLOOKUP(TEXT(B218,"0"),STOCK!A:H,7,0),1)</f>
        <v>1</v>
      </c>
    </row>
    <row r="219" spans="10:10" ht="35.450000000000003" hidden="1" customHeight="1">
      <c r="J219" s="28">
        <f>IFERROR(VLOOKUP(TEXT(B219,"0"),STOCK!A:H,7,0),1)</f>
        <v>1</v>
      </c>
    </row>
    <row r="220" spans="10:10" ht="35.450000000000003" hidden="1" customHeight="1">
      <c r="J220" s="28">
        <f>IFERROR(VLOOKUP(TEXT(B220,"0"),STOCK!A:H,7,0),1)</f>
        <v>1</v>
      </c>
    </row>
    <row r="221" spans="10:10" ht="35.450000000000003" hidden="1" customHeight="1">
      <c r="J221" s="28">
        <f>IFERROR(VLOOKUP(TEXT(B221,"0"),STOCK!A:H,7,0),1)</f>
        <v>1</v>
      </c>
    </row>
    <row r="222" spans="10:10" ht="35.450000000000003" hidden="1" customHeight="1">
      <c r="J222" s="28">
        <f>IFERROR(VLOOKUP(TEXT(B222,"0"),STOCK!A:H,7,0),1)</f>
        <v>1</v>
      </c>
    </row>
    <row r="223" spans="10:10" ht="35.450000000000003" hidden="1" customHeight="1">
      <c r="J223" s="28">
        <f>IFERROR(VLOOKUP(TEXT(B223,"0"),STOCK!A:H,7,0),1)</f>
        <v>1</v>
      </c>
    </row>
    <row r="224" spans="10:10" ht="35.450000000000003" hidden="1" customHeight="1">
      <c r="J224" s="28">
        <f>IFERROR(VLOOKUP(TEXT(B224,"0"),STOCK!A:H,7,0),1)</f>
        <v>1</v>
      </c>
    </row>
    <row r="225" spans="10:10" ht="35.450000000000003" hidden="1" customHeight="1">
      <c r="J225" s="28">
        <f>IFERROR(VLOOKUP(TEXT(B225,"0"),STOCK!A:H,7,0),1)</f>
        <v>1</v>
      </c>
    </row>
    <row r="226" spans="10:10" ht="35.450000000000003" hidden="1" customHeight="1">
      <c r="J226" s="28">
        <f>IFERROR(VLOOKUP(TEXT(B226,"0"),STOCK!A:H,7,0),1)</f>
        <v>1</v>
      </c>
    </row>
    <row r="227" spans="10:10" ht="35.450000000000003" hidden="1" customHeight="1">
      <c r="J227" s="28">
        <f>IFERROR(VLOOKUP(TEXT(B227,"0"),STOCK!A:H,7,0),1)</f>
        <v>1</v>
      </c>
    </row>
    <row r="228" spans="10:10" ht="35.450000000000003" hidden="1" customHeight="1">
      <c r="J228" s="28">
        <f>IFERROR(VLOOKUP(TEXT(B228,"0"),STOCK!A:H,7,0),1)</f>
        <v>1</v>
      </c>
    </row>
    <row r="229" spans="10:10" ht="35.450000000000003" hidden="1" customHeight="1">
      <c r="J229" s="28">
        <f>IFERROR(VLOOKUP(TEXT(B229,"0"),STOCK!A:H,7,0),1)</f>
        <v>1</v>
      </c>
    </row>
    <row r="230" spans="10:10" ht="35.450000000000003" hidden="1" customHeight="1">
      <c r="J230" s="28">
        <f>IFERROR(VLOOKUP(TEXT(B230,"0"),STOCK!A:H,7,0),1)</f>
        <v>1</v>
      </c>
    </row>
    <row r="231" spans="10:10" ht="35.450000000000003" hidden="1" customHeight="1">
      <c r="J231" s="28">
        <f>IFERROR(VLOOKUP(TEXT(B231,"0"),STOCK!A:H,7,0),1)</f>
        <v>1</v>
      </c>
    </row>
    <row r="232" spans="10:10" ht="35.450000000000003" hidden="1" customHeight="1">
      <c r="J232" s="28">
        <f>IFERROR(VLOOKUP(TEXT(B232,"0"),STOCK!A:H,7,0),1)</f>
        <v>1</v>
      </c>
    </row>
    <row r="233" spans="10:10" ht="35.450000000000003" hidden="1" customHeight="1">
      <c r="J233" s="28">
        <f>IFERROR(VLOOKUP(TEXT(B233,"0"),STOCK!A:H,7,0),1)</f>
        <v>1</v>
      </c>
    </row>
    <row r="234" spans="10:10" ht="35.450000000000003" hidden="1" customHeight="1">
      <c r="J234" s="28">
        <f>IFERROR(VLOOKUP(TEXT(B234,"0"),STOCK!A:H,7,0),1)</f>
        <v>1</v>
      </c>
    </row>
    <row r="235" spans="10:10" ht="35.450000000000003" hidden="1" customHeight="1">
      <c r="J235" s="28">
        <f>IFERROR(VLOOKUP(TEXT(B235,"0"),STOCK!A:H,7,0),1)</f>
        <v>1</v>
      </c>
    </row>
    <row r="236" spans="10:10" ht="35.450000000000003" hidden="1" customHeight="1">
      <c r="J236" s="28">
        <f>IFERROR(VLOOKUP(TEXT(B236,"0"),STOCK!A:H,7,0),1)</f>
        <v>1</v>
      </c>
    </row>
    <row r="237" spans="10:10" ht="35.450000000000003" hidden="1" customHeight="1">
      <c r="J237" s="28">
        <f>IFERROR(VLOOKUP(TEXT(B237,"0"),STOCK!A:H,7,0),1)</f>
        <v>1</v>
      </c>
    </row>
    <row r="238" spans="10:10" ht="35.450000000000003" hidden="1" customHeight="1">
      <c r="J238" s="28">
        <f>IFERROR(VLOOKUP(TEXT(B238,"0"),STOCK!A:H,7,0),1)</f>
        <v>1</v>
      </c>
    </row>
    <row r="239" spans="10:10" ht="35.450000000000003" hidden="1" customHeight="1">
      <c r="J239" s="28">
        <f>IFERROR(VLOOKUP(TEXT(B239,"0"),STOCK!A:H,7,0),1)</f>
        <v>1</v>
      </c>
    </row>
    <row r="240" spans="10:10" ht="35.450000000000003" hidden="1" customHeight="1">
      <c r="J240" s="28">
        <f>IFERROR(VLOOKUP(TEXT(B240,"0"),STOCK!A:H,7,0),1)</f>
        <v>1</v>
      </c>
    </row>
    <row r="241" spans="10:10" ht="35.450000000000003" hidden="1" customHeight="1">
      <c r="J241" s="28">
        <f>IFERROR(VLOOKUP(TEXT(B241,"0"),STOCK!A:H,7,0),1)</f>
        <v>1</v>
      </c>
    </row>
    <row r="242" spans="10:10" ht="35.450000000000003" hidden="1" customHeight="1">
      <c r="J242" s="28">
        <f>IFERROR(VLOOKUP(TEXT(B242,"0"),STOCK!A:H,7,0),1)</f>
        <v>1</v>
      </c>
    </row>
    <row r="243" spans="10:10" ht="35.450000000000003" hidden="1" customHeight="1">
      <c r="J243" s="28">
        <f>IFERROR(VLOOKUP(TEXT(B243,"0"),STOCK!A:H,7,0),1)</f>
        <v>1</v>
      </c>
    </row>
    <row r="244" spans="10:10" ht="35.450000000000003" hidden="1" customHeight="1">
      <c r="J244" s="28">
        <f>IFERROR(VLOOKUP(TEXT(B244,"0"),STOCK!A:H,7,0),1)</f>
        <v>1</v>
      </c>
    </row>
    <row r="245" spans="10:10" ht="35.450000000000003" hidden="1" customHeight="1">
      <c r="J245" s="28">
        <f>IFERROR(VLOOKUP(TEXT(B245,"0"),STOCK!A:H,7,0),1)</f>
        <v>1</v>
      </c>
    </row>
    <row r="246" spans="10:10" ht="35.450000000000003" hidden="1" customHeight="1">
      <c r="J246" s="28">
        <f>IFERROR(VLOOKUP(TEXT(B246,"0"),STOCK!A:H,7,0),1)</f>
        <v>1</v>
      </c>
    </row>
    <row r="247" spans="10:10" ht="35.450000000000003" hidden="1" customHeight="1">
      <c r="J247" s="28">
        <f>IFERROR(VLOOKUP(TEXT(B247,"0"),STOCK!A:H,7,0),1)</f>
        <v>1</v>
      </c>
    </row>
    <row r="248" spans="10:10" ht="35.450000000000003" hidden="1" customHeight="1">
      <c r="J248" s="28">
        <f>IFERROR(VLOOKUP(TEXT(B248,"0"),STOCK!A:H,7,0),1)</f>
        <v>1</v>
      </c>
    </row>
    <row r="249" spans="10:10" ht="35.450000000000003" hidden="1" customHeight="1">
      <c r="J249" s="28">
        <f>IFERROR(VLOOKUP(TEXT(B249,"0"),STOCK!A:H,7,0),1)</f>
        <v>1</v>
      </c>
    </row>
    <row r="250" spans="10:10" ht="35.450000000000003" hidden="1" customHeight="1">
      <c r="J250" s="28">
        <f>IFERROR(VLOOKUP(TEXT(B250,"0"),STOCK!A:H,7,0),1)</f>
        <v>1</v>
      </c>
    </row>
    <row r="251" spans="10:10" ht="35.450000000000003" hidden="1" customHeight="1">
      <c r="J251" s="28">
        <f>IFERROR(VLOOKUP(TEXT(B251,"0"),STOCK!A:H,7,0),1)</f>
        <v>1</v>
      </c>
    </row>
    <row r="252" spans="10:10" ht="35.450000000000003" hidden="1" customHeight="1">
      <c r="J252" s="28">
        <f>IFERROR(VLOOKUP(TEXT(B252,"0"),STOCK!A:H,7,0),1)</f>
        <v>1</v>
      </c>
    </row>
    <row r="253" spans="10:10" ht="35.450000000000003" hidden="1" customHeight="1">
      <c r="J253" s="28">
        <f>IFERROR(VLOOKUP(TEXT(B253,"0"),STOCK!A:H,7,0),1)</f>
        <v>1</v>
      </c>
    </row>
    <row r="254" spans="10:10" ht="35.450000000000003" hidden="1" customHeight="1">
      <c r="J254" s="28">
        <f>IFERROR(VLOOKUP(TEXT(B254,"0"),STOCK!A:H,7,0),1)</f>
        <v>1</v>
      </c>
    </row>
    <row r="255" spans="10:10" ht="35.450000000000003" hidden="1" customHeight="1">
      <c r="J255" s="28">
        <f>IFERROR(VLOOKUP(TEXT(B255,"0"),STOCK!A:H,7,0),1)</f>
        <v>1</v>
      </c>
    </row>
    <row r="256" spans="10:10" ht="35.450000000000003" hidden="1" customHeight="1">
      <c r="J256" s="28">
        <f>IFERROR(VLOOKUP(TEXT(B256,"0"),STOCK!A:H,7,0),1)</f>
        <v>1</v>
      </c>
    </row>
    <row r="257" spans="10:10" ht="35.450000000000003" hidden="1" customHeight="1">
      <c r="J257" s="28">
        <f>IFERROR(VLOOKUP(TEXT(B257,"0"),STOCK!A:H,7,0),1)</f>
        <v>1</v>
      </c>
    </row>
    <row r="258" spans="10:10" ht="35.450000000000003" hidden="1" customHeight="1">
      <c r="J258" s="28">
        <f>IFERROR(VLOOKUP(TEXT(B258,"0"),STOCK!A:H,7,0),1)</f>
        <v>1</v>
      </c>
    </row>
    <row r="259" spans="10:10" ht="35.450000000000003" hidden="1" customHeight="1">
      <c r="J259" s="28">
        <f>IFERROR(VLOOKUP(TEXT(B259,"0"),STOCK!A:H,7,0),1)</f>
        <v>1</v>
      </c>
    </row>
    <row r="260" spans="10:10" ht="35.450000000000003" hidden="1" customHeight="1">
      <c r="J260" s="28">
        <f>IFERROR(VLOOKUP(TEXT(B260,"0"),STOCK!A:H,7,0),1)</f>
        <v>1</v>
      </c>
    </row>
    <row r="261" spans="10:10" ht="35.450000000000003" hidden="1" customHeight="1">
      <c r="J261" s="28">
        <f>IFERROR(VLOOKUP(TEXT(B261,"0"),STOCK!A:H,7,0),1)</f>
        <v>1</v>
      </c>
    </row>
    <row r="262" spans="10:10" ht="35.450000000000003" hidden="1" customHeight="1">
      <c r="J262" s="28">
        <f>IFERROR(VLOOKUP(TEXT(B262,"0"),STOCK!A:H,7,0),1)</f>
        <v>1</v>
      </c>
    </row>
    <row r="263" spans="10:10" ht="35.450000000000003" hidden="1" customHeight="1">
      <c r="J263" s="28">
        <f>IFERROR(VLOOKUP(TEXT(B263,"0"),STOCK!A:H,7,0),1)</f>
        <v>1</v>
      </c>
    </row>
    <row r="264" spans="10:10" ht="35.450000000000003" hidden="1" customHeight="1">
      <c r="J264" s="28">
        <f>IFERROR(VLOOKUP(TEXT(B264,"0"),STOCK!A:H,7,0),1)</f>
        <v>1</v>
      </c>
    </row>
    <row r="265" spans="10:10" ht="35.450000000000003" hidden="1" customHeight="1">
      <c r="J265" s="28">
        <f>IFERROR(VLOOKUP(TEXT(B265,"0"),STOCK!A:H,7,0),1)</f>
        <v>1</v>
      </c>
    </row>
    <row r="266" spans="10:10" ht="35.450000000000003" hidden="1" customHeight="1">
      <c r="J266" s="28">
        <f>IFERROR(VLOOKUP(TEXT(B266,"0"),STOCK!A:H,7,0),1)</f>
        <v>1</v>
      </c>
    </row>
    <row r="267" spans="10:10" ht="35.450000000000003" hidden="1" customHeight="1">
      <c r="J267" s="28">
        <f>IFERROR(VLOOKUP(TEXT(B267,"0"),STOCK!A:H,7,0),1)</f>
        <v>1</v>
      </c>
    </row>
    <row r="268" spans="10:10" ht="35.450000000000003" hidden="1" customHeight="1">
      <c r="J268" s="28">
        <f>IFERROR(VLOOKUP(TEXT(B268,"0"),STOCK!A:H,7,0),1)</f>
        <v>1</v>
      </c>
    </row>
    <row r="269" spans="10:10" ht="35.450000000000003" hidden="1" customHeight="1">
      <c r="J269" s="28">
        <f>IFERROR(VLOOKUP(TEXT(B269,"0"),STOCK!A:H,7,0),1)</f>
        <v>1</v>
      </c>
    </row>
    <row r="270" spans="10:10" ht="35.450000000000003" hidden="1" customHeight="1">
      <c r="J270" s="28">
        <f>IFERROR(VLOOKUP(TEXT(B270,"0"),STOCK!A:H,7,0),1)</f>
        <v>1</v>
      </c>
    </row>
    <row r="271" spans="10:10" ht="35.450000000000003" hidden="1" customHeight="1">
      <c r="J271" s="28">
        <f>IFERROR(VLOOKUP(TEXT(B271,"0"),STOCK!A:H,7,0),1)</f>
        <v>1</v>
      </c>
    </row>
    <row r="272" spans="10:10" ht="35.450000000000003" hidden="1" customHeight="1">
      <c r="J272" s="28">
        <f>IFERROR(VLOOKUP(TEXT(B272,"0"),STOCK!A:H,7,0),1)</f>
        <v>1</v>
      </c>
    </row>
    <row r="273" spans="10:10" ht="35.450000000000003" hidden="1" customHeight="1">
      <c r="J273" s="28">
        <f>IFERROR(VLOOKUP(TEXT(B273,"0"),STOCK!A:H,7,0),1)</f>
        <v>1</v>
      </c>
    </row>
    <row r="274" spans="10:10" ht="35.450000000000003" hidden="1" customHeight="1">
      <c r="J274" s="28">
        <f>IFERROR(VLOOKUP(TEXT(B274,"0"),STOCK!A:H,7,0),1)</f>
        <v>1</v>
      </c>
    </row>
    <row r="275" spans="10:10" ht="35.450000000000003" hidden="1" customHeight="1">
      <c r="J275" s="28">
        <f>IFERROR(VLOOKUP(TEXT(B275,"0"),STOCK!A:H,7,0),1)</f>
        <v>1</v>
      </c>
    </row>
    <row r="276" spans="10:10" ht="35.450000000000003" hidden="1" customHeight="1">
      <c r="J276" s="28">
        <f>IFERROR(VLOOKUP(TEXT(B276,"0"),STOCK!A:H,7,0),1)</f>
        <v>1</v>
      </c>
    </row>
    <row r="277" spans="10:10" ht="35.450000000000003" hidden="1" customHeight="1">
      <c r="J277" s="28">
        <f>IFERROR(VLOOKUP(TEXT(B277,"0"),STOCK!A:H,7,0),1)</f>
        <v>1</v>
      </c>
    </row>
    <row r="278" spans="10:10" ht="35.450000000000003" hidden="1" customHeight="1">
      <c r="J278" s="28">
        <f>IFERROR(VLOOKUP(TEXT(B278,"0"),STOCK!A:H,7,0),1)</f>
        <v>1</v>
      </c>
    </row>
    <row r="279" spans="10:10" ht="35.450000000000003" hidden="1" customHeight="1">
      <c r="J279" s="28">
        <f>IFERROR(VLOOKUP(TEXT(B279,"0"),STOCK!A:H,7,0),1)</f>
        <v>1</v>
      </c>
    </row>
    <row r="280" spans="10:10" ht="35.450000000000003" hidden="1" customHeight="1">
      <c r="J280" s="28">
        <f>IFERROR(VLOOKUP(TEXT(B280,"0"),STOCK!A:H,7,0),1)</f>
        <v>1</v>
      </c>
    </row>
    <row r="281" spans="10:10" ht="35.450000000000003" hidden="1" customHeight="1">
      <c r="J281" s="28">
        <f>IFERROR(VLOOKUP(TEXT(B281,"0"),STOCK!A:H,7,0),1)</f>
        <v>1</v>
      </c>
    </row>
    <row r="282" spans="10:10" ht="35.450000000000003" hidden="1" customHeight="1">
      <c r="J282" s="28">
        <f>IFERROR(VLOOKUP(TEXT(B282,"0"),STOCK!A:H,7,0),1)</f>
        <v>1</v>
      </c>
    </row>
    <row r="283" spans="10:10" ht="35.450000000000003" hidden="1" customHeight="1">
      <c r="J283" s="28">
        <f>IFERROR(VLOOKUP(TEXT(B283,"0"),STOCK!A:H,7,0),1)</f>
        <v>1</v>
      </c>
    </row>
    <row r="284" spans="10:10" ht="35.450000000000003" hidden="1" customHeight="1">
      <c r="J284" s="28">
        <f>IFERROR(VLOOKUP(TEXT(B284,"0"),STOCK!A:H,7,0),1)</f>
        <v>1</v>
      </c>
    </row>
    <row r="285" spans="10:10" ht="35.450000000000003" hidden="1" customHeight="1">
      <c r="J285" s="28">
        <f>IFERROR(VLOOKUP(TEXT(B285,"0"),STOCK!A:H,7,0),1)</f>
        <v>1</v>
      </c>
    </row>
    <row r="286" spans="10:10" ht="35.450000000000003" hidden="1" customHeight="1">
      <c r="J286" s="28">
        <f>IFERROR(VLOOKUP(TEXT(B286,"0"),STOCK!A:H,7,0),1)</f>
        <v>1</v>
      </c>
    </row>
    <row r="287" spans="10:10" ht="35.450000000000003" hidden="1" customHeight="1">
      <c r="J287" s="28">
        <f>IFERROR(VLOOKUP(TEXT(B287,"0"),STOCK!A:H,7,0),1)</f>
        <v>1</v>
      </c>
    </row>
    <row r="288" spans="10:10" ht="35.450000000000003" hidden="1" customHeight="1">
      <c r="J288" s="28">
        <f>IFERROR(VLOOKUP(TEXT(B288,"0"),STOCK!A:H,7,0),1)</f>
        <v>1</v>
      </c>
    </row>
    <row r="289" spans="10:10" ht="35.450000000000003" hidden="1" customHeight="1">
      <c r="J289" s="28">
        <f>IFERROR(VLOOKUP(TEXT(B289,"0"),STOCK!A:H,7,0),1)</f>
        <v>1</v>
      </c>
    </row>
    <row r="290" spans="10:10" ht="35.450000000000003" hidden="1" customHeight="1">
      <c r="J290" s="28">
        <f>IFERROR(VLOOKUP(TEXT(B290,"0"),STOCK!A:H,7,0),1)</f>
        <v>1</v>
      </c>
    </row>
    <row r="291" spans="10:10" ht="35.450000000000003" hidden="1" customHeight="1">
      <c r="J291" s="28">
        <f>IFERROR(VLOOKUP(TEXT(B291,"0"),STOCK!A:H,7,0),1)</f>
        <v>1</v>
      </c>
    </row>
    <row r="292" spans="10:10" ht="35.450000000000003" hidden="1" customHeight="1">
      <c r="J292" s="28">
        <f>IFERROR(VLOOKUP(TEXT(B292,"0"),STOCK!A:H,7,0),1)</f>
        <v>1</v>
      </c>
    </row>
    <row r="293" spans="10:10" ht="35.450000000000003" hidden="1" customHeight="1">
      <c r="J293" s="28">
        <f>IFERROR(VLOOKUP(TEXT(B293,"0"),STOCK!A:H,7,0),1)</f>
        <v>1</v>
      </c>
    </row>
    <row r="294" spans="10:10" ht="35.450000000000003" hidden="1" customHeight="1">
      <c r="J294" s="28">
        <f>IFERROR(VLOOKUP(TEXT(B294,"0"),STOCK!A:H,7,0),1)</f>
        <v>1</v>
      </c>
    </row>
    <row r="295" spans="10:10" ht="35.450000000000003" hidden="1" customHeight="1">
      <c r="J295" s="28">
        <f>IFERROR(VLOOKUP(TEXT(B295,"0"),STOCK!A:H,7,0),1)</f>
        <v>1</v>
      </c>
    </row>
    <row r="296" spans="10:10" ht="35.450000000000003" hidden="1" customHeight="1">
      <c r="J296" s="28">
        <f>IFERROR(VLOOKUP(TEXT(B296,"0"),STOCK!A:H,7,0),1)</f>
        <v>1</v>
      </c>
    </row>
    <row r="297" spans="10:10" ht="35.450000000000003" hidden="1" customHeight="1">
      <c r="J297" s="28">
        <f>IFERROR(VLOOKUP(TEXT(B297,"0"),STOCK!A:H,7,0),1)</f>
        <v>1</v>
      </c>
    </row>
    <row r="298" spans="10:10" ht="35.450000000000003" hidden="1" customHeight="1">
      <c r="J298" s="28">
        <f>IFERROR(VLOOKUP(TEXT(B298,"0"),STOCK!A:H,7,0),1)</f>
        <v>1</v>
      </c>
    </row>
    <row r="299" spans="10:10" ht="35.450000000000003" hidden="1" customHeight="1">
      <c r="J299" s="28">
        <f>IFERROR(VLOOKUP(TEXT(B299,"0"),STOCK!A:H,7,0),1)</f>
        <v>1</v>
      </c>
    </row>
    <row r="300" spans="10:10" ht="35.450000000000003" hidden="1" customHeight="1">
      <c r="J300" s="28">
        <f>IFERROR(VLOOKUP(TEXT(B300,"0"),STOCK!A:H,7,0),1)</f>
        <v>1</v>
      </c>
    </row>
    <row r="301" spans="10:10" ht="35.450000000000003" hidden="1" customHeight="1">
      <c r="J301" s="28">
        <f>IFERROR(VLOOKUP(TEXT(B301,"0"),STOCK!A:H,7,0),1)</f>
        <v>1</v>
      </c>
    </row>
    <row r="302" spans="10:10" ht="35.450000000000003" hidden="1" customHeight="1">
      <c r="J302" s="28">
        <f>IFERROR(VLOOKUP(TEXT(B302,"0"),STOCK!A:H,7,0),1)</f>
        <v>1</v>
      </c>
    </row>
    <row r="303" spans="10:10" ht="35.450000000000003" hidden="1" customHeight="1">
      <c r="J303" s="28">
        <f>IFERROR(VLOOKUP(TEXT(B303,"0"),STOCK!A:H,7,0),1)</f>
        <v>1</v>
      </c>
    </row>
    <row r="304" spans="10:10" ht="35.450000000000003" hidden="1" customHeight="1">
      <c r="J304" s="28">
        <f>IFERROR(VLOOKUP(TEXT(B304,"0"),STOCK!A:H,7,0),1)</f>
        <v>1</v>
      </c>
    </row>
    <row r="305" spans="10:10" ht="35.450000000000003" hidden="1" customHeight="1">
      <c r="J305" s="28">
        <f>IFERROR(VLOOKUP(TEXT(B305,"0"),STOCK!A:H,7,0),1)</f>
        <v>1</v>
      </c>
    </row>
    <row r="306" spans="10:10" ht="35.450000000000003" hidden="1" customHeight="1">
      <c r="J306" s="28">
        <f>IFERROR(VLOOKUP(TEXT(B306,"0"),STOCK!A:H,7,0),1)</f>
        <v>1</v>
      </c>
    </row>
    <row r="307" spans="10:10" ht="35.450000000000003" hidden="1" customHeight="1">
      <c r="J307" s="28">
        <f>IFERROR(VLOOKUP(TEXT(B307,"0"),STOCK!A:H,7,0),1)</f>
        <v>1</v>
      </c>
    </row>
    <row r="308" spans="10:10" ht="35.450000000000003" hidden="1" customHeight="1">
      <c r="J308" s="28">
        <f>IFERROR(VLOOKUP(TEXT(B308,"0"),STOCK!A:H,7,0),1)</f>
        <v>1</v>
      </c>
    </row>
    <row r="309" spans="10:10" ht="35.450000000000003" hidden="1" customHeight="1">
      <c r="J309" s="28">
        <f>IFERROR(VLOOKUP(TEXT(B309,"0"),STOCK!A:H,7,0),1)</f>
        <v>1</v>
      </c>
    </row>
    <row r="310" spans="10:10" ht="35.450000000000003" hidden="1" customHeight="1">
      <c r="J310" s="28">
        <f>IFERROR(VLOOKUP(TEXT(B310,"0"),STOCK!A:H,7,0),1)</f>
        <v>1</v>
      </c>
    </row>
    <row r="311" spans="10:10" ht="35.450000000000003" hidden="1" customHeight="1">
      <c r="J311" s="28">
        <f>IFERROR(VLOOKUP(TEXT(B311,"0"),STOCK!A:H,7,0),1)</f>
        <v>1</v>
      </c>
    </row>
    <row r="312" spans="10:10" ht="35.450000000000003" hidden="1" customHeight="1">
      <c r="J312" s="28">
        <f>IFERROR(VLOOKUP(TEXT(B312,"0"),STOCK!A:H,7,0),1)</f>
        <v>1</v>
      </c>
    </row>
    <row r="313" spans="10:10" ht="35.450000000000003" hidden="1" customHeight="1">
      <c r="J313" s="28">
        <f>IFERROR(VLOOKUP(TEXT(B313,"0"),STOCK!A:H,7,0),1)</f>
        <v>1</v>
      </c>
    </row>
    <row r="314" spans="10:10" ht="35.450000000000003" hidden="1" customHeight="1">
      <c r="J314" s="28">
        <f>IFERROR(VLOOKUP(TEXT(B314,"0"),STOCK!A:H,7,0),1)</f>
        <v>1</v>
      </c>
    </row>
    <row r="315" spans="10:10" ht="35.450000000000003" hidden="1" customHeight="1">
      <c r="J315" s="28">
        <f>IFERROR(VLOOKUP(TEXT(B315,"0"),STOCK!A:H,7,0),1)</f>
        <v>1</v>
      </c>
    </row>
    <row r="316" spans="10:10" ht="35.450000000000003" hidden="1" customHeight="1">
      <c r="J316" s="28">
        <f>IFERROR(VLOOKUP(TEXT(B316,"0"),STOCK!A:H,7,0),1)</f>
        <v>1</v>
      </c>
    </row>
    <row r="317" spans="10:10" ht="35.450000000000003" hidden="1" customHeight="1">
      <c r="J317" s="28">
        <f>IFERROR(VLOOKUP(TEXT(B317,"0"),STOCK!A:H,7,0),1)</f>
        <v>1</v>
      </c>
    </row>
    <row r="318" spans="10:10" ht="35.450000000000003" hidden="1" customHeight="1">
      <c r="J318" s="28">
        <f>IFERROR(VLOOKUP(TEXT(B318,"0"),STOCK!A:H,7,0),1)</f>
        <v>1</v>
      </c>
    </row>
    <row r="319" spans="10:10" ht="35.450000000000003" hidden="1" customHeight="1">
      <c r="J319" s="28">
        <f>IFERROR(VLOOKUP(TEXT(B319,"0"),STOCK!A:H,7,0),1)</f>
        <v>1</v>
      </c>
    </row>
    <row r="320" spans="10:10" ht="35.450000000000003" hidden="1" customHeight="1">
      <c r="J320" s="28">
        <f>IFERROR(VLOOKUP(TEXT(B320,"0"),STOCK!A:H,7,0),1)</f>
        <v>1</v>
      </c>
    </row>
    <row r="321" spans="10:10" ht="35.450000000000003" hidden="1" customHeight="1">
      <c r="J321" s="28">
        <f>IFERROR(VLOOKUP(TEXT(B321,"0"),STOCK!A:H,7,0),1)</f>
        <v>1</v>
      </c>
    </row>
    <row r="322" spans="10:10" ht="35.450000000000003" hidden="1" customHeight="1">
      <c r="J322" s="28">
        <f>IFERROR(VLOOKUP(TEXT(B322,"0"),STOCK!A:H,7,0),1)</f>
        <v>1</v>
      </c>
    </row>
    <row r="323" spans="10:10" ht="35.450000000000003" hidden="1" customHeight="1">
      <c r="J323" s="28">
        <f>IFERROR(VLOOKUP(TEXT(B323,"0"),STOCK!A:H,7,0),1)</f>
        <v>1</v>
      </c>
    </row>
    <row r="324" spans="10:10" ht="35.450000000000003" hidden="1" customHeight="1">
      <c r="J324" s="28">
        <f>IFERROR(VLOOKUP(TEXT(B324,"0"),STOCK!A:H,7,0),1)</f>
        <v>1</v>
      </c>
    </row>
    <row r="325" spans="10:10" ht="35.450000000000003" hidden="1" customHeight="1">
      <c r="J325" s="28">
        <f>IFERROR(VLOOKUP(TEXT(B325,"0"),STOCK!A:H,7,0),1)</f>
        <v>1</v>
      </c>
    </row>
    <row r="326" spans="10:10" ht="35.450000000000003" hidden="1" customHeight="1">
      <c r="J326" s="28">
        <f>IFERROR(VLOOKUP(TEXT(B326,"0"),STOCK!A:H,7,0),1)</f>
        <v>1</v>
      </c>
    </row>
    <row r="327" spans="10:10" ht="35.450000000000003" hidden="1" customHeight="1">
      <c r="J327" s="28">
        <f>IFERROR(VLOOKUP(TEXT(B327,"0"),STOCK!A:H,7,0),1)</f>
        <v>1</v>
      </c>
    </row>
    <row r="328" spans="10:10" ht="35.450000000000003" hidden="1" customHeight="1">
      <c r="J328" s="28">
        <f>IFERROR(VLOOKUP(TEXT(B328,"0"),STOCK!A:H,7,0),1)</f>
        <v>1</v>
      </c>
    </row>
    <row r="329" spans="10:10" ht="35.450000000000003" hidden="1" customHeight="1">
      <c r="J329" s="28">
        <f>IFERROR(VLOOKUP(TEXT(B329,"0"),STOCK!A:H,7,0),1)</f>
        <v>1</v>
      </c>
    </row>
    <row r="330" spans="10:10" ht="35.450000000000003" hidden="1" customHeight="1">
      <c r="J330" s="28">
        <f>IFERROR(VLOOKUP(TEXT(B330,"0"),STOCK!A:H,7,0),1)</f>
        <v>1</v>
      </c>
    </row>
    <row r="331" spans="10:10" ht="35.450000000000003" hidden="1" customHeight="1">
      <c r="J331" s="28">
        <f>IFERROR(VLOOKUP(TEXT(B331,"0"),STOCK!A:H,7,0),1)</f>
        <v>1</v>
      </c>
    </row>
    <row r="332" spans="10:10" ht="35.450000000000003" hidden="1" customHeight="1">
      <c r="J332" s="28">
        <f>IFERROR(VLOOKUP(TEXT(B332,"0"),STOCK!A:H,7,0),1)</f>
        <v>1</v>
      </c>
    </row>
    <row r="333" spans="10:10" ht="35.450000000000003" hidden="1" customHeight="1">
      <c r="J333" s="28">
        <f>IFERROR(VLOOKUP(TEXT(B333,"0"),STOCK!A:H,7,0),1)</f>
        <v>1</v>
      </c>
    </row>
    <row r="334" spans="10:10" ht="35.450000000000003" hidden="1" customHeight="1">
      <c r="J334" s="28">
        <f>IFERROR(VLOOKUP(TEXT(B334,"0"),STOCK!A:H,7,0),1)</f>
        <v>1</v>
      </c>
    </row>
    <row r="335" spans="10:10" ht="35.450000000000003" hidden="1" customHeight="1">
      <c r="J335" s="28">
        <f>IFERROR(VLOOKUP(TEXT(B335,"0"),STOCK!A:H,7,0),1)</f>
        <v>1</v>
      </c>
    </row>
    <row r="336" spans="10:10" ht="35.450000000000003" hidden="1" customHeight="1">
      <c r="J336" s="28">
        <f>IFERROR(VLOOKUP(TEXT(B336,"0"),STOCK!A:H,7,0),1)</f>
        <v>1</v>
      </c>
    </row>
    <row r="337" spans="10:10" ht="35.450000000000003" hidden="1" customHeight="1">
      <c r="J337" s="28">
        <f>IFERROR(VLOOKUP(TEXT(B337,"0"),STOCK!A:H,7,0),1)</f>
        <v>1</v>
      </c>
    </row>
    <row r="338" spans="10:10" ht="35.450000000000003" hidden="1" customHeight="1">
      <c r="J338" s="28">
        <f>IFERROR(VLOOKUP(TEXT(B338,"0"),STOCK!A:H,7,0),1)</f>
        <v>1</v>
      </c>
    </row>
    <row r="339" spans="10:10" ht="35.450000000000003" hidden="1" customHeight="1">
      <c r="J339" s="28">
        <f>IFERROR(VLOOKUP(TEXT(B339,"0"),STOCK!A:H,7,0),1)</f>
        <v>1</v>
      </c>
    </row>
    <row r="340" spans="10:10" ht="35.450000000000003" hidden="1" customHeight="1">
      <c r="J340" s="28">
        <f>IFERROR(VLOOKUP(TEXT(B340,"0"),STOCK!A:H,7,0),1)</f>
        <v>1</v>
      </c>
    </row>
    <row r="341" spans="10:10" ht="35.450000000000003" hidden="1" customHeight="1">
      <c r="J341" s="28">
        <f>IFERROR(VLOOKUP(TEXT(B341,"0"),STOCK!A:H,7,0),1)</f>
        <v>1</v>
      </c>
    </row>
    <row r="342" spans="10:10" ht="35.450000000000003" hidden="1" customHeight="1">
      <c r="J342" s="28">
        <f>IFERROR(VLOOKUP(TEXT(B342,"0"),STOCK!A:H,7,0),1)</f>
        <v>1</v>
      </c>
    </row>
    <row r="343" spans="10:10" ht="35.450000000000003" hidden="1" customHeight="1">
      <c r="J343" s="28">
        <f>IFERROR(VLOOKUP(TEXT(B343,"0"),STOCK!A:H,7,0),1)</f>
        <v>1</v>
      </c>
    </row>
    <row r="344" spans="10:10" ht="35.450000000000003" hidden="1" customHeight="1">
      <c r="J344" s="28">
        <f>IFERROR(VLOOKUP(TEXT(B344,"0"),STOCK!A:H,7,0),1)</f>
        <v>1</v>
      </c>
    </row>
    <row r="345" spans="10:10" ht="35.450000000000003" hidden="1" customHeight="1">
      <c r="J345" s="28">
        <f>IFERROR(VLOOKUP(TEXT(B345,"0"),STOCK!A:H,7,0),1)</f>
        <v>1</v>
      </c>
    </row>
    <row r="346" spans="10:10" ht="35.450000000000003" hidden="1" customHeight="1">
      <c r="J346" s="28">
        <f>IFERROR(VLOOKUP(TEXT(B346,"0"),STOCK!A:H,7,0),1)</f>
        <v>1</v>
      </c>
    </row>
    <row r="347" spans="10:10" ht="35.450000000000003" hidden="1" customHeight="1">
      <c r="J347" s="28">
        <f>IFERROR(VLOOKUP(TEXT(B347,"0"),STOCK!A:H,7,0),1)</f>
        <v>1</v>
      </c>
    </row>
    <row r="348" spans="10:10" ht="35.450000000000003" hidden="1" customHeight="1">
      <c r="J348" s="28">
        <f>IFERROR(VLOOKUP(TEXT(B348,"0"),STOCK!A:H,7,0),1)</f>
        <v>1</v>
      </c>
    </row>
    <row r="349" spans="10:10" ht="35.450000000000003" hidden="1" customHeight="1">
      <c r="J349" s="28">
        <f>IFERROR(VLOOKUP(TEXT(B349,"0"),STOCK!A:H,7,0),1)</f>
        <v>1</v>
      </c>
    </row>
    <row r="350" spans="10:10" ht="35.450000000000003" hidden="1" customHeight="1">
      <c r="J350" s="28">
        <f>IFERROR(VLOOKUP(TEXT(B350,"0"),STOCK!A:H,7,0),1)</f>
        <v>1</v>
      </c>
    </row>
    <row r="351" spans="10:10" ht="35.450000000000003" hidden="1" customHeight="1">
      <c r="J351" s="28">
        <f>IFERROR(VLOOKUP(TEXT(B351,"0"),STOCK!A:H,7,0),1)</f>
        <v>1</v>
      </c>
    </row>
    <row r="352" spans="10:10" ht="35.450000000000003" hidden="1" customHeight="1">
      <c r="J352" s="28">
        <f>IFERROR(VLOOKUP(TEXT(B352,"0"),STOCK!A:H,7,0),1)</f>
        <v>1</v>
      </c>
    </row>
    <row r="353" spans="10:10" ht="35.450000000000003" hidden="1" customHeight="1">
      <c r="J353" s="28">
        <f>IFERROR(VLOOKUP(TEXT(B353,"0"),STOCK!A:H,7,0),1)</f>
        <v>1</v>
      </c>
    </row>
    <row r="354" spans="10:10" ht="35.450000000000003" hidden="1" customHeight="1">
      <c r="J354" s="28">
        <f>IFERROR(VLOOKUP(TEXT(B354,"0"),STOCK!A:H,7,0),1)</f>
        <v>1</v>
      </c>
    </row>
    <row r="355" spans="10:10" ht="35.450000000000003" hidden="1" customHeight="1">
      <c r="J355" s="28">
        <f>IFERROR(VLOOKUP(TEXT(B355,"0"),STOCK!A:H,7,0),1)</f>
        <v>1</v>
      </c>
    </row>
    <row r="356" spans="10:10" ht="35.450000000000003" hidden="1" customHeight="1">
      <c r="J356" s="28">
        <f>IFERROR(VLOOKUP(TEXT(B356,"0"),STOCK!A:H,7,0),1)</f>
        <v>1</v>
      </c>
    </row>
    <row r="357" spans="10:10" ht="35.450000000000003" hidden="1" customHeight="1">
      <c r="J357" s="28">
        <f>IFERROR(VLOOKUP(TEXT(B357,"0"),STOCK!A:H,7,0),1)</f>
        <v>1</v>
      </c>
    </row>
    <row r="358" spans="10:10" ht="35.450000000000003" hidden="1" customHeight="1">
      <c r="J358" s="28">
        <f>IFERROR(VLOOKUP(TEXT(B358,"0"),STOCK!A:H,7,0),1)</f>
        <v>1</v>
      </c>
    </row>
    <row r="359" spans="10:10" ht="35.450000000000003" hidden="1" customHeight="1">
      <c r="J359" s="28">
        <f>IFERROR(VLOOKUP(TEXT(B359,"0"),STOCK!A:H,7,0),1)</f>
        <v>1</v>
      </c>
    </row>
    <row r="360" spans="10:10" ht="35.450000000000003" hidden="1" customHeight="1">
      <c r="J360" s="28">
        <f>IFERROR(VLOOKUP(TEXT(B360,"0"),STOCK!A:H,7,0),1)</f>
        <v>1</v>
      </c>
    </row>
    <row r="361" spans="10:10" ht="35.450000000000003" hidden="1" customHeight="1">
      <c r="J361" s="28">
        <f>IFERROR(VLOOKUP(TEXT(B361,"0"),STOCK!A:H,7,0),1)</f>
        <v>1</v>
      </c>
    </row>
    <row r="362" spans="10:10" ht="35.450000000000003" hidden="1" customHeight="1">
      <c r="J362" s="28">
        <f>IFERROR(VLOOKUP(TEXT(B362,"0"),STOCK!A:H,7,0),1)</f>
        <v>1</v>
      </c>
    </row>
    <row r="363" spans="10:10" ht="35.450000000000003" hidden="1" customHeight="1">
      <c r="J363" s="28">
        <f>IFERROR(VLOOKUP(TEXT(B363,"0"),STOCK!A:H,7,0),1)</f>
        <v>1</v>
      </c>
    </row>
    <row r="364" spans="10:10" ht="35.450000000000003" hidden="1" customHeight="1">
      <c r="J364" s="28">
        <f>IFERROR(VLOOKUP(TEXT(B364,"0"),STOCK!A:H,7,0),1)</f>
        <v>1</v>
      </c>
    </row>
    <row r="365" spans="10:10" ht="35.450000000000003" hidden="1" customHeight="1">
      <c r="J365" s="28">
        <f>IFERROR(VLOOKUP(TEXT(B365,"0"),STOCK!A:H,7,0),1)</f>
        <v>1</v>
      </c>
    </row>
    <row r="366" spans="10:10" ht="35.450000000000003" hidden="1" customHeight="1">
      <c r="J366" s="28">
        <f>IFERROR(VLOOKUP(TEXT(B366,"0"),STOCK!A:H,7,0),1)</f>
        <v>1</v>
      </c>
    </row>
    <row r="367" spans="10:10" ht="35.450000000000003" hidden="1" customHeight="1">
      <c r="J367" s="28">
        <f>IFERROR(VLOOKUP(TEXT(B367,"0"),STOCK!A:H,7,0),1)</f>
        <v>1</v>
      </c>
    </row>
    <row r="368" spans="10:10" ht="35.450000000000003" hidden="1" customHeight="1">
      <c r="J368" s="28">
        <f>IFERROR(VLOOKUP(TEXT(B368,"0"),STOCK!A:H,7,0),1)</f>
        <v>1</v>
      </c>
    </row>
    <row r="369" spans="10:10" ht="35.450000000000003" hidden="1" customHeight="1">
      <c r="J369" s="28">
        <f>IFERROR(VLOOKUP(TEXT(B369,"0"),STOCK!A:H,7,0),1)</f>
        <v>1</v>
      </c>
    </row>
    <row r="370" spans="10:10" ht="35.450000000000003" hidden="1" customHeight="1">
      <c r="J370" s="28">
        <f>IFERROR(VLOOKUP(TEXT(B370,"0"),STOCK!A:H,7,0),1)</f>
        <v>1</v>
      </c>
    </row>
    <row r="371" spans="10:10" ht="35.450000000000003" hidden="1" customHeight="1">
      <c r="J371" s="28">
        <f>IFERROR(VLOOKUP(TEXT(B371,"0"),STOCK!A:H,7,0),1)</f>
        <v>1</v>
      </c>
    </row>
    <row r="372" spans="10:10" ht="35.450000000000003" hidden="1" customHeight="1">
      <c r="J372" s="28">
        <f>IFERROR(VLOOKUP(TEXT(B372,"0"),STOCK!A:H,7,0),1)</f>
        <v>1</v>
      </c>
    </row>
    <row r="373" spans="10:10" ht="35.450000000000003" hidden="1" customHeight="1">
      <c r="J373" s="28">
        <f>IFERROR(VLOOKUP(TEXT(B373,"0"),STOCK!A:H,7,0),1)</f>
        <v>1</v>
      </c>
    </row>
    <row r="374" spans="10:10" ht="35.450000000000003" hidden="1" customHeight="1">
      <c r="J374" s="28">
        <f>IFERROR(VLOOKUP(TEXT(B374,"0"),STOCK!A:H,7,0),1)</f>
        <v>1</v>
      </c>
    </row>
    <row r="375" spans="10:10" ht="35.450000000000003" hidden="1" customHeight="1">
      <c r="J375" s="28">
        <f>IFERROR(VLOOKUP(TEXT(B375,"0"),STOCK!A:H,7,0),1)</f>
        <v>1</v>
      </c>
    </row>
    <row r="376" spans="10:10" ht="35.450000000000003" hidden="1" customHeight="1">
      <c r="J376" s="28">
        <f>IFERROR(VLOOKUP(TEXT(B376,"0"),STOCK!A:H,7,0),1)</f>
        <v>1</v>
      </c>
    </row>
    <row r="377" spans="10:10" ht="35.450000000000003" hidden="1" customHeight="1">
      <c r="J377" s="28">
        <f>IFERROR(VLOOKUP(TEXT(B377,"0"),STOCK!A:H,7,0),1)</f>
        <v>1</v>
      </c>
    </row>
    <row r="378" spans="10:10" ht="35.450000000000003" hidden="1" customHeight="1">
      <c r="J378" s="28">
        <f>IFERROR(VLOOKUP(TEXT(B378,"0"),STOCK!A:H,7,0),1)</f>
        <v>1</v>
      </c>
    </row>
    <row r="379" spans="10:10" ht="35.450000000000003" hidden="1" customHeight="1">
      <c r="J379" s="28">
        <f>IFERROR(VLOOKUP(TEXT(B379,"0"),STOCK!A:H,7,0),1)</f>
        <v>1</v>
      </c>
    </row>
    <row r="380" spans="10:10" ht="35.450000000000003" hidden="1" customHeight="1">
      <c r="J380" s="28">
        <f>IFERROR(VLOOKUP(TEXT(B380,"0"),STOCK!A:H,7,0),1)</f>
        <v>1</v>
      </c>
    </row>
    <row r="381" spans="10:10" ht="35.450000000000003" hidden="1" customHeight="1">
      <c r="J381" s="28">
        <f>IFERROR(VLOOKUP(TEXT(B381,"0"),STOCK!A:H,7,0),1)</f>
        <v>1</v>
      </c>
    </row>
    <row r="382" spans="10:10" ht="35.450000000000003" hidden="1" customHeight="1">
      <c r="J382" s="28">
        <f>IFERROR(VLOOKUP(TEXT(B382,"0"),STOCK!A:H,7,0),1)</f>
        <v>1</v>
      </c>
    </row>
    <row r="383" spans="10:10" ht="35.450000000000003" hidden="1" customHeight="1">
      <c r="J383" s="28">
        <f>IFERROR(VLOOKUP(TEXT(B383,"0"),STOCK!A:H,7,0),1)</f>
        <v>1</v>
      </c>
    </row>
    <row r="384" spans="10:10" ht="35.450000000000003" hidden="1" customHeight="1">
      <c r="J384" s="28">
        <f>IFERROR(VLOOKUP(TEXT(B384,"0"),STOCK!A:H,7,0),1)</f>
        <v>1</v>
      </c>
    </row>
    <row r="385" spans="10:10" ht="35.450000000000003" hidden="1" customHeight="1">
      <c r="J385" s="28">
        <f>IFERROR(VLOOKUP(TEXT(B385,"0"),STOCK!A:H,7,0),1)</f>
        <v>1</v>
      </c>
    </row>
    <row r="386" spans="10:10" ht="35.450000000000003" hidden="1" customHeight="1">
      <c r="J386" s="28">
        <f>IFERROR(VLOOKUP(TEXT(B386,"0"),STOCK!A:H,7,0),1)</f>
        <v>1</v>
      </c>
    </row>
    <row r="387" spans="10:10" ht="35.450000000000003" hidden="1" customHeight="1">
      <c r="J387" s="28">
        <f>IFERROR(VLOOKUP(TEXT(B387,"0"),STOCK!A:H,7,0),1)</f>
        <v>1</v>
      </c>
    </row>
    <row r="388" spans="10:10" ht="35.450000000000003" hidden="1" customHeight="1">
      <c r="J388" s="28">
        <f>IFERROR(VLOOKUP(TEXT(B388,"0"),STOCK!A:H,7,0),1)</f>
        <v>1</v>
      </c>
    </row>
    <row r="389" spans="10:10" ht="35.450000000000003" hidden="1" customHeight="1">
      <c r="J389" s="28">
        <f>IFERROR(VLOOKUP(TEXT(B389,"0"),STOCK!A:H,7,0),1)</f>
        <v>1</v>
      </c>
    </row>
    <row r="390" spans="10:10" ht="35.450000000000003" hidden="1" customHeight="1">
      <c r="J390" s="28">
        <f>IFERROR(VLOOKUP(TEXT(B390,"0"),STOCK!A:H,7,0),1)</f>
        <v>1</v>
      </c>
    </row>
    <row r="391" spans="10:10" ht="35.450000000000003" hidden="1" customHeight="1">
      <c r="J391" s="28">
        <f>IFERROR(VLOOKUP(TEXT(B391,"0"),STOCK!A:H,7,0),1)</f>
        <v>1</v>
      </c>
    </row>
    <row r="392" spans="10:10" ht="35.450000000000003" hidden="1" customHeight="1">
      <c r="J392" s="28">
        <f>IFERROR(VLOOKUP(TEXT(B392,"0"),STOCK!A:H,7,0),1)</f>
        <v>1</v>
      </c>
    </row>
    <row r="393" spans="10:10" ht="35.450000000000003" hidden="1" customHeight="1">
      <c r="J393" s="28">
        <f>IFERROR(VLOOKUP(TEXT(B393,"0"),STOCK!A:H,7,0),1)</f>
        <v>1</v>
      </c>
    </row>
    <row r="394" spans="10:10" ht="35.450000000000003" hidden="1" customHeight="1">
      <c r="J394" s="28">
        <f>IFERROR(VLOOKUP(TEXT(B394,"0"),STOCK!A:H,7,0),1)</f>
        <v>1</v>
      </c>
    </row>
    <row r="395" spans="10:10" ht="35.450000000000003" hidden="1" customHeight="1">
      <c r="J395" s="28">
        <f>IFERROR(VLOOKUP(TEXT(B395,"0"),STOCK!A:H,7,0),1)</f>
        <v>1</v>
      </c>
    </row>
    <row r="396" spans="10:10" ht="35.450000000000003" hidden="1" customHeight="1">
      <c r="J396" s="28">
        <f>IFERROR(VLOOKUP(TEXT(B396,"0"),STOCK!A:H,7,0),1)</f>
        <v>1</v>
      </c>
    </row>
    <row r="397" spans="10:10" ht="35.450000000000003" hidden="1" customHeight="1">
      <c r="J397" s="28">
        <f>IFERROR(VLOOKUP(TEXT(B397,"0"),STOCK!A:H,7,0),1)</f>
        <v>1</v>
      </c>
    </row>
    <row r="398" spans="10:10" ht="35.450000000000003" hidden="1" customHeight="1">
      <c r="J398" s="28">
        <f>IFERROR(VLOOKUP(TEXT(B398,"0"),STOCK!A:H,7,0),1)</f>
        <v>1</v>
      </c>
    </row>
    <row r="399" spans="10:10" ht="35.450000000000003" hidden="1" customHeight="1">
      <c r="J399" s="28">
        <f>IFERROR(VLOOKUP(TEXT(B399,"0"),STOCK!A:H,7,0),1)</f>
        <v>1</v>
      </c>
    </row>
    <row r="400" spans="10:10" ht="35.450000000000003" hidden="1" customHeight="1">
      <c r="J400" s="28">
        <f>IFERROR(VLOOKUP(TEXT(B400,"0"),STOCK!A:H,7,0),1)</f>
        <v>1</v>
      </c>
    </row>
    <row r="401" spans="10:10" ht="35.450000000000003" hidden="1" customHeight="1">
      <c r="J401" s="28">
        <f>IFERROR(VLOOKUP(TEXT(B401,"0"),STOCK!A:H,7,0),1)</f>
        <v>1</v>
      </c>
    </row>
    <row r="402" spans="10:10" ht="35.450000000000003" hidden="1" customHeight="1">
      <c r="J402" s="28">
        <f>IFERROR(VLOOKUP(TEXT(B402,"0"),STOCK!A:H,7,0),1)</f>
        <v>1</v>
      </c>
    </row>
    <row r="403" spans="10:10" ht="35.450000000000003" hidden="1" customHeight="1">
      <c r="J403" s="28">
        <f>IFERROR(VLOOKUP(TEXT(B403,"0"),STOCK!A:H,7,0),1)</f>
        <v>1</v>
      </c>
    </row>
    <row r="404" spans="10:10" ht="35.450000000000003" hidden="1" customHeight="1">
      <c r="J404" s="28">
        <f>IFERROR(VLOOKUP(TEXT(B404,"0"),STOCK!A:H,7,0),1)</f>
        <v>1</v>
      </c>
    </row>
    <row r="405" spans="10:10" ht="35.450000000000003" hidden="1" customHeight="1">
      <c r="J405" s="28">
        <f>IFERROR(VLOOKUP(TEXT(B405,"0"),STOCK!A:H,7,0),1)</f>
        <v>1</v>
      </c>
    </row>
    <row r="406" spans="10:10" ht="35.450000000000003" hidden="1" customHeight="1">
      <c r="J406" s="28">
        <f>IFERROR(VLOOKUP(TEXT(B406,"0"),STOCK!A:H,7,0),1)</f>
        <v>1</v>
      </c>
    </row>
    <row r="407" spans="10:10" ht="35.450000000000003" hidden="1" customHeight="1">
      <c r="J407" s="28">
        <f>IFERROR(VLOOKUP(TEXT(B407,"0"),STOCK!A:H,7,0),1)</f>
        <v>1</v>
      </c>
    </row>
    <row r="408" spans="10:10" ht="35.450000000000003" hidden="1" customHeight="1">
      <c r="J408" s="28">
        <f>IFERROR(VLOOKUP(TEXT(B408,"0"),STOCK!A:H,7,0),1)</f>
        <v>1</v>
      </c>
    </row>
    <row r="409" spans="10:10" ht="35.450000000000003" hidden="1" customHeight="1">
      <c r="J409" s="28">
        <f>IFERROR(VLOOKUP(TEXT(B409,"0"),STOCK!A:H,7,0),1)</f>
        <v>1</v>
      </c>
    </row>
    <row r="410" spans="10:10" ht="35.450000000000003" hidden="1" customHeight="1">
      <c r="J410" s="28">
        <f>IFERROR(VLOOKUP(TEXT(B410,"0"),STOCK!A:H,7,0),1)</f>
        <v>1</v>
      </c>
    </row>
    <row r="411" spans="10:10" ht="35.450000000000003" hidden="1" customHeight="1">
      <c r="J411" s="28">
        <f>IFERROR(VLOOKUP(TEXT(B411,"0"),STOCK!A:H,7,0),1)</f>
        <v>1</v>
      </c>
    </row>
    <row r="412" spans="10:10" ht="35.450000000000003" hidden="1" customHeight="1">
      <c r="J412" s="28">
        <f>IFERROR(VLOOKUP(TEXT(B412,"0"),STOCK!A:H,7,0),1)</f>
        <v>1</v>
      </c>
    </row>
    <row r="413" spans="10:10" ht="35.450000000000003" hidden="1" customHeight="1">
      <c r="J413" s="28">
        <f>IFERROR(VLOOKUP(TEXT(B413,"0"),STOCK!A:H,7,0),1)</f>
        <v>1</v>
      </c>
    </row>
    <row r="414" spans="10:10" ht="35.450000000000003" hidden="1" customHeight="1">
      <c r="J414" s="28">
        <f>IFERROR(VLOOKUP(TEXT(B414,"0"),STOCK!A:H,7,0),1)</f>
        <v>1</v>
      </c>
    </row>
    <row r="415" spans="10:10" ht="35.450000000000003" hidden="1" customHeight="1">
      <c r="J415" s="28">
        <f>IFERROR(VLOOKUP(TEXT(B415,"0"),STOCK!A:H,7,0),1)</f>
        <v>1</v>
      </c>
    </row>
    <row r="416" spans="10:10" ht="35.450000000000003" hidden="1" customHeight="1">
      <c r="J416" s="28">
        <f>IFERROR(VLOOKUP(TEXT(B416,"0"),STOCK!A:H,7,0),1)</f>
        <v>1</v>
      </c>
    </row>
    <row r="417" spans="10:10" ht="35.450000000000003" hidden="1" customHeight="1">
      <c r="J417" s="28">
        <f>IFERROR(VLOOKUP(TEXT(B417,"0"),STOCK!A:H,7,0),1)</f>
        <v>1</v>
      </c>
    </row>
    <row r="418" spans="10:10" ht="35.450000000000003" hidden="1" customHeight="1">
      <c r="J418" s="28">
        <f>IFERROR(VLOOKUP(TEXT(B418,"0"),STOCK!A:H,7,0),1)</f>
        <v>1</v>
      </c>
    </row>
    <row r="419" spans="10:10" ht="35.450000000000003" hidden="1" customHeight="1">
      <c r="J419" s="28">
        <f>IFERROR(VLOOKUP(TEXT(B419,"0"),STOCK!A:H,7,0),1)</f>
        <v>1</v>
      </c>
    </row>
    <row r="420" spans="10:10" ht="35.450000000000003" hidden="1" customHeight="1">
      <c r="J420" s="28">
        <f>IFERROR(VLOOKUP(TEXT(B420,"0"),STOCK!A:H,7,0),1)</f>
        <v>1</v>
      </c>
    </row>
    <row r="421" spans="10:10" ht="35.450000000000003" hidden="1" customHeight="1">
      <c r="J421" s="28">
        <f>IFERROR(VLOOKUP(TEXT(B421,"0"),STOCK!A:H,7,0),1)</f>
        <v>1</v>
      </c>
    </row>
    <row r="422" spans="10:10" ht="35.450000000000003" hidden="1" customHeight="1">
      <c r="J422" s="28">
        <f>IFERROR(VLOOKUP(TEXT(B422,"0"),STOCK!A:H,7,0),1)</f>
        <v>1</v>
      </c>
    </row>
    <row r="423" spans="10:10" ht="35.450000000000003" hidden="1" customHeight="1">
      <c r="J423" s="28">
        <f>IFERROR(VLOOKUP(TEXT(B423,"0"),STOCK!A:H,7,0),1)</f>
        <v>1</v>
      </c>
    </row>
    <row r="424" spans="10:10" ht="35.450000000000003" hidden="1" customHeight="1">
      <c r="J424" s="28">
        <f>IFERROR(VLOOKUP(TEXT(B424,"0"),STOCK!A:H,7,0),1)</f>
        <v>1</v>
      </c>
    </row>
    <row r="425" spans="10:10" ht="35.450000000000003" hidden="1" customHeight="1">
      <c r="J425" s="28">
        <f>IFERROR(VLOOKUP(TEXT(B425,"0"),STOCK!A:H,7,0),1)</f>
        <v>1</v>
      </c>
    </row>
    <row r="426" spans="10:10" ht="35.450000000000003" hidden="1" customHeight="1">
      <c r="J426" s="28">
        <f>IFERROR(VLOOKUP(TEXT(B426,"0"),STOCK!A:H,7,0),1)</f>
        <v>1</v>
      </c>
    </row>
    <row r="427" spans="10:10" ht="35.450000000000003" hidden="1" customHeight="1">
      <c r="J427" s="28">
        <f>IFERROR(VLOOKUP(TEXT(B427,"0"),STOCK!A:H,7,0),1)</f>
        <v>1</v>
      </c>
    </row>
    <row r="428" spans="10:10" ht="35.450000000000003" hidden="1" customHeight="1">
      <c r="J428" s="28">
        <f>IFERROR(VLOOKUP(TEXT(B428,"0"),STOCK!A:H,7,0),1)</f>
        <v>1</v>
      </c>
    </row>
    <row r="429" spans="10:10" ht="35.450000000000003" hidden="1" customHeight="1">
      <c r="J429" s="28">
        <f>IFERROR(VLOOKUP(TEXT(B429,"0"),STOCK!A:H,7,0),1)</f>
        <v>1</v>
      </c>
    </row>
    <row r="430" spans="10:10" ht="35.450000000000003" hidden="1" customHeight="1">
      <c r="J430" s="28">
        <f>IFERROR(VLOOKUP(TEXT(B430,"0"),STOCK!A:H,7,0),1)</f>
        <v>1</v>
      </c>
    </row>
    <row r="431" spans="10:10" ht="35.450000000000003" hidden="1" customHeight="1">
      <c r="J431" s="28">
        <f>IFERROR(VLOOKUP(TEXT(B431,"0"),STOCK!A:H,7,0),1)</f>
        <v>1</v>
      </c>
    </row>
    <row r="432" spans="10:10" ht="35.450000000000003" hidden="1" customHeight="1">
      <c r="J432" s="28">
        <f>IFERROR(VLOOKUP(TEXT(B432,"0"),STOCK!A:H,7,0),1)</f>
        <v>1</v>
      </c>
    </row>
    <row r="433" spans="10:10" ht="35.450000000000003" hidden="1" customHeight="1">
      <c r="J433" s="28">
        <f>IFERROR(VLOOKUP(TEXT(B433,"0"),STOCK!A:H,7,0),1)</f>
        <v>1</v>
      </c>
    </row>
    <row r="434" spans="10:10" ht="35.450000000000003" hidden="1" customHeight="1">
      <c r="J434" s="28">
        <f>IFERROR(VLOOKUP(TEXT(B434,"0"),STOCK!A:H,7,0),1)</f>
        <v>1</v>
      </c>
    </row>
    <row r="435" spans="10:10" ht="35.450000000000003" hidden="1" customHeight="1">
      <c r="J435" s="28">
        <f>IFERROR(VLOOKUP(TEXT(B435,"0"),STOCK!A:H,7,0),1)</f>
        <v>1</v>
      </c>
    </row>
    <row r="436" spans="10:10" ht="35.450000000000003" hidden="1" customHeight="1">
      <c r="J436" s="28">
        <f>IFERROR(VLOOKUP(TEXT(B436,"0"),STOCK!A:H,7,0),1)</f>
        <v>1</v>
      </c>
    </row>
    <row r="437" spans="10:10" ht="35.450000000000003" hidden="1" customHeight="1">
      <c r="J437" s="28">
        <f>IFERROR(VLOOKUP(TEXT(B437,"0"),STOCK!A:H,7,0),1)</f>
        <v>1</v>
      </c>
    </row>
    <row r="438" spans="10:10" ht="35.450000000000003" hidden="1" customHeight="1">
      <c r="J438" s="28">
        <f>IFERROR(VLOOKUP(TEXT(B438,"0"),STOCK!A:H,7,0),1)</f>
        <v>1</v>
      </c>
    </row>
    <row r="439" spans="10:10" ht="35.450000000000003" hidden="1" customHeight="1">
      <c r="J439" s="28">
        <f>IFERROR(VLOOKUP(TEXT(B439,"0"),STOCK!A:H,7,0),1)</f>
        <v>1</v>
      </c>
    </row>
    <row r="440" spans="10:10" ht="35.450000000000003" hidden="1" customHeight="1">
      <c r="J440" s="28">
        <f>IFERROR(VLOOKUP(TEXT(B440,"0"),STOCK!A:H,7,0),1)</f>
        <v>1</v>
      </c>
    </row>
    <row r="441" spans="10:10" ht="35.450000000000003" hidden="1" customHeight="1">
      <c r="J441" s="28">
        <f>IFERROR(VLOOKUP(TEXT(B441,"0"),STOCK!A:H,7,0),1)</f>
        <v>1</v>
      </c>
    </row>
    <row r="442" spans="10:10" ht="35.450000000000003" hidden="1" customHeight="1">
      <c r="J442" s="28">
        <f>IFERROR(VLOOKUP(TEXT(B442,"0"),STOCK!A:H,7,0),1)</f>
        <v>1</v>
      </c>
    </row>
    <row r="443" spans="10:10" ht="35.450000000000003" hidden="1" customHeight="1">
      <c r="J443" s="28">
        <f>IFERROR(VLOOKUP(TEXT(B443,"0"),STOCK!A:H,7,0),1)</f>
        <v>1</v>
      </c>
    </row>
    <row r="444" spans="10:10" ht="35.450000000000003" hidden="1" customHeight="1">
      <c r="J444" s="28">
        <f>IFERROR(VLOOKUP(TEXT(B444,"0"),STOCK!A:H,7,0),1)</f>
        <v>1</v>
      </c>
    </row>
    <row r="445" spans="10:10" ht="35.450000000000003" hidden="1" customHeight="1">
      <c r="J445" s="28">
        <f>IFERROR(VLOOKUP(TEXT(B445,"0"),STOCK!A:H,7,0),1)</f>
        <v>1</v>
      </c>
    </row>
    <row r="446" spans="10:10" ht="35.450000000000003" hidden="1" customHeight="1">
      <c r="J446" s="28">
        <f>IFERROR(VLOOKUP(TEXT(B446,"0"),STOCK!A:H,7,0),1)</f>
        <v>1</v>
      </c>
    </row>
    <row r="447" spans="10:10" ht="35.450000000000003" hidden="1" customHeight="1">
      <c r="J447" s="28">
        <f>IFERROR(VLOOKUP(TEXT(B447,"0"),STOCK!A:H,7,0),1)</f>
        <v>1</v>
      </c>
    </row>
    <row r="448" spans="10:10" ht="35.450000000000003" hidden="1" customHeight="1">
      <c r="J448" s="28">
        <f>IFERROR(VLOOKUP(TEXT(B448,"0"),STOCK!A:H,7,0),1)</f>
        <v>1</v>
      </c>
    </row>
    <row r="449" spans="10:10" ht="35.450000000000003" hidden="1" customHeight="1">
      <c r="J449" s="28">
        <f>IFERROR(VLOOKUP(TEXT(B449,"0"),STOCK!A:H,7,0),1)</f>
        <v>1</v>
      </c>
    </row>
    <row r="450" spans="10:10" ht="35.450000000000003" hidden="1" customHeight="1">
      <c r="J450" s="28">
        <f>IFERROR(VLOOKUP(TEXT(B450,"0"),STOCK!A:H,7,0),1)</f>
        <v>1</v>
      </c>
    </row>
    <row r="451" spans="10:10" ht="35.450000000000003" hidden="1" customHeight="1">
      <c r="J451" s="28">
        <f>IFERROR(VLOOKUP(TEXT(B451,"0"),STOCK!A:H,7,0),1)</f>
        <v>1</v>
      </c>
    </row>
    <row r="452" spans="10:10" ht="35.450000000000003" hidden="1" customHeight="1">
      <c r="J452" s="28">
        <f>IFERROR(VLOOKUP(TEXT(B452,"0"),STOCK!A:H,7,0),1)</f>
        <v>1</v>
      </c>
    </row>
    <row r="453" spans="10:10" ht="35.450000000000003" hidden="1" customHeight="1">
      <c r="J453" s="28">
        <f>IFERROR(VLOOKUP(TEXT(B453,"0"),STOCK!A:H,7,0),1)</f>
        <v>1</v>
      </c>
    </row>
    <row r="454" spans="10:10" ht="35.450000000000003" hidden="1" customHeight="1">
      <c r="J454" s="28">
        <f>IFERROR(VLOOKUP(TEXT(B454,"0"),STOCK!A:H,7,0),1)</f>
        <v>1</v>
      </c>
    </row>
    <row r="455" spans="10:10" ht="35.450000000000003" hidden="1" customHeight="1">
      <c r="J455" s="28">
        <f>IFERROR(VLOOKUP(TEXT(B455,"0"),STOCK!A:H,7,0),1)</f>
        <v>1</v>
      </c>
    </row>
    <row r="456" spans="10:10" ht="35.450000000000003" hidden="1" customHeight="1">
      <c r="J456" s="28">
        <f>IFERROR(VLOOKUP(TEXT(B456,"0"),STOCK!A:H,7,0),1)</f>
        <v>1</v>
      </c>
    </row>
    <row r="457" spans="10:10" ht="35.450000000000003" hidden="1" customHeight="1">
      <c r="J457" s="28">
        <f>IFERROR(VLOOKUP(TEXT(B457,"0"),STOCK!A:H,7,0),1)</f>
        <v>1</v>
      </c>
    </row>
    <row r="458" spans="10:10" ht="35.450000000000003" hidden="1" customHeight="1">
      <c r="J458" s="28">
        <f>IFERROR(VLOOKUP(TEXT(B458,"0"),STOCK!A:H,7,0),1)</f>
        <v>1</v>
      </c>
    </row>
    <row r="459" spans="10:10" ht="35.450000000000003" hidden="1" customHeight="1">
      <c r="J459" s="28">
        <f>IFERROR(VLOOKUP(TEXT(B459,"0"),STOCK!A:H,7,0),1)</f>
        <v>1</v>
      </c>
    </row>
    <row r="460" spans="10:10" ht="35.450000000000003" hidden="1" customHeight="1">
      <c r="J460" s="28">
        <f>IFERROR(VLOOKUP(TEXT(B460,"0"),STOCK!A:H,7,0),1)</f>
        <v>1</v>
      </c>
    </row>
    <row r="461" spans="10:10" ht="35.450000000000003" hidden="1" customHeight="1">
      <c r="J461" s="28">
        <f>IFERROR(VLOOKUP(TEXT(B461,"0"),STOCK!A:H,7,0),1)</f>
        <v>1</v>
      </c>
    </row>
    <row r="462" spans="10:10" ht="35.450000000000003" hidden="1" customHeight="1">
      <c r="J462" s="28">
        <f>IFERROR(VLOOKUP(TEXT(B462,"0"),STOCK!A:H,7,0),1)</f>
        <v>1</v>
      </c>
    </row>
    <row r="463" spans="10:10" ht="35.450000000000003" hidden="1" customHeight="1">
      <c r="J463" s="28">
        <f>IFERROR(VLOOKUP(TEXT(B463,"0"),STOCK!A:H,7,0),1)</f>
        <v>1</v>
      </c>
    </row>
    <row r="464" spans="10:10" ht="35.450000000000003" hidden="1" customHeight="1">
      <c r="J464" s="28">
        <f>IFERROR(VLOOKUP(TEXT(B464,"0"),STOCK!A:H,7,0),1)</f>
        <v>1</v>
      </c>
    </row>
    <row r="465" spans="10:10" ht="35.450000000000003" hidden="1" customHeight="1">
      <c r="J465" s="28">
        <f>IFERROR(VLOOKUP(TEXT(B465,"0"),STOCK!A:H,7,0),1)</f>
        <v>1</v>
      </c>
    </row>
    <row r="466" spans="10:10" ht="35.450000000000003" hidden="1" customHeight="1">
      <c r="J466" s="28">
        <f>IFERROR(VLOOKUP(TEXT(B466,"0"),STOCK!A:H,7,0),1)</f>
        <v>1</v>
      </c>
    </row>
    <row r="467" spans="10:10" ht="35.450000000000003" hidden="1" customHeight="1">
      <c r="J467" s="28">
        <f>IFERROR(VLOOKUP(TEXT(B467,"0"),STOCK!A:H,7,0),1)</f>
        <v>1</v>
      </c>
    </row>
    <row r="468" spans="10:10" ht="35.450000000000003" hidden="1" customHeight="1">
      <c r="J468" s="28">
        <f>IFERROR(VLOOKUP(TEXT(B468,"0"),STOCK!A:H,7,0),1)</f>
        <v>1</v>
      </c>
    </row>
    <row r="469" spans="10:10" ht="35.450000000000003" hidden="1" customHeight="1">
      <c r="J469" s="28">
        <f>IFERROR(VLOOKUP(TEXT(B469,"0"),STOCK!A:H,7,0),1)</f>
        <v>1</v>
      </c>
    </row>
    <row r="470" spans="10:10" ht="35.450000000000003" hidden="1" customHeight="1">
      <c r="J470" s="28">
        <f>IFERROR(VLOOKUP(TEXT(B470,"0"),STOCK!A:H,7,0),1)</f>
        <v>1</v>
      </c>
    </row>
    <row r="471" spans="10:10" ht="35.450000000000003" hidden="1" customHeight="1">
      <c r="J471" s="28">
        <f>IFERROR(VLOOKUP(TEXT(B471,"0"),STOCK!A:H,7,0),1)</f>
        <v>1</v>
      </c>
    </row>
    <row r="472" spans="10:10" ht="35.450000000000003" hidden="1" customHeight="1">
      <c r="J472" s="28">
        <f>IFERROR(VLOOKUP(TEXT(B472,"0"),STOCK!A:H,7,0),1)</f>
        <v>1</v>
      </c>
    </row>
    <row r="473" spans="10:10" ht="35.450000000000003" hidden="1" customHeight="1">
      <c r="J473" s="28">
        <f>IFERROR(VLOOKUP(TEXT(B473,"0"),STOCK!A:H,7,0),1)</f>
        <v>1</v>
      </c>
    </row>
    <row r="474" spans="10:10" ht="35.450000000000003" hidden="1" customHeight="1">
      <c r="J474" s="28">
        <f>IFERROR(VLOOKUP(TEXT(B474,"0"),STOCK!A:H,7,0),1)</f>
        <v>1</v>
      </c>
    </row>
    <row r="475" spans="10:10" ht="35.450000000000003" hidden="1" customHeight="1">
      <c r="J475" s="28">
        <f>IFERROR(VLOOKUP(TEXT(B475,"0"),STOCK!A:H,7,0),1)</f>
        <v>1</v>
      </c>
    </row>
    <row r="476" spans="10:10" ht="35.450000000000003" hidden="1" customHeight="1">
      <c r="J476" s="28">
        <f>IFERROR(VLOOKUP(TEXT(B476,"0"),STOCK!A:H,7,0),1)</f>
        <v>1</v>
      </c>
    </row>
    <row r="477" spans="10:10" ht="35.450000000000003" hidden="1" customHeight="1">
      <c r="J477" s="28">
        <f>IFERROR(VLOOKUP(TEXT(B477,"0"),STOCK!A:H,7,0),1)</f>
        <v>1</v>
      </c>
    </row>
    <row r="478" spans="10:10" ht="35.450000000000003" hidden="1" customHeight="1">
      <c r="J478" s="28">
        <f>IFERROR(VLOOKUP(TEXT(B478,"0"),STOCK!A:H,7,0),1)</f>
        <v>1</v>
      </c>
    </row>
    <row r="479" spans="10:10" ht="35.450000000000003" hidden="1" customHeight="1">
      <c r="J479" s="28">
        <f>IFERROR(VLOOKUP(TEXT(B479,"0"),STOCK!A:H,7,0),1)</f>
        <v>1</v>
      </c>
    </row>
    <row r="480" spans="10:10" ht="35.450000000000003" hidden="1" customHeight="1">
      <c r="J480" s="28">
        <f>IFERROR(VLOOKUP(TEXT(B480,"0"),STOCK!A:H,7,0),1)</f>
        <v>1</v>
      </c>
    </row>
    <row r="481" spans="10:10" ht="35.450000000000003" hidden="1" customHeight="1">
      <c r="J481" s="28">
        <f>IFERROR(VLOOKUP(TEXT(B481,"0"),STOCK!A:H,7,0),1)</f>
        <v>1</v>
      </c>
    </row>
    <row r="482" spans="10:10" ht="35.450000000000003" hidden="1" customHeight="1">
      <c r="J482" s="28">
        <f>IFERROR(VLOOKUP(TEXT(B482,"0"),STOCK!A:H,7,0),1)</f>
        <v>1</v>
      </c>
    </row>
    <row r="483" spans="10:10" ht="35.450000000000003" hidden="1" customHeight="1">
      <c r="J483" s="28">
        <f>IFERROR(VLOOKUP(TEXT(B483,"0"),STOCK!A:H,7,0),1)</f>
        <v>1</v>
      </c>
    </row>
    <row r="484" spans="10:10" ht="35.450000000000003" hidden="1" customHeight="1">
      <c r="J484" s="28">
        <f>IFERROR(VLOOKUP(TEXT(B484,"0"),STOCK!A:H,7,0),1)</f>
        <v>1</v>
      </c>
    </row>
    <row r="485" spans="10:10" ht="35.450000000000003" hidden="1" customHeight="1">
      <c r="J485" s="28">
        <f>IFERROR(VLOOKUP(TEXT(B485,"0"),STOCK!A:H,7,0),1)</f>
        <v>1</v>
      </c>
    </row>
    <row r="486" spans="10:10" ht="35.450000000000003" hidden="1" customHeight="1">
      <c r="J486" s="28">
        <f>IFERROR(VLOOKUP(TEXT(B486,"0"),STOCK!A:H,7,0),1)</f>
        <v>1</v>
      </c>
    </row>
    <row r="487" spans="10:10" ht="35.450000000000003" hidden="1" customHeight="1">
      <c r="J487" s="28">
        <f>IFERROR(VLOOKUP(TEXT(B487,"0"),STOCK!A:H,7,0),1)</f>
        <v>1</v>
      </c>
    </row>
    <row r="488" spans="10:10" ht="35.450000000000003" hidden="1" customHeight="1">
      <c r="J488" s="28">
        <f>IFERROR(VLOOKUP(TEXT(B488,"0"),STOCK!A:H,7,0),1)</f>
        <v>1</v>
      </c>
    </row>
    <row r="489" spans="10:10" ht="35.450000000000003" hidden="1" customHeight="1">
      <c r="J489" s="28">
        <f>IFERROR(VLOOKUP(TEXT(B489,"0"),STOCK!A:H,7,0),1)</f>
        <v>1</v>
      </c>
    </row>
    <row r="490" spans="10:10" ht="35.450000000000003" hidden="1" customHeight="1">
      <c r="J490" s="28">
        <f>IFERROR(VLOOKUP(TEXT(B490,"0"),STOCK!A:H,7,0),1)</f>
        <v>1</v>
      </c>
    </row>
    <row r="491" spans="10:10" ht="35.450000000000003" hidden="1" customHeight="1">
      <c r="J491" s="28">
        <f>IFERROR(VLOOKUP(TEXT(B491,"0"),STOCK!A:H,7,0),1)</f>
        <v>1</v>
      </c>
    </row>
    <row r="492" spans="10:10" ht="35.450000000000003" hidden="1" customHeight="1">
      <c r="J492" s="28">
        <f>IFERROR(VLOOKUP(TEXT(B492,"0"),STOCK!A:H,7,0),1)</f>
        <v>1</v>
      </c>
    </row>
    <row r="493" spans="10:10" ht="35.450000000000003" hidden="1" customHeight="1">
      <c r="J493" s="28">
        <f>IFERROR(VLOOKUP(TEXT(B493,"0"),STOCK!A:H,7,0),1)</f>
        <v>1</v>
      </c>
    </row>
    <row r="494" spans="10:10" ht="35.450000000000003" hidden="1" customHeight="1">
      <c r="J494" s="28">
        <f>IFERROR(VLOOKUP(TEXT(B494,"0"),STOCK!A:H,7,0),1)</f>
        <v>1</v>
      </c>
    </row>
    <row r="495" spans="10:10" ht="35.450000000000003" hidden="1" customHeight="1">
      <c r="J495" s="28">
        <f>IFERROR(VLOOKUP(TEXT(B495,"0"),STOCK!A:H,7,0),1)</f>
        <v>1</v>
      </c>
    </row>
    <row r="496" spans="10:10" ht="35.450000000000003" hidden="1" customHeight="1">
      <c r="J496" s="28">
        <f>IFERROR(VLOOKUP(TEXT(B496,"0"),STOCK!A:H,7,0),1)</f>
        <v>1</v>
      </c>
    </row>
    <row r="497" spans="10:10" ht="35.450000000000003" hidden="1" customHeight="1">
      <c r="J497" s="28">
        <f>IFERROR(VLOOKUP(TEXT(B497,"0"),STOCK!A:H,7,0),1)</f>
        <v>1</v>
      </c>
    </row>
    <row r="498" spans="10:10" ht="35.450000000000003" hidden="1" customHeight="1">
      <c r="J498" s="28">
        <f>IFERROR(VLOOKUP(TEXT(B498,"0"),STOCK!A:H,7,0),1)</f>
        <v>1</v>
      </c>
    </row>
    <row r="499" spans="10:10" ht="35.450000000000003" hidden="1" customHeight="1">
      <c r="J499" s="28">
        <f>IFERROR(VLOOKUP(TEXT(B499,"0"),STOCK!A:H,7,0),1)</f>
        <v>1</v>
      </c>
    </row>
    <row r="500" spans="10:10" ht="35.450000000000003" hidden="1" customHeight="1">
      <c r="J500" s="28">
        <f>IFERROR(VLOOKUP(TEXT(B500,"0"),STOCK!A:H,7,0),1)</f>
        <v>1</v>
      </c>
    </row>
    <row r="501" spans="10:10" ht="35.450000000000003" hidden="1" customHeight="1">
      <c r="J501" s="28">
        <f>IFERROR(VLOOKUP(TEXT(B501,"0"),STOCK!A:H,7,0),1)</f>
        <v>1</v>
      </c>
    </row>
    <row r="502" spans="10:10" ht="35.450000000000003" hidden="1" customHeight="1">
      <c r="J502" s="28">
        <f>IFERROR(VLOOKUP(TEXT(B502,"0"),STOCK!A:H,7,0),1)</f>
        <v>1</v>
      </c>
    </row>
    <row r="503" spans="10:10" ht="35.450000000000003" hidden="1" customHeight="1">
      <c r="J503" s="28">
        <f>IFERROR(VLOOKUP(TEXT(B503,"0"),STOCK!A:H,7,0),1)</f>
        <v>1</v>
      </c>
    </row>
    <row r="504" spans="10:10" ht="35.450000000000003" hidden="1" customHeight="1">
      <c r="J504" s="28">
        <f>IFERROR(VLOOKUP(TEXT(B504,"0"),STOCK!A:H,7,0),1)</f>
        <v>1</v>
      </c>
    </row>
    <row r="505" spans="10:10" ht="35.450000000000003" hidden="1" customHeight="1">
      <c r="J505" s="28">
        <f>IFERROR(VLOOKUP(TEXT(B505,"0"),STOCK!A:H,7,0),1)</f>
        <v>1</v>
      </c>
    </row>
    <row r="506" spans="10:10" ht="35.450000000000003" hidden="1" customHeight="1">
      <c r="J506" s="28">
        <f>IFERROR(VLOOKUP(TEXT(B506,"0"),STOCK!A:H,7,0),1)</f>
        <v>1</v>
      </c>
    </row>
    <row r="507" spans="10:10" ht="35.450000000000003" hidden="1" customHeight="1">
      <c r="J507" s="28">
        <f>IFERROR(VLOOKUP(TEXT(B507,"0"),STOCK!A:H,7,0),1)</f>
        <v>1</v>
      </c>
    </row>
    <row r="508" spans="10:10" ht="35.450000000000003" hidden="1" customHeight="1">
      <c r="J508" s="28">
        <f>IFERROR(VLOOKUP(TEXT(B508,"0"),STOCK!A:H,7,0),1)</f>
        <v>1</v>
      </c>
    </row>
    <row r="509" spans="10:10" ht="35.450000000000003" hidden="1" customHeight="1">
      <c r="J509" s="28">
        <f>IFERROR(VLOOKUP(TEXT(B509,"0"),STOCK!A:H,7,0),1)</f>
        <v>1</v>
      </c>
    </row>
    <row r="510" spans="10:10" ht="35.450000000000003" hidden="1" customHeight="1">
      <c r="J510" s="28">
        <f>IFERROR(VLOOKUP(TEXT(B510,"0"),STOCK!A:H,7,0),1)</f>
        <v>1</v>
      </c>
    </row>
    <row r="511" spans="10:10" ht="35.450000000000003" hidden="1" customHeight="1">
      <c r="J511" s="28">
        <f>IFERROR(VLOOKUP(TEXT(B511,"0"),STOCK!A:H,7,0),1)</f>
        <v>1</v>
      </c>
    </row>
    <row r="512" spans="10:10" ht="35.450000000000003" hidden="1" customHeight="1">
      <c r="J512" s="28">
        <f>IFERROR(VLOOKUP(TEXT(B512,"0"),STOCK!A:H,7,0),1)</f>
        <v>1</v>
      </c>
    </row>
    <row r="513" spans="10:10" ht="35.450000000000003" hidden="1" customHeight="1">
      <c r="J513" s="28">
        <f>IFERROR(VLOOKUP(TEXT(B513,"0"),STOCK!A:H,7,0),1)</f>
        <v>1</v>
      </c>
    </row>
    <row r="514" spans="10:10" ht="35.450000000000003" hidden="1" customHeight="1">
      <c r="J514" s="28">
        <f>IFERROR(VLOOKUP(TEXT(B514,"0"),STOCK!A:H,7,0),1)</f>
        <v>1</v>
      </c>
    </row>
    <row r="515" spans="10:10" ht="35.450000000000003" hidden="1" customHeight="1">
      <c r="J515" s="28">
        <f>IFERROR(VLOOKUP(TEXT(B515,"0"),STOCK!A:H,7,0),1)</f>
        <v>1</v>
      </c>
    </row>
    <row r="516" spans="10:10" ht="35.450000000000003" hidden="1" customHeight="1">
      <c r="J516" s="28">
        <f>IFERROR(VLOOKUP(TEXT(B516,"0"),STOCK!A:H,7,0),1)</f>
        <v>1</v>
      </c>
    </row>
    <row r="517" spans="10:10" ht="35.450000000000003" hidden="1" customHeight="1">
      <c r="J517" s="28">
        <f>IFERROR(VLOOKUP(TEXT(B517,"0"),STOCK!A:H,7,0),1)</f>
        <v>1</v>
      </c>
    </row>
    <row r="518" spans="10:10" ht="35.450000000000003" hidden="1" customHeight="1">
      <c r="J518" s="28">
        <f>IFERROR(VLOOKUP(TEXT(B518,"0"),STOCK!A:H,7,0),1)</f>
        <v>1</v>
      </c>
    </row>
    <row r="519" spans="10:10" ht="35.450000000000003" hidden="1" customHeight="1">
      <c r="J519" s="28">
        <f>IFERROR(VLOOKUP(TEXT(B519,"0"),STOCK!A:H,7,0),1)</f>
        <v>1</v>
      </c>
    </row>
    <row r="520" spans="10:10" ht="35.450000000000003" hidden="1" customHeight="1">
      <c r="J520" s="28">
        <f>IFERROR(VLOOKUP(TEXT(B520,"0"),STOCK!A:H,7,0),1)</f>
        <v>1</v>
      </c>
    </row>
    <row r="521" spans="10:10" ht="35.450000000000003" hidden="1" customHeight="1">
      <c r="J521" s="28">
        <f>IFERROR(VLOOKUP(TEXT(B521,"0"),STOCK!A:H,7,0),1)</f>
        <v>1</v>
      </c>
    </row>
    <row r="522" spans="10:10" ht="35.450000000000003" hidden="1" customHeight="1">
      <c r="J522" s="28">
        <f>IFERROR(VLOOKUP(TEXT(B522,"0"),STOCK!A:H,7,0),1)</f>
        <v>1</v>
      </c>
    </row>
    <row r="523" spans="10:10" ht="35.450000000000003" hidden="1" customHeight="1">
      <c r="J523" s="28">
        <f>IFERROR(VLOOKUP(TEXT(B523,"0"),STOCK!A:H,7,0),1)</f>
        <v>1</v>
      </c>
    </row>
    <row r="524" spans="10:10" ht="35.450000000000003" hidden="1" customHeight="1">
      <c r="J524" s="28">
        <f>IFERROR(VLOOKUP(TEXT(B524,"0"),STOCK!A:H,7,0),1)</f>
        <v>1</v>
      </c>
    </row>
    <row r="525" spans="10:10" ht="35.450000000000003" hidden="1" customHeight="1">
      <c r="J525" s="28">
        <f>IFERROR(VLOOKUP(TEXT(B525,"0"),STOCK!A:H,7,0),1)</f>
        <v>1</v>
      </c>
    </row>
    <row r="526" spans="10:10" ht="35.450000000000003" hidden="1" customHeight="1">
      <c r="J526" s="28">
        <f>IFERROR(VLOOKUP(TEXT(B526,"0"),STOCK!A:H,7,0),1)</f>
        <v>1</v>
      </c>
    </row>
    <row r="527" spans="10:10" ht="35.450000000000003" hidden="1" customHeight="1">
      <c r="J527" s="28">
        <f>IFERROR(VLOOKUP(TEXT(B527,"0"),STOCK!A:H,7,0),1)</f>
        <v>1</v>
      </c>
    </row>
    <row r="528" spans="10:10" ht="35.450000000000003" hidden="1" customHeight="1">
      <c r="J528" s="28">
        <f>IFERROR(VLOOKUP(TEXT(B528,"0"),STOCK!A:H,7,0),1)</f>
        <v>1</v>
      </c>
    </row>
    <row r="529" spans="10:10" ht="35.450000000000003" hidden="1" customHeight="1">
      <c r="J529" s="28">
        <f>IFERROR(VLOOKUP(TEXT(B529,"0"),STOCK!A:H,7,0),1)</f>
        <v>1</v>
      </c>
    </row>
    <row r="530" spans="10:10" ht="35.450000000000003" hidden="1" customHeight="1">
      <c r="J530" s="28">
        <f>IFERROR(VLOOKUP(TEXT(B530,"0"),STOCK!A:H,7,0),1)</f>
        <v>1</v>
      </c>
    </row>
    <row r="531" spans="10:10" ht="35.450000000000003" hidden="1" customHeight="1">
      <c r="J531" s="28">
        <f>IFERROR(VLOOKUP(TEXT(B531,"0"),STOCK!A:H,7,0),1)</f>
        <v>1</v>
      </c>
    </row>
    <row r="532" spans="10:10" ht="35.450000000000003" hidden="1" customHeight="1">
      <c r="J532" s="28">
        <f>IFERROR(VLOOKUP(TEXT(B532,"0"),STOCK!A:H,7,0),1)</f>
        <v>1</v>
      </c>
    </row>
    <row r="533" spans="10:10" ht="35.450000000000003" hidden="1" customHeight="1">
      <c r="J533" s="28">
        <f>IFERROR(VLOOKUP(TEXT(B533,"0"),STOCK!A:H,7,0),1)</f>
        <v>1</v>
      </c>
    </row>
    <row r="534" spans="10:10" ht="35.450000000000003" hidden="1" customHeight="1">
      <c r="J534" s="28">
        <f>IFERROR(VLOOKUP(TEXT(B534,"0"),STOCK!A:H,7,0),1)</f>
        <v>1</v>
      </c>
    </row>
    <row r="535" spans="10:10" ht="35.450000000000003" hidden="1" customHeight="1">
      <c r="J535" s="28">
        <f>IFERROR(VLOOKUP(TEXT(B535,"0"),STOCK!A:H,7,0),1)</f>
        <v>1</v>
      </c>
    </row>
    <row r="536" spans="10:10" ht="35.450000000000003" hidden="1" customHeight="1">
      <c r="J536" s="28">
        <f>IFERROR(VLOOKUP(TEXT(B536,"0"),STOCK!A:H,7,0),1)</f>
        <v>1</v>
      </c>
    </row>
    <row r="537" spans="10:10" ht="35.450000000000003" hidden="1" customHeight="1">
      <c r="J537" s="28">
        <f>IFERROR(VLOOKUP(TEXT(B537,"0"),STOCK!A:H,7,0),1)</f>
        <v>1</v>
      </c>
    </row>
    <row r="538" spans="10:10" ht="35.450000000000003" hidden="1" customHeight="1">
      <c r="J538" s="28">
        <f>IFERROR(VLOOKUP(TEXT(B538,"0"),STOCK!A:H,7,0),1)</f>
        <v>1</v>
      </c>
    </row>
    <row r="539" spans="10:10" ht="35.450000000000003" hidden="1" customHeight="1">
      <c r="J539" s="28">
        <f>IFERROR(VLOOKUP(TEXT(B539,"0"),STOCK!A:H,7,0),1)</f>
        <v>1</v>
      </c>
    </row>
    <row r="540" spans="10:10" ht="35.450000000000003" hidden="1" customHeight="1">
      <c r="J540" s="28">
        <f>IFERROR(VLOOKUP(TEXT(B540,"0"),STOCK!A:H,7,0),1)</f>
        <v>1</v>
      </c>
    </row>
    <row r="541" spans="10:10" ht="35.450000000000003" hidden="1" customHeight="1">
      <c r="J541" s="28">
        <f>IFERROR(VLOOKUP(TEXT(B541,"0"),STOCK!A:H,7,0),1)</f>
        <v>1</v>
      </c>
    </row>
    <row r="542" spans="10:10" ht="35.450000000000003" hidden="1" customHeight="1">
      <c r="J542" s="28">
        <f>IFERROR(VLOOKUP(TEXT(B542,"0"),STOCK!A:H,7,0),1)</f>
        <v>1</v>
      </c>
    </row>
    <row r="543" spans="10:10" ht="35.450000000000003" hidden="1" customHeight="1">
      <c r="J543" s="28">
        <f>IFERROR(VLOOKUP(TEXT(B543,"0"),STOCK!A:H,7,0),1)</f>
        <v>1</v>
      </c>
    </row>
    <row r="544" spans="10:10" ht="35.450000000000003" hidden="1" customHeight="1">
      <c r="J544" s="28">
        <f>IFERROR(VLOOKUP(TEXT(B544,"0"),STOCK!A:H,7,0),1)</f>
        <v>1</v>
      </c>
    </row>
    <row r="545" spans="10:10" ht="35.450000000000003" hidden="1" customHeight="1">
      <c r="J545" s="28">
        <f>IFERROR(VLOOKUP(TEXT(B545,"0"),STOCK!A:H,7,0),1)</f>
        <v>1</v>
      </c>
    </row>
    <row r="546" spans="10:10" ht="35.450000000000003" hidden="1" customHeight="1">
      <c r="J546" s="28">
        <f>IFERROR(VLOOKUP(TEXT(B546,"0"),STOCK!A:H,7,0),1)</f>
        <v>1</v>
      </c>
    </row>
    <row r="547" spans="10:10" ht="35.450000000000003" hidden="1" customHeight="1">
      <c r="J547" s="28">
        <f>IFERROR(VLOOKUP(TEXT(B547,"0"),STOCK!A:H,7,0),1)</f>
        <v>1</v>
      </c>
    </row>
    <row r="548" spans="10:10" ht="35.450000000000003" hidden="1" customHeight="1">
      <c r="J548" s="28">
        <f>IFERROR(VLOOKUP(TEXT(B548,"0"),STOCK!A:H,7,0),1)</f>
        <v>1</v>
      </c>
    </row>
    <row r="549" spans="10:10" ht="35.450000000000003" hidden="1" customHeight="1">
      <c r="J549" s="28">
        <f>IFERROR(VLOOKUP(TEXT(B549,"0"),STOCK!A:H,7,0),1)</f>
        <v>1</v>
      </c>
    </row>
    <row r="550" spans="10:10" ht="35.450000000000003" hidden="1" customHeight="1">
      <c r="J550" s="28">
        <f>IFERROR(VLOOKUP(TEXT(B550,"0"),STOCK!A:H,7,0),1)</f>
        <v>1</v>
      </c>
    </row>
    <row r="551" spans="10:10" ht="35.450000000000003" hidden="1" customHeight="1">
      <c r="J551" s="28">
        <f>IFERROR(VLOOKUP(TEXT(B551,"0"),STOCK!A:H,7,0),1)</f>
        <v>1</v>
      </c>
    </row>
    <row r="552" spans="10:10" ht="35.450000000000003" hidden="1" customHeight="1">
      <c r="J552" s="28">
        <f>IFERROR(VLOOKUP(TEXT(B552,"0"),STOCK!A:H,7,0),1)</f>
        <v>1</v>
      </c>
    </row>
    <row r="553" spans="10:10" ht="35.450000000000003" hidden="1" customHeight="1">
      <c r="J553" s="28">
        <f>IFERROR(VLOOKUP(TEXT(B553,"0"),STOCK!A:H,7,0),1)</f>
        <v>1</v>
      </c>
    </row>
    <row r="554" spans="10:10" ht="35.450000000000003" hidden="1" customHeight="1">
      <c r="J554" s="28">
        <f>IFERROR(VLOOKUP(TEXT(B554,"0"),STOCK!A:H,7,0),1)</f>
        <v>1</v>
      </c>
    </row>
    <row r="555" spans="10:10" ht="35.450000000000003" hidden="1" customHeight="1">
      <c r="J555" s="28">
        <f>IFERROR(VLOOKUP(TEXT(B555,"0"),STOCK!A:H,7,0),1)</f>
        <v>1</v>
      </c>
    </row>
    <row r="556" spans="10:10" ht="35.450000000000003" hidden="1" customHeight="1">
      <c r="J556" s="28">
        <f>IFERROR(VLOOKUP(TEXT(B556,"0"),STOCK!A:H,7,0),1)</f>
        <v>1</v>
      </c>
    </row>
    <row r="557" spans="10:10" ht="35.450000000000003" hidden="1" customHeight="1">
      <c r="J557" s="28">
        <f>IFERROR(VLOOKUP(TEXT(B557,"0"),STOCK!A:H,7,0),1)</f>
        <v>1</v>
      </c>
    </row>
    <row r="558" spans="10:10" ht="35.450000000000003" hidden="1" customHeight="1">
      <c r="J558" s="28">
        <f>IFERROR(VLOOKUP(TEXT(B558,"0"),STOCK!A:H,7,0),1)</f>
        <v>1</v>
      </c>
    </row>
    <row r="559" spans="10:10" ht="35.450000000000003" hidden="1" customHeight="1">
      <c r="J559" s="28">
        <f>IFERROR(VLOOKUP(TEXT(B559,"0"),STOCK!A:H,7,0),1)</f>
        <v>1</v>
      </c>
    </row>
    <row r="560" spans="10:10" ht="35.450000000000003" hidden="1" customHeight="1">
      <c r="J560" s="28">
        <f>IFERROR(VLOOKUP(TEXT(B560,"0"),STOCK!A:H,7,0),1)</f>
        <v>1</v>
      </c>
    </row>
    <row r="561" spans="10:10" ht="35.450000000000003" hidden="1" customHeight="1">
      <c r="J561" s="28">
        <f>IFERROR(VLOOKUP(TEXT(B561,"0"),STOCK!A:H,7,0),1)</f>
        <v>1</v>
      </c>
    </row>
    <row r="562" spans="10:10" ht="35.450000000000003" hidden="1" customHeight="1">
      <c r="J562" s="28">
        <f>IFERROR(VLOOKUP(TEXT(B562,"0"),STOCK!A:H,7,0),1)</f>
        <v>1</v>
      </c>
    </row>
    <row r="563" spans="10:10" ht="35.450000000000003" hidden="1" customHeight="1">
      <c r="J563" s="28">
        <f>IFERROR(VLOOKUP(TEXT(B563,"0"),STOCK!A:H,7,0),1)</f>
        <v>1</v>
      </c>
    </row>
    <row r="564" spans="10:10" ht="35.450000000000003" hidden="1" customHeight="1">
      <c r="J564" s="28">
        <f>IFERROR(VLOOKUP(TEXT(B564,"0"),STOCK!A:H,7,0),1)</f>
        <v>1</v>
      </c>
    </row>
    <row r="565" spans="10:10" ht="35.450000000000003" hidden="1" customHeight="1">
      <c r="J565" s="28">
        <f>IFERROR(VLOOKUP(TEXT(B565,"0"),STOCK!A:H,7,0),1)</f>
        <v>1</v>
      </c>
    </row>
    <row r="566" spans="10:10" ht="35.450000000000003" hidden="1" customHeight="1">
      <c r="J566" s="28">
        <f>IFERROR(VLOOKUP(TEXT(B566,"0"),STOCK!A:H,7,0),1)</f>
        <v>1</v>
      </c>
    </row>
    <row r="567" spans="10:10" ht="35.450000000000003" hidden="1" customHeight="1">
      <c r="J567" s="28">
        <f>IFERROR(VLOOKUP(TEXT(B567,"0"),STOCK!A:H,7,0),1)</f>
        <v>1</v>
      </c>
    </row>
    <row r="568" spans="10:10" ht="35.450000000000003" hidden="1" customHeight="1">
      <c r="J568" s="28">
        <f>IFERROR(VLOOKUP(TEXT(B568,"0"),STOCK!A:H,7,0),1)</f>
        <v>1</v>
      </c>
    </row>
    <row r="569" spans="10:10" ht="35.450000000000003" hidden="1" customHeight="1">
      <c r="J569" s="28">
        <f>IFERROR(VLOOKUP(TEXT(B569,"0"),STOCK!A:H,7,0),1)</f>
        <v>1</v>
      </c>
    </row>
    <row r="570" spans="10:10" ht="35.450000000000003" hidden="1" customHeight="1">
      <c r="J570" s="28">
        <f>IFERROR(VLOOKUP(TEXT(B570,"0"),STOCK!A:H,7,0),1)</f>
        <v>1</v>
      </c>
    </row>
    <row r="571" spans="10:10" ht="35.450000000000003" hidden="1" customHeight="1">
      <c r="J571" s="28">
        <f>IFERROR(VLOOKUP(TEXT(B571,"0"),STOCK!A:H,7,0),1)</f>
        <v>1</v>
      </c>
    </row>
    <row r="572" spans="10:10" ht="35.450000000000003" hidden="1" customHeight="1">
      <c r="J572" s="28">
        <f>IFERROR(VLOOKUP(TEXT(B572,"0"),STOCK!A:H,7,0),1)</f>
        <v>1</v>
      </c>
    </row>
    <row r="573" spans="10:10" ht="35.450000000000003" hidden="1" customHeight="1">
      <c r="J573" s="28">
        <f>IFERROR(VLOOKUP(TEXT(B573,"0"),STOCK!A:H,7,0),1)</f>
        <v>1</v>
      </c>
    </row>
    <row r="574" spans="10:10" ht="35.450000000000003" hidden="1" customHeight="1">
      <c r="J574" s="28">
        <f>IFERROR(VLOOKUP(TEXT(B574,"0"),STOCK!A:H,7,0),1)</f>
        <v>1</v>
      </c>
    </row>
    <row r="575" spans="10:10" ht="35.450000000000003" hidden="1" customHeight="1">
      <c r="J575" s="28">
        <f>IFERROR(VLOOKUP(TEXT(B575,"0"),STOCK!A:H,7,0),1)</f>
        <v>1</v>
      </c>
    </row>
    <row r="576" spans="10:10" ht="35.450000000000003" hidden="1" customHeight="1">
      <c r="J576" s="28">
        <f>IFERROR(VLOOKUP(TEXT(B576,"0"),STOCK!A:H,7,0),1)</f>
        <v>1</v>
      </c>
    </row>
    <row r="577" spans="10:10" ht="35.450000000000003" hidden="1" customHeight="1">
      <c r="J577" s="28">
        <f>IFERROR(VLOOKUP(TEXT(B577,"0"),STOCK!A:H,7,0),1)</f>
        <v>1</v>
      </c>
    </row>
    <row r="578" spans="10:10" ht="35.450000000000003" hidden="1" customHeight="1">
      <c r="J578" s="28">
        <f>IFERROR(VLOOKUP(TEXT(B578,"0"),STOCK!A:H,7,0),1)</f>
        <v>1</v>
      </c>
    </row>
    <row r="579" spans="10:10" ht="35.450000000000003" hidden="1" customHeight="1">
      <c r="J579" s="28">
        <f>IFERROR(VLOOKUP(TEXT(B579,"0"),STOCK!A:H,7,0),1)</f>
        <v>1</v>
      </c>
    </row>
    <row r="580" spans="10:10" ht="35.450000000000003" hidden="1" customHeight="1">
      <c r="J580" s="28">
        <f>IFERROR(VLOOKUP(TEXT(B580,"0"),STOCK!A:H,7,0),1)</f>
        <v>1</v>
      </c>
    </row>
    <row r="581" spans="10:10" ht="35.450000000000003" hidden="1" customHeight="1">
      <c r="J581" s="28">
        <f>IFERROR(VLOOKUP(TEXT(B581,"0"),STOCK!A:H,7,0),1)</f>
        <v>1</v>
      </c>
    </row>
    <row r="582" spans="10:10" ht="35.450000000000003" hidden="1" customHeight="1">
      <c r="J582" s="28">
        <f>IFERROR(VLOOKUP(TEXT(B582,"0"),STOCK!A:H,7,0),1)</f>
        <v>1</v>
      </c>
    </row>
    <row r="583" spans="10:10" ht="35.450000000000003" hidden="1" customHeight="1">
      <c r="J583" s="28">
        <f>IFERROR(VLOOKUP(TEXT(B583,"0"),STOCK!A:H,7,0),1)</f>
        <v>1</v>
      </c>
    </row>
    <row r="584" spans="10:10" ht="35.450000000000003" hidden="1" customHeight="1">
      <c r="J584" s="28">
        <f>IFERROR(VLOOKUP(TEXT(B584,"0"),STOCK!A:H,7,0),1)</f>
        <v>1</v>
      </c>
    </row>
    <row r="585" spans="10:10" ht="35.450000000000003" hidden="1" customHeight="1">
      <c r="J585" s="28">
        <f>IFERROR(VLOOKUP(TEXT(B585,"0"),STOCK!A:H,7,0),1)</f>
        <v>1</v>
      </c>
    </row>
    <row r="586" spans="10:10" ht="35.450000000000003" hidden="1" customHeight="1">
      <c r="J586" s="28">
        <f>IFERROR(VLOOKUP(TEXT(B586,"0"),STOCK!A:H,7,0),1)</f>
        <v>1</v>
      </c>
    </row>
    <row r="587" spans="10:10" ht="35.450000000000003" hidden="1" customHeight="1">
      <c r="J587" s="28">
        <f>IFERROR(VLOOKUP(TEXT(B587,"0"),STOCK!A:H,7,0),1)</f>
        <v>1</v>
      </c>
    </row>
    <row r="588" spans="10:10" ht="35.450000000000003" hidden="1" customHeight="1">
      <c r="J588" s="28">
        <f>IFERROR(VLOOKUP(TEXT(B588,"0"),STOCK!A:H,7,0),1)</f>
        <v>1</v>
      </c>
    </row>
    <row r="589" spans="10:10" ht="35.450000000000003" hidden="1" customHeight="1">
      <c r="J589" s="28">
        <f>IFERROR(VLOOKUP(TEXT(B589,"0"),STOCK!A:H,7,0),1)</f>
        <v>1</v>
      </c>
    </row>
    <row r="590" spans="10:10" ht="35.450000000000003" hidden="1" customHeight="1">
      <c r="J590" s="28">
        <f>IFERROR(VLOOKUP(TEXT(B590,"0"),STOCK!A:H,7,0),1)</f>
        <v>1</v>
      </c>
    </row>
    <row r="591" spans="10:10" ht="35.450000000000003" hidden="1" customHeight="1">
      <c r="J591" s="28">
        <f>IFERROR(VLOOKUP(TEXT(B591,"0"),STOCK!A:H,7,0),1)</f>
        <v>1</v>
      </c>
    </row>
    <row r="592" spans="10:10" ht="35.450000000000003" hidden="1" customHeight="1">
      <c r="J592" s="28">
        <f>IFERROR(VLOOKUP(TEXT(B592,"0"),STOCK!A:H,7,0),1)</f>
        <v>1</v>
      </c>
    </row>
    <row r="593" spans="10:10" ht="35.450000000000003" hidden="1" customHeight="1">
      <c r="J593" s="28">
        <f>IFERROR(VLOOKUP(TEXT(B593,"0"),STOCK!A:H,7,0),1)</f>
        <v>1</v>
      </c>
    </row>
    <row r="594" spans="10:10" ht="35.450000000000003" hidden="1" customHeight="1">
      <c r="J594" s="28">
        <f>IFERROR(VLOOKUP(TEXT(B594,"0"),STOCK!A:H,7,0),1)</f>
        <v>1</v>
      </c>
    </row>
    <row r="595" spans="10:10" ht="35.450000000000003" hidden="1" customHeight="1">
      <c r="J595" s="28">
        <f>IFERROR(VLOOKUP(TEXT(B595,"0"),STOCK!A:H,7,0),1)</f>
        <v>1</v>
      </c>
    </row>
    <row r="596" spans="10:10" ht="35.450000000000003" hidden="1" customHeight="1">
      <c r="J596" s="28">
        <f>IFERROR(VLOOKUP(TEXT(B596,"0"),STOCK!A:H,7,0),1)</f>
        <v>1</v>
      </c>
    </row>
    <row r="597" spans="10:10" ht="35.450000000000003" hidden="1" customHeight="1">
      <c r="J597" s="28">
        <f>IFERROR(VLOOKUP(TEXT(B597,"0"),STOCK!A:H,7,0),1)</f>
        <v>1</v>
      </c>
    </row>
    <row r="598" spans="10:10" ht="35.450000000000003" hidden="1" customHeight="1">
      <c r="J598" s="28">
        <f>IFERROR(VLOOKUP(TEXT(B598,"0"),STOCK!A:H,7,0),1)</f>
        <v>1</v>
      </c>
    </row>
    <row r="599" spans="10:10" ht="35.450000000000003" hidden="1" customHeight="1">
      <c r="J599" s="28">
        <f>IFERROR(VLOOKUP(TEXT(B599,"0"),STOCK!A:H,7,0),1)</f>
        <v>1</v>
      </c>
    </row>
    <row r="600" spans="10:10" ht="35.450000000000003" hidden="1" customHeight="1">
      <c r="J600" s="28">
        <f>IFERROR(VLOOKUP(TEXT(B600,"0"),STOCK!A:H,7,0),1)</f>
        <v>1</v>
      </c>
    </row>
    <row r="601" spans="10:10" ht="35.450000000000003" hidden="1" customHeight="1">
      <c r="J601" s="28">
        <f>IFERROR(VLOOKUP(TEXT(B601,"0"),STOCK!A:H,7,0),1)</f>
        <v>1</v>
      </c>
    </row>
    <row r="602" spans="10:10" ht="35.450000000000003" hidden="1" customHeight="1">
      <c r="J602" s="28">
        <f>IFERROR(VLOOKUP(TEXT(B602,"0"),STOCK!A:H,7,0),1)</f>
        <v>1</v>
      </c>
    </row>
    <row r="603" spans="10:10" ht="35.450000000000003" hidden="1" customHeight="1">
      <c r="J603" s="28">
        <f>IFERROR(VLOOKUP(TEXT(B603,"0"),STOCK!A:H,7,0),1)</f>
        <v>1</v>
      </c>
    </row>
    <row r="604" spans="10:10" ht="35.450000000000003" hidden="1" customHeight="1">
      <c r="J604" s="28">
        <f>IFERROR(VLOOKUP(TEXT(B604,"0"),STOCK!A:H,7,0),1)</f>
        <v>1</v>
      </c>
    </row>
    <row r="605" spans="10:10" ht="35.450000000000003" hidden="1" customHeight="1">
      <c r="J605" s="28">
        <f>IFERROR(VLOOKUP(TEXT(B605,"0"),STOCK!A:H,7,0),1)</f>
        <v>1</v>
      </c>
    </row>
    <row r="606" spans="10:10" ht="35.450000000000003" hidden="1" customHeight="1">
      <c r="J606" s="28">
        <f>IFERROR(VLOOKUP(TEXT(B606,"0"),STOCK!A:H,7,0),1)</f>
        <v>1</v>
      </c>
    </row>
    <row r="607" spans="10:10" ht="35.450000000000003" hidden="1" customHeight="1">
      <c r="J607" s="28">
        <f>IFERROR(VLOOKUP(TEXT(B607,"0"),STOCK!A:H,7,0),1)</f>
        <v>1</v>
      </c>
    </row>
    <row r="608" spans="10:10" ht="35.450000000000003" hidden="1" customHeight="1">
      <c r="J608" s="28">
        <f>IFERROR(VLOOKUP(TEXT(B608,"0"),STOCK!A:H,7,0),1)</f>
        <v>1</v>
      </c>
    </row>
    <row r="609" spans="10:10" ht="35.450000000000003" hidden="1" customHeight="1">
      <c r="J609" s="28">
        <f>IFERROR(VLOOKUP(TEXT(B609,"0"),STOCK!A:H,7,0),1)</f>
        <v>1</v>
      </c>
    </row>
    <row r="610" spans="10:10" ht="35.450000000000003" hidden="1" customHeight="1">
      <c r="J610" s="28">
        <f>IFERROR(VLOOKUP(TEXT(B610,"0"),STOCK!A:H,7,0),1)</f>
        <v>1</v>
      </c>
    </row>
    <row r="611" spans="10:10" ht="35.450000000000003" hidden="1" customHeight="1">
      <c r="J611" s="28">
        <f>IFERROR(VLOOKUP(TEXT(B611,"0"),STOCK!A:H,7,0),1)</f>
        <v>1</v>
      </c>
    </row>
    <row r="612" spans="10:10" ht="35.450000000000003" hidden="1" customHeight="1">
      <c r="J612" s="28">
        <f>IFERROR(VLOOKUP(TEXT(B612,"0"),STOCK!A:H,7,0),1)</f>
        <v>1</v>
      </c>
    </row>
    <row r="613" spans="10:10" ht="35.450000000000003" hidden="1" customHeight="1">
      <c r="J613" s="28">
        <f>IFERROR(VLOOKUP(TEXT(B613,"0"),STOCK!A:H,7,0),1)</f>
        <v>1</v>
      </c>
    </row>
    <row r="614" spans="10:10" ht="35.450000000000003" hidden="1" customHeight="1">
      <c r="J614" s="28">
        <f>IFERROR(VLOOKUP(TEXT(B614,"0"),STOCK!A:H,7,0),1)</f>
        <v>1</v>
      </c>
    </row>
    <row r="615" spans="10:10" ht="35.450000000000003" hidden="1" customHeight="1">
      <c r="J615" s="28">
        <f>IFERROR(VLOOKUP(TEXT(B615,"0"),STOCK!A:H,7,0),1)</f>
        <v>1</v>
      </c>
    </row>
    <row r="616" spans="10:10" ht="35.450000000000003" hidden="1" customHeight="1">
      <c r="J616" s="28">
        <f>IFERROR(VLOOKUP(TEXT(B616,"0"),STOCK!A:H,7,0),1)</f>
        <v>1</v>
      </c>
    </row>
    <row r="617" spans="10:10" ht="35.450000000000003" hidden="1" customHeight="1">
      <c r="J617" s="28">
        <f>IFERROR(VLOOKUP(TEXT(B617,"0"),STOCK!A:H,7,0),1)</f>
        <v>1</v>
      </c>
    </row>
    <row r="618" spans="10:10" ht="35.450000000000003" hidden="1" customHeight="1">
      <c r="J618" s="28">
        <f>IFERROR(VLOOKUP(TEXT(B618,"0"),STOCK!A:H,7,0),1)</f>
        <v>1</v>
      </c>
    </row>
    <row r="619" spans="10:10" ht="35.450000000000003" hidden="1" customHeight="1">
      <c r="J619" s="28">
        <f>IFERROR(VLOOKUP(TEXT(B619,"0"),STOCK!A:H,7,0),1)</f>
        <v>1</v>
      </c>
    </row>
    <row r="620" spans="10:10" ht="35.450000000000003" hidden="1" customHeight="1">
      <c r="J620" s="28">
        <f>IFERROR(VLOOKUP(TEXT(B620,"0"),STOCK!A:H,7,0),1)</f>
        <v>1</v>
      </c>
    </row>
    <row r="621" spans="10:10" ht="35.450000000000003" hidden="1" customHeight="1">
      <c r="J621" s="28">
        <f>IFERROR(VLOOKUP(TEXT(B621,"0"),STOCK!A:H,7,0),1)</f>
        <v>1</v>
      </c>
    </row>
    <row r="622" spans="10:10" ht="35.450000000000003" hidden="1" customHeight="1">
      <c r="J622" s="28">
        <f>IFERROR(VLOOKUP(TEXT(B622,"0"),STOCK!A:H,7,0),1)</f>
        <v>1</v>
      </c>
    </row>
    <row r="623" spans="10:10" ht="35.450000000000003" hidden="1" customHeight="1">
      <c r="J623" s="28">
        <f>IFERROR(VLOOKUP(TEXT(B623,"0"),STOCK!A:H,7,0),1)</f>
        <v>1</v>
      </c>
    </row>
    <row r="624" spans="10:10" ht="35.450000000000003" hidden="1" customHeight="1">
      <c r="J624" s="28">
        <f>IFERROR(VLOOKUP(TEXT(B624,"0"),STOCK!A:H,7,0),1)</f>
        <v>1</v>
      </c>
    </row>
    <row r="625" spans="10:10" ht="35.450000000000003" hidden="1" customHeight="1">
      <c r="J625" s="28">
        <f>IFERROR(VLOOKUP(TEXT(B625,"0"),STOCK!A:H,7,0),1)</f>
        <v>1</v>
      </c>
    </row>
    <row r="626" spans="10:10" ht="35.450000000000003" hidden="1" customHeight="1">
      <c r="J626" s="28">
        <f>IFERROR(VLOOKUP(TEXT(B626,"0"),STOCK!A:H,7,0),1)</f>
        <v>1</v>
      </c>
    </row>
    <row r="627" spans="10:10" ht="35.450000000000003" hidden="1" customHeight="1">
      <c r="J627" s="28">
        <f>IFERROR(VLOOKUP(TEXT(B627,"0"),STOCK!A:H,7,0),1)</f>
        <v>1</v>
      </c>
    </row>
    <row r="628" spans="10:10" ht="35.450000000000003" hidden="1" customHeight="1">
      <c r="J628" s="28">
        <f>IFERROR(VLOOKUP(TEXT(B628,"0"),STOCK!A:H,7,0),1)</f>
        <v>1</v>
      </c>
    </row>
    <row r="629" spans="10:10" ht="35.450000000000003" hidden="1" customHeight="1">
      <c r="J629" s="28">
        <f>IFERROR(VLOOKUP(TEXT(B629,"0"),STOCK!A:H,7,0),1)</f>
        <v>1</v>
      </c>
    </row>
    <row r="630" spans="10:10" ht="35.450000000000003" hidden="1" customHeight="1">
      <c r="J630" s="28">
        <f>IFERROR(VLOOKUP(TEXT(B630,"0"),STOCK!A:H,7,0),1)</f>
        <v>1</v>
      </c>
    </row>
    <row r="631" spans="10:10" ht="35.450000000000003" hidden="1" customHeight="1">
      <c r="J631" s="28">
        <f>IFERROR(VLOOKUP(TEXT(B631,"0"),STOCK!A:H,7,0),1)</f>
        <v>1</v>
      </c>
    </row>
    <row r="632" spans="10:10" ht="35.450000000000003" hidden="1" customHeight="1">
      <c r="J632" s="28">
        <f>IFERROR(VLOOKUP(TEXT(B632,"0"),STOCK!A:H,7,0),1)</f>
        <v>1</v>
      </c>
    </row>
    <row r="633" spans="10:10" ht="35.450000000000003" hidden="1" customHeight="1">
      <c r="J633" s="28">
        <f>IFERROR(VLOOKUP(TEXT(B633,"0"),STOCK!A:H,7,0),1)</f>
        <v>1</v>
      </c>
    </row>
    <row r="634" spans="10:10" ht="35.450000000000003" hidden="1" customHeight="1">
      <c r="J634" s="28">
        <f>IFERROR(VLOOKUP(TEXT(B634,"0"),STOCK!A:H,7,0),1)</f>
        <v>1</v>
      </c>
    </row>
    <row r="635" spans="10:10" ht="35.450000000000003" hidden="1" customHeight="1">
      <c r="J635" s="28">
        <f>IFERROR(VLOOKUP(TEXT(B635,"0"),STOCK!A:H,7,0),1)</f>
        <v>1</v>
      </c>
    </row>
    <row r="636" spans="10:10" ht="35.450000000000003" hidden="1" customHeight="1">
      <c r="J636" s="28">
        <f>IFERROR(VLOOKUP(TEXT(B636,"0"),STOCK!A:H,7,0),1)</f>
        <v>1</v>
      </c>
    </row>
    <row r="637" spans="10:10" ht="35.450000000000003" hidden="1" customHeight="1">
      <c r="J637" s="28">
        <f>IFERROR(VLOOKUP(TEXT(B637,"0"),STOCK!A:H,7,0),1)</f>
        <v>1</v>
      </c>
    </row>
    <row r="638" spans="10:10" ht="35.450000000000003" hidden="1" customHeight="1">
      <c r="J638" s="28">
        <f>IFERROR(VLOOKUP(TEXT(B638,"0"),STOCK!A:H,7,0),1)</f>
        <v>1</v>
      </c>
    </row>
    <row r="639" spans="10:10" ht="35.450000000000003" hidden="1" customHeight="1">
      <c r="J639" s="28">
        <f>IFERROR(VLOOKUP(TEXT(B639,"0"),STOCK!A:H,7,0),1)</f>
        <v>1</v>
      </c>
    </row>
    <row r="640" spans="10:10" ht="35.450000000000003" hidden="1" customHeight="1">
      <c r="J640" s="28">
        <f>IFERROR(VLOOKUP(TEXT(B640,"0"),STOCK!A:H,7,0),1)</f>
        <v>1</v>
      </c>
    </row>
    <row r="641" spans="10:10" ht="35.450000000000003" hidden="1" customHeight="1">
      <c r="J641" s="28">
        <f>IFERROR(VLOOKUP(TEXT(B641,"0"),STOCK!A:H,7,0),1)</f>
        <v>1</v>
      </c>
    </row>
    <row r="642" spans="10:10" ht="35.450000000000003" hidden="1" customHeight="1">
      <c r="J642" s="28">
        <f>IFERROR(VLOOKUP(TEXT(B642,"0"),STOCK!A:H,7,0),1)</f>
        <v>1</v>
      </c>
    </row>
    <row r="643" spans="10:10" ht="35.450000000000003" hidden="1" customHeight="1">
      <c r="J643" s="28">
        <f>IFERROR(VLOOKUP(TEXT(B643,"0"),STOCK!A:H,7,0),1)</f>
        <v>1</v>
      </c>
    </row>
    <row r="644" spans="10:10" ht="35.450000000000003" hidden="1" customHeight="1">
      <c r="J644" s="28">
        <f>IFERROR(VLOOKUP(TEXT(B644,"0"),STOCK!A:H,7,0),1)</f>
        <v>1</v>
      </c>
    </row>
    <row r="645" spans="10:10" ht="35.450000000000003" hidden="1" customHeight="1">
      <c r="J645" s="28">
        <f>IFERROR(VLOOKUP(TEXT(B645,"0"),STOCK!A:H,7,0),1)</f>
        <v>1</v>
      </c>
    </row>
    <row r="646" spans="10:10" ht="35.450000000000003" hidden="1" customHeight="1">
      <c r="J646" s="28">
        <f>IFERROR(VLOOKUP(TEXT(B646,"0"),STOCK!A:H,7,0),1)</f>
        <v>1</v>
      </c>
    </row>
    <row r="647" spans="10:10" ht="35.450000000000003" hidden="1" customHeight="1">
      <c r="J647" s="28">
        <f>IFERROR(VLOOKUP(TEXT(B647,"0"),STOCK!A:H,7,0),1)</f>
        <v>1</v>
      </c>
    </row>
    <row r="648" spans="10:10" ht="35.450000000000003" hidden="1" customHeight="1">
      <c r="J648" s="28">
        <f>IFERROR(VLOOKUP(TEXT(B648,"0"),STOCK!A:H,7,0),1)</f>
        <v>1</v>
      </c>
    </row>
    <row r="649" spans="10:10" ht="35.450000000000003" hidden="1" customHeight="1">
      <c r="J649" s="28">
        <f>IFERROR(VLOOKUP(TEXT(B649,"0"),STOCK!A:H,7,0),1)</f>
        <v>1</v>
      </c>
    </row>
    <row r="650" spans="10:10" ht="35.450000000000003" hidden="1" customHeight="1">
      <c r="J650" s="28">
        <f>IFERROR(VLOOKUP(TEXT(B650,"0"),STOCK!A:H,7,0),1)</f>
        <v>1</v>
      </c>
    </row>
    <row r="651" spans="10:10" ht="35.450000000000003" hidden="1" customHeight="1">
      <c r="J651" s="28">
        <f>IFERROR(VLOOKUP(TEXT(B651,"0"),STOCK!A:H,7,0),1)</f>
        <v>1</v>
      </c>
    </row>
    <row r="652" spans="10:10" ht="35.450000000000003" hidden="1" customHeight="1">
      <c r="J652" s="28">
        <f>IFERROR(VLOOKUP(TEXT(B652,"0"),STOCK!A:H,7,0),1)</f>
        <v>1</v>
      </c>
    </row>
    <row r="653" spans="10:10" ht="35.450000000000003" hidden="1" customHeight="1">
      <c r="J653" s="28">
        <f>IFERROR(VLOOKUP(TEXT(B653,"0"),STOCK!A:H,7,0),1)</f>
        <v>1</v>
      </c>
    </row>
    <row r="654" spans="10:10" ht="35.450000000000003" hidden="1" customHeight="1">
      <c r="J654" s="28">
        <f>IFERROR(VLOOKUP(TEXT(B654,"0"),STOCK!A:H,7,0),1)</f>
        <v>1</v>
      </c>
    </row>
    <row r="655" spans="10:10" ht="35.450000000000003" hidden="1" customHeight="1">
      <c r="J655" s="28">
        <f>IFERROR(VLOOKUP(TEXT(B655,"0"),STOCK!A:H,7,0),1)</f>
        <v>1</v>
      </c>
    </row>
    <row r="656" spans="10:10" ht="35.450000000000003" hidden="1" customHeight="1">
      <c r="J656" s="28">
        <f>IFERROR(VLOOKUP(TEXT(B656,"0"),STOCK!A:H,7,0),1)</f>
        <v>1</v>
      </c>
    </row>
    <row r="657" spans="10:10" ht="35.450000000000003" hidden="1" customHeight="1">
      <c r="J657" s="28">
        <f>IFERROR(VLOOKUP(TEXT(B657,"0"),STOCK!A:H,7,0),1)</f>
        <v>1</v>
      </c>
    </row>
    <row r="658" spans="10:10" ht="35.450000000000003" hidden="1" customHeight="1">
      <c r="J658" s="28">
        <f>IFERROR(VLOOKUP(TEXT(B658,"0"),STOCK!A:H,7,0),1)</f>
        <v>1</v>
      </c>
    </row>
    <row r="659" spans="10:10" ht="35.450000000000003" hidden="1" customHeight="1">
      <c r="J659" s="28">
        <f>IFERROR(VLOOKUP(TEXT(B659,"0"),STOCK!A:H,7,0),1)</f>
        <v>1</v>
      </c>
    </row>
    <row r="660" spans="10:10" ht="35.450000000000003" hidden="1" customHeight="1">
      <c r="J660" s="28">
        <f>IFERROR(VLOOKUP(TEXT(B660,"0"),STOCK!A:H,7,0),1)</f>
        <v>1</v>
      </c>
    </row>
    <row r="661" spans="10:10" ht="35.450000000000003" hidden="1" customHeight="1">
      <c r="J661" s="28">
        <f>IFERROR(VLOOKUP(TEXT(B661,"0"),STOCK!A:H,7,0),1)</f>
        <v>1</v>
      </c>
    </row>
    <row r="662" spans="10:10" ht="35.450000000000003" hidden="1" customHeight="1">
      <c r="J662" s="28">
        <f>IFERROR(VLOOKUP(TEXT(B662,"0"),STOCK!A:H,7,0),1)</f>
        <v>1</v>
      </c>
    </row>
    <row r="663" spans="10:10" ht="35.450000000000003" hidden="1" customHeight="1">
      <c r="J663" s="28">
        <f>IFERROR(VLOOKUP(TEXT(B663,"0"),STOCK!A:H,7,0),1)</f>
        <v>1</v>
      </c>
    </row>
    <row r="664" spans="10:10" ht="35.450000000000003" hidden="1" customHeight="1">
      <c r="J664" s="28">
        <f>IFERROR(VLOOKUP(TEXT(B664,"0"),STOCK!A:H,7,0),1)</f>
        <v>1</v>
      </c>
    </row>
    <row r="665" spans="10:10" ht="35.450000000000003" hidden="1" customHeight="1">
      <c r="J665" s="28">
        <f>IFERROR(VLOOKUP(TEXT(B665,"0"),STOCK!A:H,7,0),1)</f>
        <v>1</v>
      </c>
    </row>
    <row r="666" spans="10:10" ht="35.450000000000003" hidden="1" customHeight="1">
      <c r="J666" s="28">
        <f>IFERROR(VLOOKUP(TEXT(B666,"0"),STOCK!A:H,7,0),1)</f>
        <v>1</v>
      </c>
    </row>
    <row r="667" spans="10:10" ht="35.450000000000003" hidden="1" customHeight="1">
      <c r="J667" s="28">
        <f>IFERROR(VLOOKUP(TEXT(B667,"0"),STOCK!A:H,7,0),1)</f>
        <v>1</v>
      </c>
    </row>
    <row r="668" spans="10:10" ht="35.450000000000003" hidden="1" customHeight="1">
      <c r="J668" s="28">
        <f>IFERROR(VLOOKUP(TEXT(B668,"0"),STOCK!A:H,7,0),1)</f>
        <v>1</v>
      </c>
    </row>
    <row r="669" spans="10:10" ht="35.450000000000003" hidden="1" customHeight="1">
      <c r="J669" s="28">
        <f>IFERROR(VLOOKUP(TEXT(B669,"0"),STOCK!A:H,7,0),1)</f>
        <v>1</v>
      </c>
    </row>
    <row r="670" spans="10:10" ht="35.450000000000003" hidden="1" customHeight="1">
      <c r="J670" s="28">
        <f>IFERROR(VLOOKUP(TEXT(B670,"0"),STOCK!A:H,7,0),1)</f>
        <v>1</v>
      </c>
    </row>
    <row r="671" spans="10:10" ht="35.450000000000003" hidden="1" customHeight="1">
      <c r="J671" s="28">
        <f>IFERROR(VLOOKUP(TEXT(B671,"0"),STOCK!A:H,7,0),1)</f>
        <v>1</v>
      </c>
    </row>
    <row r="672" spans="10:10" ht="35.450000000000003" hidden="1" customHeight="1">
      <c r="J672" s="28">
        <f>IFERROR(VLOOKUP(TEXT(B672,"0"),STOCK!A:H,7,0),1)</f>
        <v>1</v>
      </c>
    </row>
    <row r="673" spans="10:10" ht="35.450000000000003" hidden="1" customHeight="1">
      <c r="J673" s="28">
        <f>IFERROR(VLOOKUP(TEXT(B673,"0"),STOCK!A:H,7,0),1)</f>
        <v>1</v>
      </c>
    </row>
    <row r="674" spans="10:10" ht="35.450000000000003" hidden="1" customHeight="1">
      <c r="J674" s="28">
        <f>IFERROR(VLOOKUP(TEXT(B674,"0"),STOCK!A:H,7,0),1)</f>
        <v>1</v>
      </c>
    </row>
    <row r="675" spans="10:10" ht="35.450000000000003" hidden="1" customHeight="1">
      <c r="J675" s="28">
        <f>IFERROR(VLOOKUP(TEXT(B675,"0"),STOCK!A:H,7,0),1)</f>
        <v>1</v>
      </c>
    </row>
    <row r="676" spans="10:10" ht="35.450000000000003" hidden="1" customHeight="1">
      <c r="J676" s="28">
        <f>IFERROR(VLOOKUP(TEXT(B676,"0"),STOCK!A:H,7,0),1)</f>
        <v>1</v>
      </c>
    </row>
    <row r="677" spans="10:10" ht="35.450000000000003" hidden="1" customHeight="1">
      <c r="J677" s="28">
        <f>IFERROR(VLOOKUP(TEXT(B677,"0"),STOCK!A:H,7,0),1)</f>
        <v>1</v>
      </c>
    </row>
    <row r="678" spans="10:10" ht="35.450000000000003" hidden="1" customHeight="1">
      <c r="J678" s="28">
        <f>IFERROR(VLOOKUP(TEXT(B678,"0"),STOCK!A:H,7,0),1)</f>
        <v>1</v>
      </c>
    </row>
    <row r="679" spans="10:10" ht="35.450000000000003" hidden="1" customHeight="1">
      <c r="J679" s="28">
        <f>IFERROR(VLOOKUP(TEXT(B679,"0"),STOCK!A:H,7,0),1)</f>
        <v>1</v>
      </c>
    </row>
    <row r="680" spans="10:10" ht="35.450000000000003" hidden="1" customHeight="1">
      <c r="J680" s="28">
        <f>IFERROR(VLOOKUP(TEXT(B680,"0"),STOCK!A:H,7,0),1)</f>
        <v>1</v>
      </c>
    </row>
    <row r="681" spans="10:10" ht="35.450000000000003" hidden="1" customHeight="1">
      <c r="J681" s="28">
        <f>IFERROR(VLOOKUP(TEXT(B681,"0"),STOCK!A:H,7,0),1)</f>
        <v>1</v>
      </c>
    </row>
    <row r="682" spans="10:10" ht="35.450000000000003" hidden="1" customHeight="1">
      <c r="J682" s="28">
        <f>IFERROR(VLOOKUP(TEXT(B682,"0"),STOCK!A:H,7,0),1)</f>
        <v>1</v>
      </c>
    </row>
    <row r="683" spans="10:10" ht="35.450000000000003" hidden="1" customHeight="1">
      <c r="J683" s="28">
        <f>IFERROR(VLOOKUP(TEXT(B683,"0"),STOCK!A:H,7,0),1)</f>
        <v>1</v>
      </c>
    </row>
    <row r="684" spans="10:10" ht="35.450000000000003" hidden="1" customHeight="1">
      <c r="J684" s="28">
        <f>IFERROR(VLOOKUP(TEXT(B684,"0"),STOCK!A:H,7,0),1)</f>
        <v>1</v>
      </c>
    </row>
    <row r="685" spans="10:10" ht="35.450000000000003" hidden="1" customHeight="1">
      <c r="J685" s="28">
        <f>IFERROR(VLOOKUP(TEXT(B685,"0"),STOCK!A:H,7,0),1)</f>
        <v>1</v>
      </c>
    </row>
    <row r="686" spans="10:10" ht="35.450000000000003" hidden="1" customHeight="1">
      <c r="J686" s="28">
        <f>IFERROR(VLOOKUP(TEXT(B686,"0"),STOCK!A:H,7,0),1)</f>
        <v>1</v>
      </c>
    </row>
    <row r="687" spans="10:10" ht="35.450000000000003" hidden="1" customHeight="1">
      <c r="J687" s="28">
        <f>IFERROR(VLOOKUP(TEXT(B687,"0"),STOCK!A:H,7,0),1)</f>
        <v>1</v>
      </c>
    </row>
    <row r="688" spans="10:10" ht="35.450000000000003" hidden="1" customHeight="1">
      <c r="J688" s="28">
        <f>IFERROR(VLOOKUP(TEXT(B688,"0"),STOCK!A:H,7,0),1)</f>
        <v>1</v>
      </c>
    </row>
    <row r="689" spans="10:10" ht="35.450000000000003" hidden="1" customHeight="1">
      <c r="J689" s="28">
        <f>IFERROR(VLOOKUP(TEXT(B689,"0"),STOCK!A:H,7,0),1)</f>
        <v>1</v>
      </c>
    </row>
    <row r="690" spans="10:10" ht="35.450000000000003" hidden="1" customHeight="1">
      <c r="J690" s="28">
        <f>IFERROR(VLOOKUP(TEXT(B690,"0"),STOCK!A:H,7,0),1)</f>
        <v>1</v>
      </c>
    </row>
    <row r="691" spans="10:10" ht="35.450000000000003" hidden="1" customHeight="1">
      <c r="J691" s="28">
        <f>IFERROR(VLOOKUP(TEXT(B691,"0"),STOCK!A:H,7,0),1)</f>
        <v>1</v>
      </c>
    </row>
    <row r="692" spans="10:10" ht="35.450000000000003" hidden="1" customHeight="1">
      <c r="J692" s="28">
        <f>IFERROR(VLOOKUP(TEXT(B692,"0"),STOCK!A:H,7,0),1)</f>
        <v>1</v>
      </c>
    </row>
    <row r="693" spans="10:10" ht="35.450000000000003" hidden="1" customHeight="1">
      <c r="J693" s="28">
        <f>IFERROR(VLOOKUP(TEXT(B693,"0"),STOCK!A:H,7,0),1)</f>
        <v>1</v>
      </c>
    </row>
    <row r="694" spans="10:10" ht="35.450000000000003" hidden="1" customHeight="1">
      <c r="J694" s="28">
        <f>IFERROR(VLOOKUP(TEXT(B694,"0"),STOCK!A:H,7,0),1)</f>
        <v>1</v>
      </c>
    </row>
    <row r="695" spans="10:10" ht="35.450000000000003" hidden="1" customHeight="1">
      <c r="J695" s="28">
        <f>IFERROR(VLOOKUP(TEXT(B695,"0"),STOCK!A:H,7,0),1)</f>
        <v>1</v>
      </c>
    </row>
    <row r="696" spans="10:10" ht="35.450000000000003" hidden="1" customHeight="1">
      <c r="J696" s="28">
        <f>IFERROR(VLOOKUP(TEXT(B696,"0"),STOCK!A:H,7,0),1)</f>
        <v>1</v>
      </c>
    </row>
    <row r="697" spans="10:10" ht="35.450000000000003" hidden="1" customHeight="1">
      <c r="J697" s="28">
        <f>IFERROR(VLOOKUP(TEXT(B697,"0"),STOCK!A:H,7,0),1)</f>
        <v>1</v>
      </c>
    </row>
    <row r="698" spans="10:10" ht="35.450000000000003" hidden="1" customHeight="1">
      <c r="J698" s="28">
        <f>IFERROR(VLOOKUP(TEXT(B698,"0"),STOCK!A:H,7,0),1)</f>
        <v>1</v>
      </c>
    </row>
    <row r="699" spans="10:10" ht="35.450000000000003" hidden="1" customHeight="1">
      <c r="J699" s="28">
        <f>IFERROR(VLOOKUP(TEXT(B699,"0"),STOCK!A:H,7,0),1)</f>
        <v>1</v>
      </c>
    </row>
    <row r="700" spans="10:10" ht="35.450000000000003" hidden="1" customHeight="1">
      <c r="J700" s="28">
        <f>IFERROR(VLOOKUP(TEXT(B700,"0"),STOCK!A:H,7,0),1)</f>
        <v>1</v>
      </c>
    </row>
    <row r="701" spans="10:10" ht="35.450000000000003" hidden="1" customHeight="1">
      <c r="J701" s="28">
        <f>IFERROR(VLOOKUP(TEXT(B701,"0"),STOCK!A:H,7,0),1)</f>
        <v>1</v>
      </c>
    </row>
    <row r="702" spans="10:10" ht="35.450000000000003" hidden="1" customHeight="1">
      <c r="J702" s="28">
        <f>IFERROR(VLOOKUP(TEXT(B702,"0"),STOCK!A:H,7,0),1)</f>
        <v>1</v>
      </c>
    </row>
    <row r="703" spans="10:10" ht="35.450000000000003" hidden="1" customHeight="1">
      <c r="J703" s="28">
        <f>IFERROR(VLOOKUP(TEXT(B703,"0"),STOCK!A:H,7,0),1)</f>
        <v>1</v>
      </c>
    </row>
    <row r="704" spans="10:10" ht="35.450000000000003" hidden="1" customHeight="1">
      <c r="J704" s="28">
        <f>IFERROR(VLOOKUP(TEXT(B704,"0"),STOCK!A:H,7,0),1)</f>
        <v>1</v>
      </c>
    </row>
    <row r="705" spans="10:10" ht="35.450000000000003" hidden="1" customHeight="1">
      <c r="J705" s="28">
        <f>IFERROR(VLOOKUP(TEXT(B705,"0"),STOCK!A:H,7,0),1)</f>
        <v>1</v>
      </c>
    </row>
    <row r="706" spans="10:10" ht="35.450000000000003" hidden="1" customHeight="1">
      <c r="J706" s="28">
        <f>IFERROR(VLOOKUP(TEXT(B706,"0"),STOCK!A:H,7,0),1)</f>
        <v>1</v>
      </c>
    </row>
    <row r="707" spans="10:10" ht="35.450000000000003" hidden="1" customHeight="1">
      <c r="J707" s="28">
        <f>IFERROR(VLOOKUP(TEXT(B707,"0"),STOCK!A:H,7,0),1)</f>
        <v>1</v>
      </c>
    </row>
    <row r="708" spans="10:10" ht="35.450000000000003" hidden="1" customHeight="1">
      <c r="J708" s="28">
        <f>IFERROR(VLOOKUP(TEXT(B708,"0"),STOCK!A:H,7,0),1)</f>
        <v>1</v>
      </c>
    </row>
    <row r="709" spans="10:10" ht="35.450000000000003" hidden="1" customHeight="1">
      <c r="J709" s="28">
        <f>IFERROR(VLOOKUP(TEXT(B709,"0"),STOCK!A:H,7,0),1)</f>
        <v>1</v>
      </c>
    </row>
    <row r="710" spans="10:10" ht="35.450000000000003" hidden="1" customHeight="1">
      <c r="J710" s="28">
        <f>IFERROR(VLOOKUP(TEXT(B710,"0"),STOCK!A:H,7,0),1)</f>
        <v>1</v>
      </c>
    </row>
    <row r="711" spans="10:10" ht="35.450000000000003" hidden="1" customHeight="1">
      <c r="J711" s="28">
        <f>IFERROR(VLOOKUP(TEXT(B711,"0"),STOCK!A:H,7,0),1)</f>
        <v>1</v>
      </c>
    </row>
    <row r="712" spans="10:10" ht="35.450000000000003" hidden="1" customHeight="1">
      <c r="J712" s="28">
        <f>IFERROR(VLOOKUP(TEXT(B712,"0"),STOCK!A:H,7,0),1)</f>
        <v>1</v>
      </c>
    </row>
    <row r="713" spans="10:10" ht="35.450000000000003" hidden="1" customHeight="1">
      <c r="J713" s="28">
        <f>IFERROR(VLOOKUP(TEXT(B713,"0"),STOCK!A:H,7,0),1)</f>
        <v>1</v>
      </c>
    </row>
    <row r="714" spans="10:10" ht="35.450000000000003" hidden="1" customHeight="1">
      <c r="J714" s="28">
        <f>IFERROR(VLOOKUP(TEXT(B714,"0"),STOCK!A:H,7,0),1)</f>
        <v>1</v>
      </c>
    </row>
    <row r="715" spans="10:10" ht="35.450000000000003" hidden="1" customHeight="1">
      <c r="J715" s="28">
        <f>IFERROR(VLOOKUP(TEXT(B715,"0"),STOCK!A:H,7,0),1)</f>
        <v>1</v>
      </c>
    </row>
    <row r="716" spans="10:10" ht="35.450000000000003" hidden="1" customHeight="1">
      <c r="J716" s="28">
        <f>IFERROR(VLOOKUP(TEXT(B716,"0"),STOCK!A:H,7,0),1)</f>
        <v>1</v>
      </c>
    </row>
    <row r="717" spans="10:10" ht="35.450000000000003" hidden="1" customHeight="1">
      <c r="J717" s="28">
        <f>IFERROR(VLOOKUP(TEXT(B717,"0"),STOCK!A:H,7,0),1)</f>
        <v>1</v>
      </c>
    </row>
    <row r="718" spans="10:10" ht="35.450000000000003" hidden="1" customHeight="1">
      <c r="J718" s="28">
        <f>IFERROR(VLOOKUP(TEXT(B718,"0"),STOCK!A:H,7,0),1)</f>
        <v>1</v>
      </c>
    </row>
    <row r="719" spans="10:10" ht="35.450000000000003" hidden="1" customHeight="1">
      <c r="J719" s="28">
        <f>IFERROR(VLOOKUP(TEXT(B719,"0"),STOCK!A:H,7,0),1)</f>
        <v>1</v>
      </c>
    </row>
    <row r="720" spans="10:10" ht="35.450000000000003" hidden="1" customHeight="1">
      <c r="J720" s="28">
        <f>IFERROR(VLOOKUP(TEXT(B720,"0"),STOCK!A:H,7,0),1)</f>
        <v>1</v>
      </c>
    </row>
    <row r="721" spans="10:10" ht="35.450000000000003" hidden="1" customHeight="1">
      <c r="J721" s="28">
        <f>IFERROR(VLOOKUP(TEXT(B721,"0"),STOCK!A:H,7,0),1)</f>
        <v>1</v>
      </c>
    </row>
    <row r="722" spans="10:10" ht="35.450000000000003" hidden="1" customHeight="1">
      <c r="J722" s="28">
        <f>IFERROR(VLOOKUP(TEXT(B722,"0"),STOCK!A:H,7,0),1)</f>
        <v>1</v>
      </c>
    </row>
    <row r="723" spans="10:10" ht="35.450000000000003" hidden="1" customHeight="1">
      <c r="J723" s="28">
        <f>IFERROR(VLOOKUP(TEXT(B723,"0"),STOCK!A:H,7,0),1)</f>
        <v>1</v>
      </c>
    </row>
    <row r="724" spans="10:10" ht="35.450000000000003" hidden="1" customHeight="1">
      <c r="J724" s="28">
        <f>IFERROR(VLOOKUP(TEXT(B724,"0"),STOCK!A:H,7,0),1)</f>
        <v>1</v>
      </c>
    </row>
    <row r="725" spans="10:10" ht="35.450000000000003" hidden="1" customHeight="1">
      <c r="J725" s="28">
        <f>IFERROR(VLOOKUP(TEXT(B725,"0"),STOCK!A:H,7,0),1)</f>
        <v>1</v>
      </c>
    </row>
    <row r="726" spans="10:10" ht="35.450000000000003" hidden="1" customHeight="1">
      <c r="J726" s="28">
        <f>IFERROR(VLOOKUP(TEXT(B726,"0"),STOCK!A:H,7,0),1)</f>
        <v>1</v>
      </c>
    </row>
    <row r="727" spans="10:10" ht="35.450000000000003" hidden="1" customHeight="1">
      <c r="J727" s="28">
        <f>IFERROR(VLOOKUP(TEXT(B727,"0"),STOCK!A:H,7,0),1)</f>
        <v>1</v>
      </c>
    </row>
    <row r="728" spans="10:10" ht="35.450000000000003" hidden="1" customHeight="1">
      <c r="J728" s="28">
        <f>IFERROR(VLOOKUP(TEXT(B728,"0"),STOCK!A:H,7,0),1)</f>
        <v>1</v>
      </c>
    </row>
    <row r="729" spans="10:10" ht="35.450000000000003" hidden="1" customHeight="1">
      <c r="J729" s="28">
        <f>IFERROR(VLOOKUP(TEXT(B729,"0"),STOCK!A:H,7,0),1)</f>
        <v>1</v>
      </c>
    </row>
    <row r="730" spans="10:10" ht="35.450000000000003" hidden="1" customHeight="1">
      <c r="J730" s="28">
        <f>IFERROR(VLOOKUP(TEXT(B730,"0"),STOCK!A:H,7,0),1)</f>
        <v>1</v>
      </c>
    </row>
    <row r="731" spans="10:10" ht="35.450000000000003" hidden="1" customHeight="1">
      <c r="J731" s="28">
        <f>IFERROR(VLOOKUP(TEXT(B731,"0"),STOCK!A:H,7,0),1)</f>
        <v>1</v>
      </c>
    </row>
    <row r="732" spans="10:10" ht="35.450000000000003" hidden="1" customHeight="1">
      <c r="J732" s="28">
        <f>IFERROR(VLOOKUP(TEXT(B732,"0"),STOCK!A:H,7,0),1)</f>
        <v>1</v>
      </c>
    </row>
    <row r="733" spans="10:10" ht="35.450000000000003" hidden="1" customHeight="1">
      <c r="J733" s="28">
        <f>IFERROR(VLOOKUP(TEXT(B733,"0"),STOCK!A:H,7,0),1)</f>
        <v>1</v>
      </c>
    </row>
    <row r="734" spans="10:10" ht="35.450000000000003" hidden="1" customHeight="1">
      <c r="J734" s="28">
        <f>IFERROR(VLOOKUP(TEXT(B734,"0"),STOCK!A:H,7,0),1)</f>
        <v>1</v>
      </c>
    </row>
    <row r="735" spans="10:10" ht="35.450000000000003" hidden="1" customHeight="1">
      <c r="J735" s="28">
        <f>IFERROR(VLOOKUP(TEXT(B735,"0"),STOCK!A:H,7,0),1)</f>
        <v>1</v>
      </c>
    </row>
    <row r="736" spans="10:10" ht="35.450000000000003" hidden="1" customHeight="1">
      <c r="J736" s="28">
        <f>IFERROR(VLOOKUP(TEXT(B736,"0"),STOCK!A:H,7,0),1)</f>
        <v>1</v>
      </c>
    </row>
    <row r="737" spans="10:10" ht="35.450000000000003" hidden="1" customHeight="1">
      <c r="J737" s="28">
        <f>IFERROR(VLOOKUP(TEXT(B737,"0"),STOCK!A:H,7,0),1)</f>
        <v>1</v>
      </c>
    </row>
    <row r="738" spans="10:10" ht="35.450000000000003" hidden="1" customHeight="1">
      <c r="J738" s="28">
        <f>IFERROR(VLOOKUP(TEXT(B738,"0"),STOCK!A:H,7,0),1)</f>
        <v>1</v>
      </c>
    </row>
    <row r="739" spans="10:10" ht="35.450000000000003" hidden="1" customHeight="1">
      <c r="J739" s="28">
        <f>IFERROR(VLOOKUP(TEXT(B739,"0"),STOCK!A:H,7,0),1)</f>
        <v>1</v>
      </c>
    </row>
    <row r="740" spans="10:10" ht="35.450000000000003" hidden="1" customHeight="1">
      <c r="J740" s="28">
        <f>IFERROR(VLOOKUP(TEXT(B740,"0"),STOCK!A:H,7,0),1)</f>
        <v>1</v>
      </c>
    </row>
    <row r="741" spans="10:10" ht="35.450000000000003" hidden="1" customHeight="1">
      <c r="J741" s="28">
        <f>IFERROR(VLOOKUP(TEXT(B741,"0"),STOCK!A:H,7,0),1)</f>
        <v>1</v>
      </c>
    </row>
    <row r="742" spans="10:10" ht="35.450000000000003" hidden="1" customHeight="1">
      <c r="J742" s="28">
        <f>IFERROR(VLOOKUP(TEXT(B742,"0"),STOCK!A:H,7,0),1)</f>
        <v>1</v>
      </c>
    </row>
    <row r="743" spans="10:10" ht="35.450000000000003" hidden="1" customHeight="1">
      <c r="J743" s="28">
        <f>IFERROR(VLOOKUP(TEXT(B743,"0"),STOCK!A:H,7,0),1)</f>
        <v>1</v>
      </c>
    </row>
    <row r="744" spans="10:10" ht="35.450000000000003" hidden="1" customHeight="1">
      <c r="J744" s="28">
        <f>IFERROR(VLOOKUP(TEXT(B744,"0"),STOCK!A:H,7,0),1)</f>
        <v>1</v>
      </c>
    </row>
    <row r="745" spans="10:10" ht="35.450000000000003" hidden="1" customHeight="1">
      <c r="J745" s="28">
        <f>IFERROR(VLOOKUP(TEXT(B745,"0"),STOCK!A:H,7,0),1)</f>
        <v>1</v>
      </c>
    </row>
    <row r="746" spans="10:10" ht="35.450000000000003" hidden="1" customHeight="1">
      <c r="J746" s="28">
        <f>IFERROR(VLOOKUP(TEXT(B746,"0"),STOCK!A:H,7,0),1)</f>
        <v>1</v>
      </c>
    </row>
    <row r="747" spans="10:10" ht="35.450000000000003" hidden="1" customHeight="1">
      <c r="J747" s="28">
        <f>IFERROR(VLOOKUP(TEXT(B747,"0"),STOCK!A:H,7,0),1)</f>
        <v>1</v>
      </c>
    </row>
    <row r="748" spans="10:10" ht="35.450000000000003" hidden="1" customHeight="1">
      <c r="J748" s="28">
        <f>IFERROR(VLOOKUP(TEXT(B748,"0"),STOCK!A:H,7,0),1)</f>
        <v>1</v>
      </c>
    </row>
    <row r="749" spans="10:10" ht="35.450000000000003" hidden="1" customHeight="1">
      <c r="J749" s="28">
        <f>IFERROR(VLOOKUP(TEXT(B749,"0"),STOCK!A:H,7,0),1)</f>
        <v>1</v>
      </c>
    </row>
    <row r="750" spans="10:10" ht="35.450000000000003" hidden="1" customHeight="1">
      <c r="J750" s="28">
        <f>IFERROR(VLOOKUP(TEXT(B750,"0"),STOCK!A:H,7,0),1)</f>
        <v>1</v>
      </c>
    </row>
    <row r="751" spans="10:10" ht="35.450000000000003" hidden="1" customHeight="1">
      <c r="J751" s="28">
        <f>IFERROR(VLOOKUP(TEXT(B751,"0"),STOCK!A:H,7,0),1)</f>
        <v>1</v>
      </c>
    </row>
    <row r="752" spans="10:10" ht="35.450000000000003" hidden="1" customHeight="1">
      <c r="J752" s="28">
        <f>IFERROR(VLOOKUP(TEXT(B752,"0"),STOCK!A:H,7,0),1)</f>
        <v>1</v>
      </c>
    </row>
    <row r="753" spans="10:10" ht="35.450000000000003" hidden="1" customHeight="1">
      <c r="J753" s="28">
        <f>IFERROR(VLOOKUP(TEXT(B753,"0"),STOCK!A:H,7,0),1)</f>
        <v>1</v>
      </c>
    </row>
    <row r="754" spans="10:10" ht="35.450000000000003" hidden="1" customHeight="1">
      <c r="J754" s="28">
        <f>IFERROR(VLOOKUP(TEXT(B754,"0"),STOCK!A:H,7,0),1)</f>
        <v>1</v>
      </c>
    </row>
    <row r="755" spans="10:10" ht="35.450000000000003" hidden="1" customHeight="1">
      <c r="J755" s="28">
        <f>IFERROR(VLOOKUP(TEXT(B755,"0"),STOCK!A:H,7,0),1)</f>
        <v>1</v>
      </c>
    </row>
    <row r="756" spans="10:10" ht="35.450000000000003" hidden="1" customHeight="1">
      <c r="J756" s="28">
        <f>IFERROR(VLOOKUP(TEXT(B756,"0"),STOCK!A:H,7,0),1)</f>
        <v>1</v>
      </c>
    </row>
    <row r="757" spans="10:10" ht="35.450000000000003" hidden="1" customHeight="1">
      <c r="J757" s="28">
        <f>IFERROR(VLOOKUP(TEXT(B757,"0"),STOCK!A:H,7,0),1)</f>
        <v>1</v>
      </c>
    </row>
    <row r="758" spans="10:10" ht="35.450000000000003" hidden="1" customHeight="1">
      <c r="J758" s="28">
        <f>IFERROR(VLOOKUP(TEXT(B758,"0"),STOCK!A:H,7,0),1)</f>
        <v>1</v>
      </c>
    </row>
    <row r="759" spans="10:10" ht="35.450000000000003" hidden="1" customHeight="1">
      <c r="J759" s="28">
        <f>IFERROR(VLOOKUP(TEXT(B759,"0"),STOCK!A:H,7,0),1)</f>
        <v>1</v>
      </c>
    </row>
    <row r="760" spans="10:10" ht="35.450000000000003" hidden="1" customHeight="1">
      <c r="J760" s="28">
        <f>IFERROR(VLOOKUP(TEXT(B760,"0"),STOCK!A:H,7,0),1)</f>
        <v>1</v>
      </c>
    </row>
    <row r="761" spans="10:10" ht="35.450000000000003" hidden="1" customHeight="1">
      <c r="J761" s="28">
        <f>IFERROR(VLOOKUP(TEXT(B761,"0"),STOCK!A:H,7,0),1)</f>
        <v>1</v>
      </c>
    </row>
    <row r="762" spans="10:10" ht="35.450000000000003" hidden="1" customHeight="1">
      <c r="J762" s="28">
        <f>IFERROR(VLOOKUP(TEXT(B762,"0"),STOCK!A:H,7,0),1)</f>
        <v>1</v>
      </c>
    </row>
    <row r="763" spans="10:10" ht="35.450000000000003" hidden="1" customHeight="1">
      <c r="J763" s="28">
        <f>IFERROR(VLOOKUP(TEXT(B763,"0"),STOCK!A:H,7,0),1)</f>
        <v>1</v>
      </c>
    </row>
    <row r="764" spans="10:10" ht="35.450000000000003" hidden="1" customHeight="1">
      <c r="J764" s="28">
        <f>IFERROR(VLOOKUP(TEXT(B764,"0"),STOCK!A:H,7,0),1)</f>
        <v>1</v>
      </c>
    </row>
    <row r="765" spans="10:10" ht="35.450000000000003" hidden="1" customHeight="1">
      <c r="J765" s="28">
        <f>IFERROR(VLOOKUP(TEXT(B765,"0"),STOCK!A:H,7,0),1)</f>
        <v>1</v>
      </c>
    </row>
    <row r="766" spans="10:10" ht="35.450000000000003" hidden="1" customHeight="1">
      <c r="J766" s="28">
        <f>IFERROR(VLOOKUP(TEXT(B766,"0"),STOCK!A:H,7,0),1)</f>
        <v>1</v>
      </c>
    </row>
    <row r="767" spans="10:10" ht="35.450000000000003" hidden="1" customHeight="1">
      <c r="J767" s="28">
        <f>IFERROR(VLOOKUP(TEXT(B767,"0"),STOCK!A:H,7,0),1)</f>
        <v>1</v>
      </c>
    </row>
    <row r="768" spans="10:10" ht="35.450000000000003" hidden="1" customHeight="1">
      <c r="J768" s="28">
        <f>IFERROR(VLOOKUP(TEXT(B768,"0"),STOCK!A:H,7,0),1)</f>
        <v>1</v>
      </c>
    </row>
    <row r="769" spans="10:10" ht="35.450000000000003" hidden="1" customHeight="1">
      <c r="J769" s="28">
        <f>IFERROR(VLOOKUP(TEXT(B769,"0"),STOCK!A:H,7,0),1)</f>
        <v>1</v>
      </c>
    </row>
    <row r="770" spans="10:10" ht="35.450000000000003" hidden="1" customHeight="1">
      <c r="J770" s="28">
        <f>IFERROR(VLOOKUP(TEXT(B770,"0"),STOCK!A:H,7,0),1)</f>
        <v>1</v>
      </c>
    </row>
    <row r="771" spans="10:10" ht="35.450000000000003" hidden="1" customHeight="1">
      <c r="J771" s="28">
        <f>IFERROR(VLOOKUP(TEXT(B771,"0"),STOCK!A:H,7,0),1)</f>
        <v>1</v>
      </c>
    </row>
    <row r="772" spans="10:10" ht="35.450000000000003" hidden="1" customHeight="1">
      <c r="J772" s="28">
        <f>IFERROR(VLOOKUP(TEXT(B772,"0"),STOCK!A:H,7,0),1)</f>
        <v>1</v>
      </c>
    </row>
    <row r="773" spans="10:10" ht="35.450000000000003" hidden="1" customHeight="1">
      <c r="J773" s="28">
        <f>IFERROR(VLOOKUP(TEXT(B773,"0"),STOCK!A:H,7,0),1)</f>
        <v>1</v>
      </c>
    </row>
    <row r="774" spans="10:10" ht="35.450000000000003" hidden="1" customHeight="1">
      <c r="J774" s="28">
        <f>IFERROR(VLOOKUP(TEXT(B774,"0"),STOCK!A:H,7,0),1)</f>
        <v>1</v>
      </c>
    </row>
    <row r="775" spans="10:10" ht="35.450000000000003" hidden="1" customHeight="1">
      <c r="J775" s="28">
        <f>IFERROR(VLOOKUP(TEXT(B775,"0"),STOCK!A:H,7,0),1)</f>
        <v>1</v>
      </c>
    </row>
    <row r="776" spans="10:10" ht="35.450000000000003" hidden="1" customHeight="1">
      <c r="J776" s="28">
        <f>IFERROR(VLOOKUP(TEXT(B776,"0"),STOCK!A:H,7,0),1)</f>
        <v>1</v>
      </c>
    </row>
    <row r="777" spans="10:10" ht="35.450000000000003" hidden="1" customHeight="1">
      <c r="J777" s="28">
        <f>IFERROR(VLOOKUP(TEXT(B777,"0"),STOCK!A:H,7,0),1)</f>
        <v>1</v>
      </c>
    </row>
    <row r="778" spans="10:10" ht="35.450000000000003" hidden="1" customHeight="1">
      <c r="J778" s="28">
        <f>IFERROR(VLOOKUP(TEXT(B778,"0"),STOCK!A:H,7,0),1)</f>
        <v>1</v>
      </c>
    </row>
    <row r="779" spans="10:10" ht="35.450000000000003" hidden="1" customHeight="1">
      <c r="J779" s="28">
        <f>IFERROR(VLOOKUP(TEXT(B779,"0"),STOCK!A:H,7,0),1)</f>
        <v>1</v>
      </c>
    </row>
    <row r="780" spans="10:10" ht="35.450000000000003" hidden="1" customHeight="1">
      <c r="J780" s="28">
        <f>IFERROR(VLOOKUP(TEXT(B780,"0"),STOCK!A:H,7,0),1)</f>
        <v>1</v>
      </c>
    </row>
    <row r="781" spans="10:10" ht="35.450000000000003" hidden="1" customHeight="1">
      <c r="J781" s="28">
        <f>IFERROR(VLOOKUP(TEXT(B781,"0"),STOCK!A:H,7,0),1)</f>
        <v>1</v>
      </c>
    </row>
    <row r="782" spans="10:10" ht="35.450000000000003" hidden="1" customHeight="1">
      <c r="J782" s="28">
        <f>IFERROR(VLOOKUP(TEXT(B782,"0"),STOCK!A:H,7,0),1)</f>
        <v>1</v>
      </c>
    </row>
    <row r="783" spans="10:10" ht="35.450000000000003" hidden="1" customHeight="1">
      <c r="J783" s="28">
        <f>IFERROR(VLOOKUP(TEXT(B783,"0"),STOCK!A:H,7,0),1)</f>
        <v>1</v>
      </c>
    </row>
    <row r="784" spans="10:10" ht="35.450000000000003" hidden="1" customHeight="1">
      <c r="J784" s="28">
        <f>IFERROR(VLOOKUP(TEXT(B784,"0"),STOCK!A:H,7,0),1)</f>
        <v>1</v>
      </c>
    </row>
    <row r="785" spans="10:10" ht="35.450000000000003" hidden="1" customHeight="1">
      <c r="J785" s="28">
        <f>IFERROR(VLOOKUP(TEXT(B785,"0"),STOCK!A:H,7,0),1)</f>
        <v>1</v>
      </c>
    </row>
    <row r="786" spans="10:10" ht="35.450000000000003" hidden="1" customHeight="1">
      <c r="J786" s="28">
        <f>IFERROR(VLOOKUP(TEXT(B786,"0"),STOCK!A:H,7,0),1)</f>
        <v>1</v>
      </c>
    </row>
    <row r="787" spans="10:10" ht="35.450000000000003" hidden="1" customHeight="1">
      <c r="J787" s="28">
        <f>IFERROR(VLOOKUP(TEXT(B787,"0"),STOCK!A:H,7,0),1)</f>
        <v>1</v>
      </c>
    </row>
    <row r="788" spans="10:10" ht="35.450000000000003" hidden="1" customHeight="1">
      <c r="J788" s="28">
        <f>IFERROR(VLOOKUP(TEXT(B788,"0"),STOCK!A:H,7,0),1)</f>
        <v>1</v>
      </c>
    </row>
    <row r="789" spans="10:10" ht="35.450000000000003" hidden="1" customHeight="1">
      <c r="J789" s="28">
        <f>IFERROR(VLOOKUP(TEXT(B789,"0"),STOCK!A:H,7,0),1)</f>
        <v>1</v>
      </c>
    </row>
    <row r="790" spans="10:10" ht="35.450000000000003" hidden="1" customHeight="1">
      <c r="J790" s="28">
        <f>IFERROR(VLOOKUP(TEXT(B790,"0"),STOCK!A:H,7,0),1)</f>
        <v>1</v>
      </c>
    </row>
    <row r="791" spans="10:10" ht="35.450000000000003" hidden="1" customHeight="1">
      <c r="J791" s="28">
        <f>IFERROR(VLOOKUP(TEXT(B791,"0"),STOCK!A:H,7,0),1)</f>
        <v>1</v>
      </c>
    </row>
    <row r="792" spans="10:10" ht="35.450000000000003" hidden="1" customHeight="1">
      <c r="J792" s="28">
        <f>IFERROR(VLOOKUP(TEXT(B792,"0"),STOCK!A:H,7,0),1)</f>
        <v>1</v>
      </c>
    </row>
    <row r="793" spans="10:10" ht="35.450000000000003" hidden="1" customHeight="1">
      <c r="J793" s="28">
        <f>IFERROR(VLOOKUP(TEXT(B793,"0"),STOCK!A:H,7,0),1)</f>
        <v>1</v>
      </c>
    </row>
    <row r="794" spans="10:10" ht="35.450000000000003" hidden="1" customHeight="1">
      <c r="J794" s="28">
        <f>IFERROR(VLOOKUP(TEXT(B794,"0"),STOCK!A:H,7,0),1)</f>
        <v>1</v>
      </c>
    </row>
    <row r="795" spans="10:10" ht="35.450000000000003" hidden="1" customHeight="1">
      <c r="J795" s="28">
        <f>IFERROR(VLOOKUP(TEXT(B795,"0"),STOCK!A:H,7,0),1)</f>
        <v>1</v>
      </c>
    </row>
    <row r="796" spans="10:10" ht="35.450000000000003" hidden="1" customHeight="1">
      <c r="J796" s="28">
        <f>IFERROR(VLOOKUP(TEXT(B796,"0"),STOCK!A:H,7,0),1)</f>
        <v>1</v>
      </c>
    </row>
    <row r="797" spans="10:10" ht="35.450000000000003" hidden="1" customHeight="1">
      <c r="J797" s="28">
        <f>IFERROR(VLOOKUP(TEXT(B797,"0"),STOCK!A:H,7,0),1)</f>
        <v>1</v>
      </c>
    </row>
    <row r="798" spans="10:10" ht="35.450000000000003" hidden="1" customHeight="1">
      <c r="J798" s="28">
        <f>IFERROR(VLOOKUP(TEXT(B798,"0"),STOCK!A:H,7,0),1)</f>
        <v>1</v>
      </c>
    </row>
    <row r="799" spans="10:10" ht="35.450000000000003" hidden="1" customHeight="1">
      <c r="J799" s="28">
        <f>IFERROR(VLOOKUP(TEXT(B799,"0"),STOCK!A:H,7,0),1)</f>
        <v>1</v>
      </c>
    </row>
    <row r="800" spans="10:10" ht="35.450000000000003" hidden="1" customHeight="1">
      <c r="J800" s="28">
        <f>IFERROR(VLOOKUP(TEXT(B800,"0"),STOCK!A:H,7,0),1)</f>
        <v>1</v>
      </c>
    </row>
    <row r="801" spans="10:10" ht="35.450000000000003" hidden="1" customHeight="1">
      <c r="J801" s="28">
        <f>IFERROR(VLOOKUP(TEXT(B801,"0"),STOCK!A:H,7,0),1)</f>
        <v>1</v>
      </c>
    </row>
    <row r="802" spans="10:10" ht="35.450000000000003" hidden="1" customHeight="1">
      <c r="J802" s="28">
        <f>IFERROR(VLOOKUP(TEXT(B802,"0"),STOCK!A:H,7,0),1)</f>
        <v>1</v>
      </c>
    </row>
    <row r="803" spans="10:10" ht="35.450000000000003" hidden="1" customHeight="1">
      <c r="J803" s="28">
        <f>IFERROR(VLOOKUP(TEXT(B803,"0"),STOCK!A:H,7,0),1)</f>
        <v>1</v>
      </c>
    </row>
    <row r="804" spans="10:10" ht="35.450000000000003" hidden="1" customHeight="1">
      <c r="J804" s="28">
        <f>IFERROR(VLOOKUP(TEXT(B804,"0"),STOCK!A:H,7,0),1)</f>
        <v>1</v>
      </c>
    </row>
    <row r="805" spans="10:10" ht="35.450000000000003" hidden="1" customHeight="1">
      <c r="J805" s="28">
        <f>IFERROR(VLOOKUP(TEXT(B805,"0"),STOCK!A:H,7,0),1)</f>
        <v>1</v>
      </c>
    </row>
    <row r="806" spans="10:10" ht="35.450000000000003" hidden="1" customHeight="1">
      <c r="J806" s="28">
        <f>IFERROR(VLOOKUP(TEXT(B806,"0"),STOCK!A:H,7,0),1)</f>
        <v>1</v>
      </c>
    </row>
    <row r="807" spans="10:10" ht="35.450000000000003" hidden="1" customHeight="1">
      <c r="J807" s="28">
        <f>IFERROR(VLOOKUP(TEXT(B807,"0"),STOCK!A:H,7,0),1)</f>
        <v>1</v>
      </c>
    </row>
    <row r="808" spans="10:10" ht="35.450000000000003" hidden="1" customHeight="1">
      <c r="J808" s="28">
        <f>IFERROR(VLOOKUP(TEXT(B808,"0"),STOCK!A:H,7,0),1)</f>
        <v>1</v>
      </c>
    </row>
    <row r="809" spans="10:10" ht="35.450000000000003" hidden="1" customHeight="1">
      <c r="J809" s="28">
        <f>IFERROR(VLOOKUP(TEXT(B809,"0"),STOCK!A:H,7,0),1)</f>
        <v>1</v>
      </c>
    </row>
    <row r="810" spans="10:10" ht="35.450000000000003" hidden="1" customHeight="1">
      <c r="J810" s="28">
        <f>IFERROR(VLOOKUP(TEXT(B810,"0"),STOCK!A:H,7,0),1)</f>
        <v>1</v>
      </c>
    </row>
    <row r="811" spans="10:10" ht="35.450000000000003" hidden="1" customHeight="1">
      <c r="J811" s="28">
        <f>IFERROR(VLOOKUP(TEXT(B811,"0"),STOCK!A:H,7,0),1)</f>
        <v>1</v>
      </c>
    </row>
    <row r="812" spans="10:10" ht="35.450000000000003" hidden="1" customHeight="1">
      <c r="J812" s="28">
        <f>IFERROR(VLOOKUP(TEXT(B812,"0"),STOCK!A:H,7,0),1)</f>
        <v>1</v>
      </c>
    </row>
    <row r="813" spans="10:10" ht="35.450000000000003" hidden="1" customHeight="1">
      <c r="J813" s="28">
        <f>IFERROR(VLOOKUP(TEXT(B813,"0"),STOCK!A:H,7,0),1)</f>
        <v>1</v>
      </c>
    </row>
    <row r="814" spans="10:10" ht="35.450000000000003" hidden="1" customHeight="1">
      <c r="J814" s="28">
        <f>IFERROR(VLOOKUP(TEXT(B814,"0"),STOCK!A:H,7,0),1)</f>
        <v>1</v>
      </c>
    </row>
    <row r="815" spans="10:10" ht="35.450000000000003" hidden="1" customHeight="1">
      <c r="J815" s="28">
        <f>IFERROR(VLOOKUP(TEXT(B815,"0"),STOCK!A:H,7,0),1)</f>
        <v>1</v>
      </c>
    </row>
    <row r="816" spans="10:10" ht="35.450000000000003" hidden="1" customHeight="1">
      <c r="J816" s="28">
        <f>IFERROR(VLOOKUP(TEXT(B816,"0"),STOCK!A:H,7,0),1)</f>
        <v>1</v>
      </c>
    </row>
    <row r="817" spans="10:10" ht="35.450000000000003" hidden="1" customHeight="1">
      <c r="J817" s="28">
        <f>IFERROR(VLOOKUP(TEXT(B817,"0"),STOCK!A:H,7,0),1)</f>
        <v>1</v>
      </c>
    </row>
    <row r="818" spans="10:10" ht="35.450000000000003" hidden="1" customHeight="1">
      <c r="J818" s="28">
        <f>IFERROR(VLOOKUP(TEXT(B818,"0"),STOCK!A:H,7,0),1)</f>
        <v>1</v>
      </c>
    </row>
    <row r="819" spans="10:10" ht="35.450000000000003" hidden="1" customHeight="1">
      <c r="J819" s="28">
        <f>IFERROR(VLOOKUP(TEXT(B819,"0"),STOCK!A:H,7,0),1)</f>
        <v>1</v>
      </c>
    </row>
    <row r="820" spans="10:10" ht="35.450000000000003" hidden="1" customHeight="1">
      <c r="J820" s="28">
        <f>IFERROR(VLOOKUP(TEXT(B820,"0"),STOCK!A:H,7,0),1)</f>
        <v>1</v>
      </c>
    </row>
    <row r="821" spans="10:10" ht="35.450000000000003" hidden="1" customHeight="1">
      <c r="J821" s="28">
        <f>IFERROR(VLOOKUP(TEXT(B821,"0"),STOCK!A:H,7,0),1)</f>
        <v>1</v>
      </c>
    </row>
    <row r="822" spans="10:10" ht="35.450000000000003" hidden="1" customHeight="1">
      <c r="J822" s="28">
        <f>IFERROR(VLOOKUP(TEXT(B822,"0"),STOCK!A:H,7,0),1)</f>
        <v>1</v>
      </c>
    </row>
    <row r="823" spans="10:10" ht="35.450000000000003" hidden="1" customHeight="1">
      <c r="J823" s="28">
        <f>IFERROR(VLOOKUP(TEXT(B823,"0"),STOCK!A:H,7,0),1)</f>
        <v>1</v>
      </c>
    </row>
    <row r="824" spans="10:10" ht="35.450000000000003" hidden="1" customHeight="1">
      <c r="J824" s="28">
        <f>IFERROR(VLOOKUP(TEXT(B824,"0"),STOCK!A:H,7,0),1)</f>
        <v>1</v>
      </c>
    </row>
    <row r="825" spans="10:10" ht="35.450000000000003" hidden="1" customHeight="1">
      <c r="J825" s="28">
        <f>IFERROR(VLOOKUP(TEXT(B825,"0"),STOCK!A:H,7,0),1)</f>
        <v>1</v>
      </c>
    </row>
    <row r="826" spans="10:10" ht="35.450000000000003" hidden="1" customHeight="1">
      <c r="J826" s="28">
        <f>IFERROR(VLOOKUP(TEXT(B826,"0"),STOCK!A:H,7,0),1)</f>
        <v>1</v>
      </c>
    </row>
    <row r="827" spans="10:10" ht="35.450000000000003" hidden="1" customHeight="1">
      <c r="J827" s="28">
        <f>IFERROR(VLOOKUP(TEXT(B827,"0"),STOCK!A:H,7,0),1)</f>
        <v>1</v>
      </c>
    </row>
    <row r="828" spans="10:10" ht="35.450000000000003" hidden="1" customHeight="1">
      <c r="J828" s="28">
        <f>IFERROR(VLOOKUP(TEXT(B828,"0"),STOCK!A:H,7,0),1)</f>
        <v>1</v>
      </c>
    </row>
    <row r="829" spans="10:10" ht="35.450000000000003" hidden="1" customHeight="1">
      <c r="J829" s="28">
        <f>IFERROR(VLOOKUP(TEXT(B829,"0"),STOCK!A:H,7,0),1)</f>
        <v>1</v>
      </c>
    </row>
    <row r="830" spans="10:10" ht="35.450000000000003" hidden="1" customHeight="1">
      <c r="J830" s="28">
        <f>IFERROR(VLOOKUP(TEXT(B830,"0"),STOCK!A:H,7,0),1)</f>
        <v>1</v>
      </c>
    </row>
    <row r="831" spans="10:10" ht="35.450000000000003" hidden="1" customHeight="1">
      <c r="J831" s="28">
        <f>IFERROR(VLOOKUP(TEXT(B831,"0"),STOCK!A:H,7,0),1)</f>
        <v>1</v>
      </c>
    </row>
    <row r="832" spans="10:10" ht="35.450000000000003" hidden="1" customHeight="1">
      <c r="J832" s="28">
        <f>IFERROR(VLOOKUP(TEXT(B832,"0"),STOCK!A:H,7,0),1)</f>
        <v>1</v>
      </c>
    </row>
    <row r="833" spans="10:10" ht="35.450000000000003" hidden="1" customHeight="1">
      <c r="J833" s="28">
        <f>IFERROR(VLOOKUP(TEXT(B833,"0"),STOCK!A:H,7,0),1)</f>
        <v>1</v>
      </c>
    </row>
    <row r="834" spans="10:10" ht="35.450000000000003" hidden="1" customHeight="1">
      <c r="J834" s="28">
        <f>IFERROR(VLOOKUP(TEXT(B834,"0"),STOCK!A:H,7,0),1)</f>
        <v>1</v>
      </c>
    </row>
    <row r="835" spans="10:10" ht="35.450000000000003" hidden="1" customHeight="1">
      <c r="J835" s="28">
        <f>IFERROR(VLOOKUP(TEXT(B835,"0"),STOCK!A:H,7,0),1)</f>
        <v>1</v>
      </c>
    </row>
    <row r="836" spans="10:10" ht="35.450000000000003" hidden="1" customHeight="1">
      <c r="J836" s="28">
        <f>IFERROR(VLOOKUP(TEXT(B836,"0"),STOCK!A:H,7,0),1)</f>
        <v>1</v>
      </c>
    </row>
    <row r="837" spans="10:10" ht="35.450000000000003" hidden="1" customHeight="1">
      <c r="J837" s="28">
        <f>IFERROR(VLOOKUP(TEXT(B837,"0"),STOCK!A:H,7,0),1)</f>
        <v>1</v>
      </c>
    </row>
    <row r="838" spans="10:10" ht="35.450000000000003" hidden="1" customHeight="1">
      <c r="J838" s="28">
        <f>IFERROR(VLOOKUP(TEXT(B838,"0"),STOCK!A:H,7,0),1)</f>
        <v>1</v>
      </c>
    </row>
    <row r="839" spans="10:10" ht="35.450000000000003" hidden="1" customHeight="1">
      <c r="J839" s="28">
        <f>IFERROR(VLOOKUP(TEXT(B839,"0"),STOCK!A:H,7,0),1)</f>
        <v>1</v>
      </c>
    </row>
    <row r="840" spans="10:10" ht="35.450000000000003" hidden="1" customHeight="1">
      <c r="J840" s="28">
        <f>IFERROR(VLOOKUP(TEXT(B840,"0"),STOCK!A:H,7,0),1)</f>
        <v>1</v>
      </c>
    </row>
    <row r="841" spans="10:10" ht="35.450000000000003" hidden="1" customHeight="1">
      <c r="J841" s="28">
        <f>IFERROR(VLOOKUP(TEXT(B841,"0"),STOCK!A:H,7,0),1)</f>
        <v>1</v>
      </c>
    </row>
    <row r="842" spans="10:10" ht="35.450000000000003" hidden="1" customHeight="1">
      <c r="J842" s="28">
        <f>IFERROR(VLOOKUP(TEXT(B842,"0"),STOCK!A:H,7,0),1)</f>
        <v>1</v>
      </c>
    </row>
    <row r="843" spans="10:10" ht="35.450000000000003" hidden="1" customHeight="1">
      <c r="J843" s="28">
        <f>IFERROR(VLOOKUP(TEXT(B843,"0"),STOCK!A:H,7,0),1)</f>
        <v>1</v>
      </c>
    </row>
    <row r="844" spans="10:10" ht="35.450000000000003" hidden="1" customHeight="1">
      <c r="J844" s="28">
        <f>IFERROR(VLOOKUP(TEXT(B844,"0"),STOCK!A:H,7,0),1)</f>
        <v>1</v>
      </c>
    </row>
    <row r="845" spans="10:10" ht="35.450000000000003" hidden="1" customHeight="1">
      <c r="J845" s="28">
        <f>IFERROR(VLOOKUP(TEXT(B845,"0"),STOCK!A:H,7,0),1)</f>
        <v>1</v>
      </c>
    </row>
    <row r="846" spans="10:10" ht="35.450000000000003" hidden="1" customHeight="1">
      <c r="J846" s="28">
        <f>IFERROR(VLOOKUP(TEXT(B846,"0"),STOCK!A:H,7,0),1)</f>
        <v>1</v>
      </c>
    </row>
    <row r="847" spans="10:10" ht="35.450000000000003" hidden="1" customHeight="1">
      <c r="J847" s="28">
        <f>IFERROR(VLOOKUP(TEXT(B847,"0"),STOCK!A:H,7,0),1)</f>
        <v>1</v>
      </c>
    </row>
    <row r="848" spans="10:10" ht="35.450000000000003" hidden="1" customHeight="1">
      <c r="J848" s="28">
        <f>IFERROR(VLOOKUP(TEXT(B848,"0"),STOCK!A:H,7,0),1)</f>
        <v>1</v>
      </c>
    </row>
    <row r="849" spans="10:10" ht="35.450000000000003" hidden="1" customHeight="1">
      <c r="J849" s="28">
        <f>IFERROR(VLOOKUP(TEXT(B849,"0"),STOCK!A:H,7,0),1)</f>
        <v>1</v>
      </c>
    </row>
    <row r="850" spans="10:10" ht="35.450000000000003" hidden="1" customHeight="1">
      <c r="J850" s="28">
        <f>IFERROR(VLOOKUP(TEXT(B850,"0"),STOCK!A:H,7,0),1)</f>
        <v>1</v>
      </c>
    </row>
    <row r="851" spans="10:10" ht="35.450000000000003" hidden="1" customHeight="1">
      <c r="J851" s="28">
        <f>IFERROR(VLOOKUP(TEXT(B851,"0"),STOCK!A:H,7,0),1)</f>
        <v>1</v>
      </c>
    </row>
    <row r="852" spans="10:10" ht="35.450000000000003" hidden="1" customHeight="1">
      <c r="J852" s="28">
        <f>IFERROR(VLOOKUP(TEXT(B852,"0"),STOCK!A:H,7,0),1)</f>
        <v>1</v>
      </c>
    </row>
    <row r="853" spans="10:10" ht="35.450000000000003" hidden="1" customHeight="1">
      <c r="J853" s="28">
        <f>IFERROR(VLOOKUP(TEXT(B853,"0"),STOCK!A:H,7,0),1)</f>
        <v>1</v>
      </c>
    </row>
    <row r="854" spans="10:10" ht="35.450000000000003" hidden="1" customHeight="1">
      <c r="J854" s="28">
        <f>IFERROR(VLOOKUP(TEXT(B854,"0"),STOCK!A:H,7,0),1)</f>
        <v>1</v>
      </c>
    </row>
    <row r="855" spans="10:10" ht="35.450000000000003" hidden="1" customHeight="1">
      <c r="J855" s="28">
        <f>IFERROR(VLOOKUP(TEXT(B855,"0"),STOCK!A:H,7,0),1)</f>
        <v>1</v>
      </c>
    </row>
    <row r="856" spans="10:10" ht="35.450000000000003" hidden="1" customHeight="1">
      <c r="J856" s="28">
        <f>IFERROR(VLOOKUP(TEXT(B856,"0"),STOCK!A:H,7,0),1)</f>
        <v>1</v>
      </c>
    </row>
    <row r="857" spans="10:10" ht="35.450000000000003" hidden="1" customHeight="1">
      <c r="J857" s="28">
        <f>IFERROR(VLOOKUP(TEXT(B857,"0"),STOCK!A:H,7,0),1)</f>
        <v>1</v>
      </c>
    </row>
    <row r="858" spans="10:10" ht="35.450000000000003" hidden="1" customHeight="1">
      <c r="J858" s="28">
        <f>IFERROR(VLOOKUP(TEXT(B858,"0"),STOCK!A:H,7,0),1)</f>
        <v>1</v>
      </c>
    </row>
    <row r="859" spans="10:10" ht="35.450000000000003" hidden="1" customHeight="1">
      <c r="J859" s="28">
        <f>IFERROR(VLOOKUP(TEXT(B859,"0"),STOCK!A:H,7,0),1)</f>
        <v>1</v>
      </c>
    </row>
    <row r="860" spans="10:10" ht="35.450000000000003" hidden="1" customHeight="1">
      <c r="J860" s="28">
        <f>IFERROR(VLOOKUP(TEXT(B860,"0"),STOCK!A:H,7,0),1)</f>
        <v>1</v>
      </c>
    </row>
    <row r="861" spans="10:10" ht="35.450000000000003" hidden="1" customHeight="1">
      <c r="J861" s="28">
        <f>IFERROR(VLOOKUP(TEXT(B861,"0"),STOCK!A:H,7,0),1)</f>
        <v>1</v>
      </c>
    </row>
    <row r="862" spans="10:10" ht="35.450000000000003" hidden="1" customHeight="1">
      <c r="J862" s="28">
        <f>IFERROR(VLOOKUP(TEXT(B862,"0"),STOCK!A:H,7,0),1)</f>
        <v>1</v>
      </c>
    </row>
    <row r="863" spans="10:10" ht="35.450000000000003" hidden="1" customHeight="1">
      <c r="J863" s="28">
        <f>IFERROR(VLOOKUP(TEXT(B863,"0"),STOCK!A:H,7,0),1)</f>
        <v>1</v>
      </c>
    </row>
    <row r="864" spans="10:10" ht="35.450000000000003" hidden="1" customHeight="1">
      <c r="J864" s="28">
        <f>IFERROR(VLOOKUP(TEXT(B864,"0"),STOCK!A:H,7,0),1)</f>
        <v>1</v>
      </c>
    </row>
    <row r="865" spans="10:10" ht="35.450000000000003" hidden="1" customHeight="1">
      <c r="J865" s="28">
        <f>IFERROR(VLOOKUP(TEXT(B865,"0"),STOCK!A:H,7,0),1)</f>
        <v>1</v>
      </c>
    </row>
    <row r="866" spans="10:10" ht="35.450000000000003" hidden="1" customHeight="1">
      <c r="J866" s="28">
        <f>IFERROR(VLOOKUP(TEXT(B866,"0"),STOCK!A:H,7,0),1)</f>
        <v>1</v>
      </c>
    </row>
    <row r="867" spans="10:10" ht="35.450000000000003" hidden="1" customHeight="1">
      <c r="J867" s="28">
        <f>IFERROR(VLOOKUP(TEXT(B867,"0"),STOCK!A:H,7,0),1)</f>
        <v>1</v>
      </c>
    </row>
    <row r="868" spans="10:10" ht="35.450000000000003" hidden="1" customHeight="1">
      <c r="J868" s="28">
        <f>IFERROR(VLOOKUP(TEXT(B868,"0"),STOCK!A:H,7,0),1)</f>
        <v>1</v>
      </c>
    </row>
    <row r="869" spans="10:10" ht="35.450000000000003" hidden="1" customHeight="1">
      <c r="J869" s="28">
        <f>IFERROR(VLOOKUP(TEXT(B869,"0"),STOCK!A:H,7,0),1)</f>
        <v>1</v>
      </c>
    </row>
    <row r="870" spans="10:10" ht="35.450000000000003" hidden="1" customHeight="1">
      <c r="J870" s="28">
        <f>IFERROR(VLOOKUP(TEXT(B870,"0"),STOCK!A:H,7,0),1)</f>
        <v>1</v>
      </c>
    </row>
    <row r="871" spans="10:10" ht="35.450000000000003" hidden="1" customHeight="1">
      <c r="J871" s="28">
        <f>IFERROR(VLOOKUP(TEXT(B871,"0"),STOCK!A:H,7,0),1)</f>
        <v>1</v>
      </c>
    </row>
    <row r="872" spans="10:10" ht="35.450000000000003" hidden="1" customHeight="1">
      <c r="J872" s="28">
        <f>IFERROR(VLOOKUP(TEXT(B872,"0"),STOCK!A:H,7,0),1)</f>
        <v>1</v>
      </c>
    </row>
    <row r="873" spans="10:10" ht="35.450000000000003" hidden="1" customHeight="1">
      <c r="J873" s="28">
        <f>IFERROR(VLOOKUP(TEXT(B873,"0"),STOCK!A:H,7,0),1)</f>
        <v>1</v>
      </c>
    </row>
    <row r="874" spans="10:10" ht="35.450000000000003" hidden="1" customHeight="1">
      <c r="J874" s="28">
        <f>IFERROR(VLOOKUP(TEXT(B874,"0"),STOCK!A:H,7,0),1)</f>
        <v>1</v>
      </c>
    </row>
    <row r="875" spans="10:10" ht="35.450000000000003" hidden="1" customHeight="1">
      <c r="J875" s="28">
        <f>IFERROR(VLOOKUP(TEXT(B875,"0"),STOCK!A:H,7,0),1)</f>
        <v>1</v>
      </c>
    </row>
    <row r="876" spans="10:10" ht="35.450000000000003" hidden="1" customHeight="1">
      <c r="J876" s="28">
        <f>IFERROR(VLOOKUP(TEXT(B876,"0"),STOCK!A:H,7,0),1)</f>
        <v>1</v>
      </c>
    </row>
    <row r="877" spans="10:10" ht="35.450000000000003" hidden="1" customHeight="1">
      <c r="J877" s="28">
        <f>IFERROR(VLOOKUP(TEXT(B877,"0"),STOCK!A:H,7,0),1)</f>
        <v>1</v>
      </c>
    </row>
    <row r="878" spans="10:10" ht="35.450000000000003" hidden="1" customHeight="1">
      <c r="J878" s="28">
        <f>IFERROR(VLOOKUP(TEXT(B878,"0"),STOCK!A:H,7,0),1)</f>
        <v>1</v>
      </c>
    </row>
    <row r="879" spans="10:10" ht="35.450000000000003" hidden="1" customHeight="1">
      <c r="J879" s="28">
        <f>IFERROR(VLOOKUP(TEXT(B879,"0"),STOCK!A:H,7,0),1)</f>
        <v>1</v>
      </c>
    </row>
    <row r="880" spans="10:10" ht="35.450000000000003" hidden="1" customHeight="1">
      <c r="J880" s="28">
        <f>IFERROR(VLOOKUP(TEXT(B880,"0"),STOCK!A:H,7,0),1)</f>
        <v>1</v>
      </c>
    </row>
    <row r="881" spans="10:10" ht="35.450000000000003" hidden="1" customHeight="1">
      <c r="J881" s="28">
        <f>IFERROR(VLOOKUP(TEXT(B881,"0"),STOCK!A:H,7,0),1)</f>
        <v>1</v>
      </c>
    </row>
    <row r="882" spans="10:10" ht="35.450000000000003" hidden="1" customHeight="1">
      <c r="J882" s="28">
        <f>IFERROR(VLOOKUP(TEXT(B882,"0"),STOCK!A:H,7,0),1)</f>
        <v>1</v>
      </c>
    </row>
    <row r="883" spans="10:10" ht="35.450000000000003" hidden="1" customHeight="1">
      <c r="J883" s="28">
        <f>IFERROR(VLOOKUP(TEXT(B883,"0"),STOCK!A:H,7,0),1)</f>
        <v>1</v>
      </c>
    </row>
    <row r="884" spans="10:10" ht="35.450000000000003" hidden="1" customHeight="1">
      <c r="J884" s="28">
        <f>IFERROR(VLOOKUP(TEXT(B884,"0"),STOCK!A:H,7,0),1)</f>
        <v>1</v>
      </c>
    </row>
    <row r="885" spans="10:10" ht="35.450000000000003" hidden="1" customHeight="1">
      <c r="J885" s="28">
        <f>IFERROR(VLOOKUP(TEXT(B885,"0"),STOCK!A:H,7,0),1)</f>
        <v>1</v>
      </c>
    </row>
    <row r="886" spans="10:10" ht="35.450000000000003" hidden="1" customHeight="1">
      <c r="J886" s="28">
        <f>IFERROR(VLOOKUP(TEXT(B886,"0"),STOCK!A:H,7,0),1)</f>
        <v>1</v>
      </c>
    </row>
    <row r="887" spans="10:10" ht="35.450000000000003" hidden="1" customHeight="1">
      <c r="J887" s="28">
        <f>IFERROR(VLOOKUP(TEXT(B887,"0"),STOCK!A:H,7,0),1)</f>
        <v>1</v>
      </c>
    </row>
    <row r="888" spans="10:10" ht="35.450000000000003" hidden="1" customHeight="1">
      <c r="J888" s="28">
        <f>IFERROR(VLOOKUP(TEXT(B888,"0"),STOCK!A:H,7,0),1)</f>
        <v>1</v>
      </c>
    </row>
    <row r="889" spans="10:10" ht="35.450000000000003" hidden="1" customHeight="1">
      <c r="J889" s="28">
        <f>IFERROR(VLOOKUP(TEXT(B889,"0"),STOCK!A:H,7,0),1)</f>
        <v>1</v>
      </c>
    </row>
    <row r="890" spans="10:10" ht="35.450000000000003" hidden="1" customHeight="1">
      <c r="J890" s="28">
        <f>IFERROR(VLOOKUP(TEXT(B890,"0"),STOCK!A:H,7,0),1)</f>
        <v>1</v>
      </c>
    </row>
    <row r="891" spans="10:10" ht="35.450000000000003" hidden="1" customHeight="1">
      <c r="J891" s="28">
        <f>IFERROR(VLOOKUP(TEXT(B891,"0"),STOCK!A:H,7,0),1)</f>
        <v>1</v>
      </c>
    </row>
    <row r="892" spans="10:10" ht="35.450000000000003" hidden="1" customHeight="1">
      <c r="J892" s="28">
        <f>IFERROR(VLOOKUP(TEXT(B892,"0"),STOCK!A:H,7,0),1)</f>
        <v>1</v>
      </c>
    </row>
    <row r="893" spans="10:10" ht="35.450000000000003" hidden="1" customHeight="1">
      <c r="J893" s="28">
        <f>IFERROR(VLOOKUP(TEXT(B893,"0"),STOCK!A:H,7,0),1)</f>
        <v>1</v>
      </c>
    </row>
    <row r="894" spans="10:10" ht="35.450000000000003" hidden="1" customHeight="1">
      <c r="J894" s="28">
        <f>IFERROR(VLOOKUP(TEXT(B894,"0"),STOCK!A:H,7,0),1)</f>
        <v>1</v>
      </c>
    </row>
    <row r="895" spans="10:10" ht="35.450000000000003" hidden="1" customHeight="1">
      <c r="J895" s="28">
        <f>IFERROR(VLOOKUP(TEXT(B895,"0"),STOCK!A:H,7,0),1)</f>
        <v>1</v>
      </c>
    </row>
    <row r="896" spans="10:10" ht="35.450000000000003" hidden="1" customHeight="1">
      <c r="J896" s="28">
        <f>IFERROR(VLOOKUP(TEXT(B896,"0"),STOCK!A:H,7,0),1)</f>
        <v>1</v>
      </c>
    </row>
    <row r="897" spans="10:10" ht="35.450000000000003" hidden="1" customHeight="1">
      <c r="J897" s="28">
        <f>IFERROR(VLOOKUP(TEXT(B897,"0"),STOCK!A:H,7,0),1)</f>
        <v>1</v>
      </c>
    </row>
    <row r="898" spans="10:10" ht="35.450000000000003" hidden="1" customHeight="1">
      <c r="J898" s="28">
        <f>IFERROR(VLOOKUP(TEXT(B898,"0"),STOCK!A:H,7,0),1)</f>
        <v>1</v>
      </c>
    </row>
    <row r="899" spans="10:10" ht="35.450000000000003" hidden="1" customHeight="1">
      <c r="J899" s="28">
        <f>IFERROR(VLOOKUP(TEXT(B899,"0"),STOCK!A:H,7,0),1)</f>
        <v>1</v>
      </c>
    </row>
    <row r="900" spans="10:10" ht="35.450000000000003" hidden="1" customHeight="1">
      <c r="J900" s="28">
        <f>IFERROR(VLOOKUP(TEXT(B900,"0"),STOCK!A:H,7,0),1)</f>
        <v>1</v>
      </c>
    </row>
    <row r="901" spans="10:10" ht="35.450000000000003" hidden="1" customHeight="1">
      <c r="J901" s="28">
        <f>IFERROR(VLOOKUP(TEXT(B901,"0"),STOCK!A:H,7,0),1)</f>
        <v>1</v>
      </c>
    </row>
    <row r="902" spans="10:10" ht="35.450000000000003" hidden="1" customHeight="1">
      <c r="J902" s="28">
        <f>IFERROR(VLOOKUP(TEXT(B902,"0"),STOCK!A:H,7,0),1)</f>
        <v>1</v>
      </c>
    </row>
    <row r="903" spans="10:10" ht="35.450000000000003" hidden="1" customHeight="1">
      <c r="J903" s="28">
        <f>IFERROR(VLOOKUP(TEXT(B903,"0"),STOCK!A:H,7,0),1)</f>
        <v>1</v>
      </c>
    </row>
    <row r="904" spans="10:10" ht="35.450000000000003" hidden="1" customHeight="1">
      <c r="J904" s="28">
        <f>IFERROR(VLOOKUP(TEXT(B904,"0"),STOCK!A:H,7,0),1)</f>
        <v>1</v>
      </c>
    </row>
    <row r="905" spans="10:10" ht="35.450000000000003" hidden="1" customHeight="1">
      <c r="J905" s="28">
        <f>IFERROR(VLOOKUP(TEXT(B905,"0"),STOCK!A:H,7,0),1)</f>
        <v>1</v>
      </c>
    </row>
    <row r="906" spans="10:10" ht="35.450000000000003" hidden="1" customHeight="1">
      <c r="J906" s="28">
        <f>IFERROR(VLOOKUP(TEXT(B906,"0"),STOCK!A:H,7,0),1)</f>
        <v>1</v>
      </c>
    </row>
    <row r="907" spans="10:10" ht="35.450000000000003" hidden="1" customHeight="1">
      <c r="J907" s="28">
        <f>IFERROR(VLOOKUP(TEXT(B907,"0"),STOCK!A:H,7,0),1)</f>
        <v>1</v>
      </c>
    </row>
    <row r="908" spans="10:10" ht="35.450000000000003" hidden="1" customHeight="1">
      <c r="J908" s="28">
        <f>IFERROR(VLOOKUP(TEXT(B908,"0"),STOCK!A:H,7,0),1)</f>
        <v>1</v>
      </c>
    </row>
    <row r="909" spans="10:10" ht="35.450000000000003" hidden="1" customHeight="1">
      <c r="J909" s="28">
        <f>IFERROR(VLOOKUP(TEXT(B909,"0"),STOCK!A:H,7,0),1)</f>
        <v>1</v>
      </c>
    </row>
    <row r="910" spans="10:10" ht="35.450000000000003" hidden="1" customHeight="1">
      <c r="J910" s="28">
        <f>IFERROR(VLOOKUP(TEXT(B910,"0"),STOCK!A:H,7,0),1)</f>
        <v>1</v>
      </c>
    </row>
    <row r="911" spans="10:10" ht="35.450000000000003" hidden="1" customHeight="1">
      <c r="J911" s="28">
        <f>IFERROR(VLOOKUP(TEXT(B911,"0"),STOCK!A:H,7,0),1)</f>
        <v>1</v>
      </c>
    </row>
    <row r="912" spans="10:10" ht="35.450000000000003" hidden="1" customHeight="1">
      <c r="J912" s="28">
        <f>IFERROR(VLOOKUP(TEXT(B912,"0"),STOCK!A:H,7,0),1)</f>
        <v>1</v>
      </c>
    </row>
    <row r="913" spans="10:10" ht="35.450000000000003" hidden="1" customHeight="1">
      <c r="J913" s="28">
        <f>IFERROR(VLOOKUP(TEXT(B913,"0"),STOCK!A:H,7,0),1)</f>
        <v>1</v>
      </c>
    </row>
    <row r="914" spans="10:10" ht="35.450000000000003" hidden="1" customHeight="1">
      <c r="J914" s="28">
        <f>IFERROR(VLOOKUP(TEXT(B914,"0"),STOCK!A:H,7,0),1)</f>
        <v>1</v>
      </c>
    </row>
    <row r="915" spans="10:10" ht="35.450000000000003" hidden="1" customHeight="1">
      <c r="J915" s="28">
        <f>IFERROR(VLOOKUP(TEXT(B915,"0"),STOCK!A:H,7,0),1)</f>
        <v>1</v>
      </c>
    </row>
    <row r="916" spans="10:10" ht="35.450000000000003" hidden="1" customHeight="1">
      <c r="J916" s="28">
        <f>IFERROR(VLOOKUP(TEXT(B916,"0"),STOCK!A:H,7,0),1)</f>
        <v>1</v>
      </c>
    </row>
    <row r="917" spans="10:10" ht="35.450000000000003" hidden="1" customHeight="1">
      <c r="J917" s="28">
        <f>IFERROR(VLOOKUP(TEXT(B917,"0"),STOCK!A:H,7,0),1)</f>
        <v>1</v>
      </c>
    </row>
    <row r="918" spans="10:10" ht="35.450000000000003" hidden="1" customHeight="1">
      <c r="J918" s="28">
        <f>IFERROR(VLOOKUP(TEXT(B918,"0"),STOCK!A:H,7,0),1)</f>
        <v>1</v>
      </c>
    </row>
    <row r="919" spans="10:10" ht="35.450000000000003" hidden="1" customHeight="1">
      <c r="J919" s="28">
        <f>IFERROR(VLOOKUP(TEXT(B919,"0"),STOCK!A:H,7,0),1)</f>
        <v>1</v>
      </c>
    </row>
    <row r="920" spans="10:10" ht="35.450000000000003" hidden="1" customHeight="1">
      <c r="J920" s="28">
        <f>IFERROR(VLOOKUP(TEXT(B920,"0"),STOCK!A:H,7,0),1)</f>
        <v>1</v>
      </c>
    </row>
    <row r="921" spans="10:10" ht="35.450000000000003" hidden="1" customHeight="1">
      <c r="J921" s="28">
        <f>IFERROR(VLOOKUP(TEXT(B921,"0"),STOCK!A:H,7,0),1)</f>
        <v>1</v>
      </c>
    </row>
    <row r="922" spans="10:10" ht="35.450000000000003" hidden="1" customHeight="1">
      <c r="J922" s="28">
        <f>IFERROR(VLOOKUP(TEXT(B922,"0"),STOCK!A:H,7,0),1)</f>
        <v>1</v>
      </c>
    </row>
    <row r="923" spans="10:10" ht="35.450000000000003" hidden="1" customHeight="1">
      <c r="J923" s="28">
        <f>IFERROR(VLOOKUP(TEXT(B923,"0"),STOCK!A:H,7,0),1)</f>
        <v>1</v>
      </c>
    </row>
    <row r="924" spans="10:10" ht="35.450000000000003" hidden="1" customHeight="1">
      <c r="J924" s="28">
        <f>IFERROR(VLOOKUP(TEXT(B924,"0"),STOCK!A:H,7,0),1)</f>
        <v>1</v>
      </c>
    </row>
    <row r="925" spans="10:10" ht="35.450000000000003" hidden="1" customHeight="1">
      <c r="J925" s="28">
        <f>IFERROR(VLOOKUP(TEXT(B925,"0"),STOCK!A:H,7,0),1)</f>
        <v>1</v>
      </c>
    </row>
    <row r="926" spans="10:10" ht="35.450000000000003" hidden="1" customHeight="1">
      <c r="J926" s="28">
        <f>IFERROR(VLOOKUP(TEXT(B926,"0"),STOCK!A:H,7,0),1)</f>
        <v>1</v>
      </c>
    </row>
    <row r="927" spans="10:10" ht="35.450000000000003" hidden="1" customHeight="1">
      <c r="J927" s="28">
        <f>IFERROR(VLOOKUP(TEXT(B927,"0"),STOCK!A:H,7,0),1)</f>
        <v>1</v>
      </c>
    </row>
    <row r="928" spans="10:10" ht="35.450000000000003" hidden="1" customHeight="1">
      <c r="J928" s="28">
        <f>IFERROR(VLOOKUP(TEXT(B928,"0"),STOCK!A:H,7,0),1)</f>
        <v>1</v>
      </c>
    </row>
    <row r="929" spans="10:10" ht="35.450000000000003" hidden="1" customHeight="1">
      <c r="J929" s="28">
        <f>IFERROR(VLOOKUP(TEXT(B929,"0"),STOCK!A:H,7,0),1)</f>
        <v>1</v>
      </c>
    </row>
    <row r="930" spans="10:10" ht="35.450000000000003" hidden="1" customHeight="1">
      <c r="J930" s="28">
        <f>IFERROR(VLOOKUP(TEXT(B930,"0"),STOCK!A:H,7,0),1)</f>
        <v>1</v>
      </c>
    </row>
    <row r="931" spans="10:10" ht="35.450000000000003" hidden="1" customHeight="1">
      <c r="J931" s="28">
        <f>IFERROR(VLOOKUP(TEXT(B931,"0"),STOCK!A:H,7,0),1)</f>
        <v>1</v>
      </c>
    </row>
    <row r="932" spans="10:10" ht="35.450000000000003" hidden="1" customHeight="1">
      <c r="J932" s="28">
        <f>IFERROR(VLOOKUP(TEXT(B932,"0"),STOCK!A:H,7,0),1)</f>
        <v>1</v>
      </c>
    </row>
    <row r="933" spans="10:10" ht="35.450000000000003" hidden="1" customHeight="1">
      <c r="J933" s="28">
        <f>IFERROR(VLOOKUP(TEXT(B933,"0"),STOCK!A:H,7,0),1)</f>
        <v>1</v>
      </c>
    </row>
    <row r="934" spans="10:10" ht="35.450000000000003" hidden="1" customHeight="1">
      <c r="J934" s="28">
        <f>IFERROR(VLOOKUP(TEXT(B934,"0"),STOCK!A:H,7,0),1)</f>
        <v>1</v>
      </c>
    </row>
    <row r="935" spans="10:10" ht="35.450000000000003" hidden="1" customHeight="1">
      <c r="J935" s="28">
        <f>IFERROR(VLOOKUP(TEXT(B935,"0"),STOCK!A:H,7,0),1)</f>
        <v>1</v>
      </c>
    </row>
    <row r="936" spans="10:10" ht="35.450000000000003" hidden="1" customHeight="1">
      <c r="J936" s="28">
        <f>IFERROR(VLOOKUP(TEXT(B936,"0"),STOCK!A:H,7,0),1)</f>
        <v>1</v>
      </c>
    </row>
    <row r="937" spans="10:10" ht="35.450000000000003" hidden="1" customHeight="1">
      <c r="J937" s="28">
        <f>IFERROR(VLOOKUP(TEXT(B937,"0"),STOCK!A:H,7,0),1)</f>
        <v>1</v>
      </c>
    </row>
    <row r="938" spans="10:10" ht="35.450000000000003" hidden="1" customHeight="1">
      <c r="J938" s="28">
        <f>IFERROR(VLOOKUP(TEXT(B938,"0"),STOCK!A:H,7,0),1)</f>
        <v>1</v>
      </c>
    </row>
    <row r="939" spans="10:10" ht="35.450000000000003" hidden="1" customHeight="1">
      <c r="J939" s="28">
        <f>IFERROR(VLOOKUP(TEXT(B939,"0"),STOCK!A:H,7,0),1)</f>
        <v>1</v>
      </c>
    </row>
    <row r="940" spans="10:10" ht="35.450000000000003" hidden="1" customHeight="1">
      <c r="J940" s="28">
        <f>IFERROR(VLOOKUP(TEXT(B940,"0"),STOCK!A:H,7,0),1)</f>
        <v>1</v>
      </c>
    </row>
    <row r="941" spans="10:10" ht="35.450000000000003" hidden="1" customHeight="1">
      <c r="J941" s="28">
        <f>IFERROR(VLOOKUP(TEXT(B941,"0"),STOCK!A:H,7,0),1)</f>
        <v>1</v>
      </c>
    </row>
    <row r="942" spans="10:10" ht="35.450000000000003" hidden="1" customHeight="1">
      <c r="J942" s="28">
        <f>IFERROR(VLOOKUP(TEXT(B942,"0"),STOCK!A:H,7,0),1)</f>
        <v>1</v>
      </c>
    </row>
    <row r="943" spans="10:10" ht="35.450000000000003" hidden="1" customHeight="1">
      <c r="J943" s="28">
        <f>IFERROR(VLOOKUP(TEXT(B943,"0"),STOCK!A:H,7,0),1)</f>
        <v>1</v>
      </c>
    </row>
    <row r="944" spans="10:10" ht="35.450000000000003" hidden="1" customHeight="1">
      <c r="J944" s="28">
        <f>IFERROR(VLOOKUP(TEXT(B944,"0"),STOCK!A:H,7,0),1)</f>
        <v>1</v>
      </c>
    </row>
    <row r="945" spans="10:10" ht="35.450000000000003" hidden="1" customHeight="1">
      <c r="J945" s="28">
        <f>IFERROR(VLOOKUP(TEXT(B945,"0"),STOCK!A:H,7,0),1)</f>
        <v>1</v>
      </c>
    </row>
    <row r="946" spans="10:10" ht="35.450000000000003" hidden="1" customHeight="1">
      <c r="J946" s="28">
        <f>IFERROR(VLOOKUP(TEXT(B946,"0"),STOCK!A:H,7,0),1)</f>
        <v>1</v>
      </c>
    </row>
    <row r="947" spans="10:10" ht="35.450000000000003" hidden="1" customHeight="1">
      <c r="J947" s="28">
        <f>IFERROR(VLOOKUP(TEXT(B947,"0"),STOCK!A:H,7,0),1)</f>
        <v>1</v>
      </c>
    </row>
    <row r="948" spans="10:10" ht="35.450000000000003" hidden="1" customHeight="1">
      <c r="J948" s="28">
        <f>IFERROR(VLOOKUP(TEXT(B948,"0"),STOCK!A:H,7,0),1)</f>
        <v>1</v>
      </c>
    </row>
    <row r="949" spans="10:10" ht="35.450000000000003" hidden="1" customHeight="1">
      <c r="J949" s="28">
        <f>IFERROR(VLOOKUP(TEXT(B949,"0"),STOCK!A:H,7,0),1)</f>
        <v>1</v>
      </c>
    </row>
    <row r="950" spans="10:10" ht="35.450000000000003" hidden="1" customHeight="1">
      <c r="J950" s="28">
        <f>IFERROR(VLOOKUP(TEXT(B950,"0"),STOCK!A:H,7,0),1)</f>
        <v>1</v>
      </c>
    </row>
    <row r="951" spans="10:10" ht="35.450000000000003" hidden="1" customHeight="1">
      <c r="J951" s="28">
        <f>IFERROR(VLOOKUP(TEXT(B951,"0"),STOCK!A:H,7,0),1)</f>
        <v>1</v>
      </c>
    </row>
    <row r="952" spans="10:10" ht="35.450000000000003" hidden="1" customHeight="1">
      <c r="J952" s="28">
        <f>IFERROR(VLOOKUP(TEXT(B952,"0"),STOCK!A:H,7,0),1)</f>
        <v>1</v>
      </c>
    </row>
    <row r="953" spans="10:10" ht="35.450000000000003" hidden="1" customHeight="1">
      <c r="J953" s="28">
        <f>IFERROR(VLOOKUP(TEXT(B953,"0"),STOCK!A:H,7,0),1)</f>
        <v>1</v>
      </c>
    </row>
    <row r="954" spans="10:10" ht="35.450000000000003" hidden="1" customHeight="1">
      <c r="J954" s="28">
        <f>IFERROR(VLOOKUP(TEXT(B954,"0"),STOCK!A:H,7,0),1)</f>
        <v>1</v>
      </c>
    </row>
    <row r="955" spans="10:10" ht="35.450000000000003" hidden="1" customHeight="1">
      <c r="J955" s="28">
        <f>IFERROR(VLOOKUP(TEXT(B955,"0"),STOCK!A:H,7,0),1)</f>
        <v>1</v>
      </c>
    </row>
    <row r="956" spans="10:10" ht="35.450000000000003" hidden="1" customHeight="1">
      <c r="J956" s="28">
        <f>IFERROR(VLOOKUP(TEXT(B956,"0"),STOCK!A:H,7,0),1)</f>
        <v>1</v>
      </c>
    </row>
    <row r="957" spans="10:10" ht="35.450000000000003" hidden="1" customHeight="1">
      <c r="J957" s="28">
        <f>IFERROR(VLOOKUP(TEXT(B957,"0"),STOCK!A:H,7,0),1)</f>
        <v>1</v>
      </c>
    </row>
    <row r="958" spans="10:10" ht="35.450000000000003" hidden="1" customHeight="1">
      <c r="J958" s="28">
        <f>IFERROR(VLOOKUP(TEXT(B958,"0"),STOCK!A:H,7,0),1)</f>
        <v>1</v>
      </c>
    </row>
    <row r="959" spans="10:10" ht="35.450000000000003" hidden="1" customHeight="1">
      <c r="J959" s="28">
        <f>IFERROR(VLOOKUP(TEXT(B959,"0"),STOCK!A:H,7,0),1)</f>
        <v>1</v>
      </c>
    </row>
    <row r="960" spans="10:10" ht="35.450000000000003" hidden="1" customHeight="1">
      <c r="J960" s="28">
        <f>IFERROR(VLOOKUP(TEXT(B960,"0"),STOCK!A:H,7,0),1)</f>
        <v>1</v>
      </c>
    </row>
    <row r="961" spans="10:10" ht="35.450000000000003" hidden="1" customHeight="1">
      <c r="J961" s="28">
        <f>IFERROR(VLOOKUP(TEXT(B961,"0"),STOCK!A:H,7,0),1)</f>
        <v>1</v>
      </c>
    </row>
    <row r="962" spans="10:10" ht="35.450000000000003" hidden="1" customHeight="1">
      <c r="J962" s="28">
        <f>IFERROR(VLOOKUP(TEXT(B962,"0"),STOCK!A:H,7,0),1)</f>
        <v>1</v>
      </c>
    </row>
    <row r="963" spans="10:10" ht="35.450000000000003" hidden="1" customHeight="1">
      <c r="J963" s="28">
        <f>IFERROR(VLOOKUP(TEXT(B963,"0"),STOCK!A:H,7,0),1)</f>
        <v>1</v>
      </c>
    </row>
    <row r="964" spans="10:10" ht="35.450000000000003" hidden="1" customHeight="1">
      <c r="J964" s="28">
        <f>IFERROR(VLOOKUP(TEXT(B964,"0"),STOCK!A:H,7,0),1)</f>
        <v>1</v>
      </c>
    </row>
    <row r="965" spans="10:10" ht="35.450000000000003" hidden="1" customHeight="1">
      <c r="J965" s="28">
        <f>IFERROR(VLOOKUP(TEXT(B965,"0"),STOCK!A:H,7,0),1)</f>
        <v>1</v>
      </c>
    </row>
    <row r="966" spans="10:10" ht="35.450000000000003" hidden="1" customHeight="1">
      <c r="J966" s="28">
        <f>IFERROR(VLOOKUP(TEXT(B966,"0"),STOCK!A:H,7,0),1)</f>
        <v>1</v>
      </c>
    </row>
    <row r="967" spans="10:10" ht="35.450000000000003" hidden="1" customHeight="1">
      <c r="J967" s="28">
        <f>IFERROR(VLOOKUP(TEXT(B967,"0"),STOCK!A:H,7,0),1)</f>
        <v>1</v>
      </c>
    </row>
    <row r="968" spans="10:10" ht="35.450000000000003" hidden="1" customHeight="1">
      <c r="J968" s="28">
        <f>IFERROR(VLOOKUP(TEXT(B968,"0"),STOCK!A:H,7,0),1)</f>
        <v>1</v>
      </c>
    </row>
    <row r="969" spans="10:10" ht="35.450000000000003" hidden="1" customHeight="1">
      <c r="J969" s="28">
        <f>IFERROR(VLOOKUP(TEXT(B969,"0"),STOCK!A:H,7,0),1)</f>
        <v>1</v>
      </c>
    </row>
    <row r="970" spans="10:10" ht="35.450000000000003" hidden="1" customHeight="1">
      <c r="J970" s="28">
        <f>IFERROR(VLOOKUP(TEXT(B970,"0"),STOCK!A:H,7,0),1)</f>
        <v>1</v>
      </c>
    </row>
    <row r="971" spans="10:10" ht="35.450000000000003" hidden="1" customHeight="1">
      <c r="J971" s="28">
        <f>IFERROR(VLOOKUP(TEXT(B971,"0"),STOCK!A:H,7,0),1)</f>
        <v>1</v>
      </c>
    </row>
    <row r="972" spans="10:10" ht="35.450000000000003" hidden="1" customHeight="1">
      <c r="J972" s="28">
        <f>IFERROR(VLOOKUP(TEXT(B972,"0"),STOCK!A:H,7,0),1)</f>
        <v>1</v>
      </c>
    </row>
    <row r="973" spans="10:10" ht="35.450000000000003" hidden="1" customHeight="1">
      <c r="J973" s="28">
        <f>IFERROR(VLOOKUP(TEXT(B973,"0"),STOCK!A:H,7,0),1)</f>
        <v>1</v>
      </c>
    </row>
    <row r="974" spans="10:10" ht="35.450000000000003" hidden="1" customHeight="1">
      <c r="J974" s="28">
        <f>IFERROR(VLOOKUP(TEXT(B974,"0"),STOCK!A:H,7,0),1)</f>
        <v>1</v>
      </c>
    </row>
    <row r="975" spans="10:10" ht="35.450000000000003" hidden="1" customHeight="1">
      <c r="J975" s="28">
        <f>IFERROR(VLOOKUP(TEXT(B975,"0"),STOCK!A:H,7,0),1)</f>
        <v>1</v>
      </c>
    </row>
    <row r="976" spans="10:10" ht="35.450000000000003" hidden="1" customHeight="1">
      <c r="J976" s="28">
        <f>IFERROR(VLOOKUP(TEXT(B976,"0"),STOCK!A:H,7,0),1)</f>
        <v>1</v>
      </c>
    </row>
    <row r="977" spans="10:10" ht="35.450000000000003" hidden="1" customHeight="1">
      <c r="J977" s="28">
        <f>IFERROR(VLOOKUP(TEXT(B977,"0"),STOCK!A:H,7,0),1)</f>
        <v>1</v>
      </c>
    </row>
    <row r="978" spans="10:10" ht="35.450000000000003" hidden="1" customHeight="1">
      <c r="J978" s="28">
        <f>IFERROR(VLOOKUP(TEXT(B978,"0"),STOCK!A:H,7,0),1)</f>
        <v>1</v>
      </c>
    </row>
    <row r="979" spans="10:10" ht="35.450000000000003" hidden="1" customHeight="1">
      <c r="J979" s="28">
        <f>IFERROR(VLOOKUP(TEXT(B979,"0"),STOCK!A:H,7,0),1)</f>
        <v>1</v>
      </c>
    </row>
    <row r="980" spans="10:10" ht="35.450000000000003" hidden="1" customHeight="1">
      <c r="J980" s="28">
        <f>IFERROR(VLOOKUP(TEXT(B980,"0"),STOCK!A:H,7,0),1)</f>
        <v>1</v>
      </c>
    </row>
    <row r="981" spans="10:10" ht="35.450000000000003" hidden="1" customHeight="1">
      <c r="J981" s="28">
        <f>IFERROR(VLOOKUP(TEXT(B981,"0"),STOCK!A:H,7,0),1)</f>
        <v>1</v>
      </c>
    </row>
    <row r="982" spans="10:10" ht="35.450000000000003" hidden="1" customHeight="1">
      <c r="J982" s="28">
        <f>IFERROR(VLOOKUP(TEXT(B982,"0"),STOCK!A:H,7,0),1)</f>
        <v>1</v>
      </c>
    </row>
    <row r="983" spans="10:10" ht="35.450000000000003" hidden="1" customHeight="1">
      <c r="J983" s="28">
        <f>IFERROR(VLOOKUP(TEXT(B983,"0"),STOCK!A:H,7,0),1)</f>
        <v>1</v>
      </c>
    </row>
    <row r="984" spans="10:10" ht="35.450000000000003" hidden="1" customHeight="1">
      <c r="J984" s="28">
        <f>IFERROR(VLOOKUP(TEXT(B984,"0"),STOCK!A:H,7,0),1)</f>
        <v>1</v>
      </c>
    </row>
    <row r="985" spans="10:10" ht="35.450000000000003" hidden="1" customHeight="1">
      <c r="J985" s="28">
        <f>IFERROR(VLOOKUP(TEXT(B985,"0"),STOCK!A:H,7,0),1)</f>
        <v>1</v>
      </c>
    </row>
    <row r="986" spans="10:10" ht="35.450000000000003" hidden="1" customHeight="1">
      <c r="J986" s="28">
        <f>IFERROR(VLOOKUP(TEXT(B986,"0"),STOCK!A:H,7,0),1)</f>
        <v>1</v>
      </c>
    </row>
    <row r="987" spans="10:10" ht="35.450000000000003" hidden="1" customHeight="1">
      <c r="J987" s="28">
        <f>IFERROR(VLOOKUP(TEXT(B987,"0"),STOCK!A:H,7,0),1)</f>
        <v>1</v>
      </c>
    </row>
    <row r="988" spans="10:10" ht="35.450000000000003" hidden="1" customHeight="1">
      <c r="J988" s="28">
        <f>IFERROR(VLOOKUP(TEXT(B988,"0"),STOCK!A:H,7,0),1)</f>
        <v>1</v>
      </c>
    </row>
    <row r="989" spans="10:10" ht="35.450000000000003" hidden="1" customHeight="1">
      <c r="J989" s="28">
        <f>IFERROR(VLOOKUP(TEXT(B989,"0"),STOCK!A:H,7,0),1)</f>
        <v>1</v>
      </c>
    </row>
    <row r="990" spans="10:10" ht="35.450000000000003" hidden="1" customHeight="1">
      <c r="J990" s="28">
        <f>IFERROR(VLOOKUP(TEXT(B990,"0"),STOCK!A:H,7,0),1)</f>
        <v>1</v>
      </c>
    </row>
    <row r="991" spans="10:10" ht="35.450000000000003" hidden="1" customHeight="1">
      <c r="J991" s="28">
        <f>IFERROR(VLOOKUP(TEXT(B991,"0"),STOCK!A:H,7,0),1)</f>
        <v>1</v>
      </c>
    </row>
    <row r="992" spans="10:10" ht="35.450000000000003" hidden="1" customHeight="1">
      <c r="J992" s="28">
        <f>IFERROR(VLOOKUP(TEXT(B992,"0"),STOCK!A:H,7,0),1)</f>
        <v>1</v>
      </c>
    </row>
    <row r="993" spans="10:10" ht="35.450000000000003" hidden="1" customHeight="1">
      <c r="J993" s="28">
        <f>IFERROR(VLOOKUP(TEXT(B993,"0"),STOCK!A:H,7,0),1)</f>
        <v>1</v>
      </c>
    </row>
    <row r="994" spans="10:10" ht="35.450000000000003" hidden="1" customHeight="1">
      <c r="J994" s="28">
        <f>IFERROR(VLOOKUP(TEXT(B994,"0"),STOCK!A:H,7,0),1)</f>
        <v>1</v>
      </c>
    </row>
    <row r="995" spans="10:10" ht="35.450000000000003" hidden="1" customHeight="1">
      <c r="J995" s="28">
        <f>IFERROR(VLOOKUP(TEXT(B995,"0"),STOCK!A:H,7,0),1)</f>
        <v>1</v>
      </c>
    </row>
    <row r="996" spans="10:10" ht="35.450000000000003" hidden="1" customHeight="1">
      <c r="J996" s="28">
        <f>IFERROR(VLOOKUP(TEXT(B996,"0"),STOCK!A:H,7,0),1)</f>
        <v>1</v>
      </c>
    </row>
    <row r="997" spans="10:10" ht="35.450000000000003" hidden="1" customHeight="1">
      <c r="J997" s="28">
        <f>IFERROR(VLOOKUP(TEXT(B997,"0"),STOCK!A:H,7,0),1)</f>
        <v>1</v>
      </c>
    </row>
    <row r="998" spans="10:10" ht="35.450000000000003" hidden="1" customHeight="1">
      <c r="J998" s="28">
        <f>IFERROR(VLOOKUP(TEXT(B998,"0"),STOCK!A:H,7,0),1)</f>
        <v>1</v>
      </c>
    </row>
    <row r="999" spans="10:10" ht="35.450000000000003" hidden="1" customHeight="1">
      <c r="J999" s="28">
        <f>IFERROR(VLOOKUP(TEXT(B999,"0"),STOCK!A:H,7,0),1)</f>
        <v>1</v>
      </c>
    </row>
    <row r="1000" spans="10:10" ht="35.450000000000003" hidden="1" customHeight="1">
      <c r="J1000" s="28">
        <f>IFERROR(VLOOKUP(TEXT(B1000,"0"),STOCK!A:H,7,0),1)</f>
        <v>1</v>
      </c>
    </row>
    <row r="1001" spans="10:10" ht="35.450000000000003" hidden="1" customHeight="1">
      <c r="J1001" s="28">
        <f>IFERROR(VLOOKUP(TEXT(B1001,"0"),STOCK!A:H,7,0),1)</f>
        <v>1</v>
      </c>
    </row>
    <row r="1002" spans="10:10" ht="35.450000000000003" hidden="1" customHeight="1">
      <c r="J1002" s="28">
        <f>IFERROR(VLOOKUP(TEXT(B1002,"0"),STOCK!A:H,7,0),1)</f>
        <v>1</v>
      </c>
    </row>
    <row r="1003" spans="10:10" ht="35.450000000000003" hidden="1" customHeight="1">
      <c r="J1003" s="28">
        <f>IFERROR(VLOOKUP(TEXT(B1003,"0"),STOCK!A:H,7,0),1)</f>
        <v>1</v>
      </c>
    </row>
    <row r="1004" spans="10:10" ht="35.450000000000003" hidden="1" customHeight="1">
      <c r="J1004" s="28">
        <f>IFERROR(VLOOKUP(TEXT(B1004,"0"),STOCK!A:H,7,0),1)</f>
        <v>1</v>
      </c>
    </row>
    <row r="1005" spans="10:10" ht="35.450000000000003" hidden="1" customHeight="1">
      <c r="J1005" s="28">
        <f>IFERROR(VLOOKUP(TEXT(B1005,"0"),STOCK!A:H,7,0),1)</f>
        <v>1</v>
      </c>
    </row>
    <row r="1006" spans="10:10" ht="35.450000000000003" hidden="1" customHeight="1">
      <c r="J1006" s="28">
        <f>IFERROR(VLOOKUP(TEXT(B1006,"0"),STOCK!A:H,7,0),1)</f>
        <v>1</v>
      </c>
    </row>
    <row r="1007" spans="10:10" ht="35.450000000000003" hidden="1" customHeight="1">
      <c r="J1007" s="28">
        <f>IFERROR(VLOOKUP(TEXT(B1007,"0"),STOCK!A:H,7,0),1)</f>
        <v>1</v>
      </c>
    </row>
    <row r="1008" spans="10:10" ht="35.450000000000003" hidden="1" customHeight="1">
      <c r="J1008" s="28">
        <f>IFERROR(VLOOKUP(TEXT(B1008,"0"),STOCK!A:H,7,0),1)</f>
        <v>1</v>
      </c>
    </row>
    <row r="1009" spans="10:10" ht="35.450000000000003" hidden="1" customHeight="1">
      <c r="J1009" s="28">
        <f>IFERROR(VLOOKUP(TEXT(B1009,"0"),STOCK!A:H,7,0),1)</f>
        <v>1</v>
      </c>
    </row>
    <row r="1010" spans="10:10" ht="35.450000000000003" hidden="1" customHeight="1">
      <c r="J1010" s="28">
        <f>IFERROR(VLOOKUP(TEXT(B1010,"0"),STOCK!A:H,7,0),1)</f>
        <v>1</v>
      </c>
    </row>
    <row r="1011" spans="10:10" ht="35.450000000000003" hidden="1" customHeight="1">
      <c r="J1011" s="28">
        <f>IFERROR(VLOOKUP(TEXT(B1011,"0"),STOCK!A:H,7,0),1)</f>
        <v>1</v>
      </c>
    </row>
    <row r="1012" spans="10:10" ht="35.450000000000003" hidden="1" customHeight="1">
      <c r="J1012" s="28">
        <f>IFERROR(VLOOKUP(TEXT(B1012,"0"),STOCK!A:H,7,0),1)</f>
        <v>1</v>
      </c>
    </row>
    <row r="1013" spans="10:10" ht="35.450000000000003" hidden="1" customHeight="1">
      <c r="J1013" s="28">
        <f>IFERROR(VLOOKUP(TEXT(B1013,"0"),STOCK!A:H,7,0),1)</f>
        <v>1</v>
      </c>
    </row>
    <row r="1014" spans="10:10" ht="35.450000000000003" hidden="1" customHeight="1">
      <c r="J1014" s="28">
        <f>IFERROR(VLOOKUP(TEXT(B1014,"0"),STOCK!A:H,7,0),1)</f>
        <v>1</v>
      </c>
    </row>
    <row r="1015" spans="10:10" ht="35.450000000000003" hidden="1" customHeight="1">
      <c r="J1015" s="28">
        <f>IFERROR(VLOOKUP(TEXT(B1015,"0"),STOCK!A:H,7,0),1)</f>
        <v>1</v>
      </c>
    </row>
    <row r="1016" spans="10:10" ht="35.450000000000003" hidden="1" customHeight="1">
      <c r="J1016" s="28">
        <f>IFERROR(VLOOKUP(TEXT(B1016,"0"),STOCK!A:H,7,0),1)</f>
        <v>1</v>
      </c>
    </row>
    <row r="1017" spans="10:10" ht="35.450000000000003" hidden="1" customHeight="1">
      <c r="J1017" s="28">
        <f>IFERROR(VLOOKUP(TEXT(B1017,"0"),STOCK!A:H,7,0),1)</f>
        <v>1</v>
      </c>
    </row>
    <row r="1018" spans="10:10" ht="35.450000000000003" hidden="1" customHeight="1">
      <c r="J1018" s="28">
        <f>IFERROR(VLOOKUP(TEXT(B1018,"0"),STOCK!A:H,7,0),1)</f>
        <v>1</v>
      </c>
    </row>
    <row r="1019" spans="10:10" ht="35.450000000000003" hidden="1" customHeight="1">
      <c r="J1019" s="28">
        <f>IFERROR(VLOOKUP(TEXT(B1019,"0"),STOCK!A:H,7,0),1)</f>
        <v>1</v>
      </c>
    </row>
    <row r="1020" spans="10:10" ht="35.450000000000003" hidden="1" customHeight="1">
      <c r="J1020" s="28">
        <f>IFERROR(VLOOKUP(TEXT(B1020,"0"),STOCK!A:H,7,0),1)</f>
        <v>1</v>
      </c>
    </row>
    <row r="1021" spans="10:10" ht="35.450000000000003" hidden="1" customHeight="1">
      <c r="J1021" s="28">
        <f>IFERROR(VLOOKUP(TEXT(B1021,"0"),STOCK!A:H,7,0),1)</f>
        <v>1</v>
      </c>
    </row>
    <row r="1022" spans="10:10" ht="35.450000000000003" hidden="1" customHeight="1">
      <c r="J1022" s="28">
        <f>IFERROR(VLOOKUP(TEXT(B1022,"0"),STOCK!A:H,7,0),1)</f>
        <v>1</v>
      </c>
    </row>
    <row r="1023" spans="10:10" ht="35.450000000000003" hidden="1" customHeight="1">
      <c r="J1023" s="28">
        <f>IFERROR(VLOOKUP(TEXT(B1023,"0"),STOCK!A:H,7,0),1)</f>
        <v>1</v>
      </c>
    </row>
    <row r="1024" spans="10:10" ht="35.450000000000003" hidden="1" customHeight="1">
      <c r="J1024" s="28">
        <f>IFERROR(VLOOKUP(TEXT(B1024,"0"),STOCK!A:H,7,0),1)</f>
        <v>1</v>
      </c>
    </row>
    <row r="1025" spans="10:10" ht="35.450000000000003" hidden="1" customHeight="1">
      <c r="J1025" s="28">
        <f>IFERROR(VLOOKUP(TEXT(B1025,"0"),STOCK!A:H,7,0),1)</f>
        <v>1</v>
      </c>
    </row>
    <row r="1026" spans="10:10" ht="35.450000000000003" hidden="1" customHeight="1">
      <c r="J1026" s="28">
        <f>IFERROR(VLOOKUP(TEXT(B1026,"0"),STOCK!A:H,7,0),1)</f>
        <v>1</v>
      </c>
    </row>
    <row r="1027" spans="10:10" ht="35.450000000000003" hidden="1" customHeight="1">
      <c r="J1027" s="28">
        <f>IFERROR(VLOOKUP(TEXT(B1027,"0"),STOCK!A:H,7,0),1)</f>
        <v>1</v>
      </c>
    </row>
    <row r="1028" spans="10:10" ht="35.450000000000003" hidden="1" customHeight="1">
      <c r="J1028" s="28">
        <f>IFERROR(VLOOKUP(TEXT(B1028,"0"),STOCK!A:H,7,0),1)</f>
        <v>1</v>
      </c>
    </row>
    <row r="1029" spans="10:10" ht="35.450000000000003" hidden="1" customHeight="1">
      <c r="J1029" s="28">
        <f>IFERROR(VLOOKUP(TEXT(B1029,"0"),STOCK!A:H,7,0),1)</f>
        <v>1</v>
      </c>
    </row>
    <row r="1030" spans="10:10" ht="35.450000000000003" hidden="1" customHeight="1">
      <c r="J1030" s="28">
        <f>IFERROR(VLOOKUP(TEXT(B1030,"0"),STOCK!A:H,7,0),1)</f>
        <v>1</v>
      </c>
    </row>
    <row r="1031" spans="10:10" ht="35.450000000000003" hidden="1" customHeight="1">
      <c r="J1031" s="28">
        <f>IFERROR(VLOOKUP(TEXT(B1031,"0"),STOCK!A:H,7,0),1)</f>
        <v>1</v>
      </c>
    </row>
    <row r="1032" spans="10:10" ht="35.450000000000003" hidden="1" customHeight="1">
      <c r="J1032" s="28">
        <f>IFERROR(VLOOKUP(TEXT(B1032,"0"),STOCK!A:H,7,0),1)</f>
        <v>1</v>
      </c>
    </row>
    <row r="1033" spans="10:10" ht="35.450000000000003" hidden="1" customHeight="1">
      <c r="J1033" s="28">
        <f>IFERROR(VLOOKUP(TEXT(B1033,"0"),STOCK!A:H,7,0),1)</f>
        <v>1</v>
      </c>
    </row>
    <row r="1034" spans="10:10" ht="35.450000000000003" hidden="1" customHeight="1">
      <c r="J1034" s="28">
        <f>IFERROR(VLOOKUP(TEXT(B1034,"0"),STOCK!A:H,7,0),1)</f>
        <v>1</v>
      </c>
    </row>
    <row r="1035" spans="10:10" ht="35.450000000000003" hidden="1" customHeight="1">
      <c r="J1035" s="28">
        <f>IFERROR(VLOOKUP(TEXT(B1035,"0"),STOCK!A:H,7,0),1)</f>
        <v>1</v>
      </c>
    </row>
    <row r="1036" spans="10:10" ht="35.450000000000003" hidden="1" customHeight="1">
      <c r="J1036" s="28">
        <f>IFERROR(VLOOKUP(TEXT(B1036,"0"),STOCK!A:H,7,0),1)</f>
        <v>1</v>
      </c>
    </row>
    <row r="1037" spans="10:10" ht="35.450000000000003" hidden="1" customHeight="1">
      <c r="J1037" s="28">
        <f>IFERROR(VLOOKUP(TEXT(B1037,"0"),STOCK!A:H,7,0),1)</f>
        <v>1</v>
      </c>
    </row>
    <row r="1038" spans="10:10" ht="35.450000000000003" hidden="1" customHeight="1">
      <c r="J1038" s="28">
        <f>IFERROR(VLOOKUP(TEXT(B1038,"0"),STOCK!A:H,7,0),1)</f>
        <v>1</v>
      </c>
    </row>
    <row r="1039" spans="10:10" ht="35.450000000000003" hidden="1" customHeight="1">
      <c r="J1039" s="28">
        <f>IFERROR(VLOOKUP(TEXT(B1039,"0"),STOCK!A:H,7,0),1)</f>
        <v>1</v>
      </c>
    </row>
    <row r="1040" spans="10:10" ht="35.450000000000003" hidden="1" customHeight="1">
      <c r="J1040" s="28">
        <f>IFERROR(VLOOKUP(TEXT(B1040,"0"),STOCK!A:H,7,0),1)</f>
        <v>1</v>
      </c>
    </row>
    <row r="1041" spans="10:10" ht="35.450000000000003" hidden="1" customHeight="1">
      <c r="J1041" s="28">
        <f>IFERROR(VLOOKUP(TEXT(B1041,"0"),STOCK!A:H,7,0),1)</f>
        <v>1</v>
      </c>
    </row>
    <row r="1042" spans="10:10" ht="35.450000000000003" hidden="1" customHeight="1">
      <c r="J1042" s="28">
        <f>IFERROR(VLOOKUP(TEXT(B1042,"0"),STOCK!A:H,7,0),1)</f>
        <v>1</v>
      </c>
    </row>
    <row r="1043" spans="10:10" ht="35.450000000000003" hidden="1" customHeight="1">
      <c r="J1043" s="28">
        <f>IFERROR(VLOOKUP(TEXT(B1043,"0"),STOCK!A:H,7,0),1)</f>
        <v>1</v>
      </c>
    </row>
    <row r="1044" spans="10:10" ht="35.450000000000003" hidden="1" customHeight="1">
      <c r="J1044" s="28">
        <f>IFERROR(VLOOKUP(TEXT(B1044,"0"),STOCK!A:H,7,0),1)</f>
        <v>1</v>
      </c>
    </row>
    <row r="1045" spans="10:10" ht="35.450000000000003" hidden="1" customHeight="1">
      <c r="J1045" s="28">
        <f>IFERROR(VLOOKUP(TEXT(B1045,"0"),STOCK!A:H,7,0),1)</f>
        <v>1</v>
      </c>
    </row>
    <row r="1046" spans="10:10" ht="35.450000000000003" hidden="1" customHeight="1">
      <c r="J1046" s="28">
        <f>IFERROR(VLOOKUP(TEXT(B1046,"0"),STOCK!A:H,7,0),1)</f>
        <v>1</v>
      </c>
    </row>
    <row r="1047" spans="10:10" ht="35.450000000000003" hidden="1" customHeight="1">
      <c r="J1047" s="28">
        <f>IFERROR(VLOOKUP(TEXT(B1047,"0"),STOCK!A:H,7,0),1)</f>
        <v>1</v>
      </c>
    </row>
    <row r="1048" spans="10:10" ht="35.450000000000003" hidden="1" customHeight="1">
      <c r="J1048" s="28">
        <f>IFERROR(VLOOKUP(TEXT(B1048,"0"),STOCK!A:H,7,0),1)</f>
        <v>1</v>
      </c>
    </row>
    <row r="1049" spans="10:10" ht="35.450000000000003" hidden="1" customHeight="1">
      <c r="J1049" s="28">
        <f>IFERROR(VLOOKUP(TEXT(B1049,"0"),STOCK!A:H,7,0),1)</f>
        <v>1</v>
      </c>
    </row>
    <row r="1050" spans="10:10" ht="35.450000000000003" hidden="1" customHeight="1">
      <c r="J1050" s="28">
        <f>IFERROR(VLOOKUP(TEXT(B1050,"0"),STOCK!A:H,7,0),1)</f>
        <v>1</v>
      </c>
    </row>
    <row r="1051" spans="10:10" ht="35.450000000000003" hidden="1" customHeight="1">
      <c r="J1051" s="28">
        <f>IFERROR(VLOOKUP(TEXT(B1051,"0"),STOCK!A:H,7,0),1)</f>
        <v>1</v>
      </c>
    </row>
    <row r="1052" spans="10:10" ht="35.450000000000003" hidden="1" customHeight="1">
      <c r="J1052" s="28">
        <f>IFERROR(VLOOKUP(TEXT(B1052,"0"),STOCK!A:H,7,0),1)</f>
        <v>1</v>
      </c>
    </row>
    <row r="1053" spans="10:10" ht="35.450000000000003" hidden="1" customHeight="1">
      <c r="J1053" s="28">
        <f>IFERROR(VLOOKUP(TEXT(B1053,"0"),STOCK!A:H,7,0),1)</f>
        <v>1</v>
      </c>
    </row>
    <row r="1054" spans="10:10" ht="35.450000000000003" hidden="1" customHeight="1">
      <c r="J1054" s="28">
        <f>IFERROR(VLOOKUP(TEXT(B1054,"0"),STOCK!A:H,7,0),1)</f>
        <v>1</v>
      </c>
    </row>
    <row r="1055" spans="10:10" ht="35.450000000000003" hidden="1" customHeight="1">
      <c r="J1055" s="28">
        <f>IFERROR(VLOOKUP(TEXT(B1055,"0"),STOCK!A:H,7,0),1)</f>
        <v>1</v>
      </c>
    </row>
    <row r="1056" spans="10:10" ht="35.450000000000003" hidden="1" customHeight="1">
      <c r="J1056" s="28">
        <f>IFERROR(VLOOKUP(TEXT(B1056,"0"),STOCK!A:H,7,0),1)</f>
        <v>1</v>
      </c>
    </row>
    <row r="1057" spans="10:10" ht="35.450000000000003" hidden="1" customHeight="1">
      <c r="J1057" s="28">
        <f>IFERROR(VLOOKUP(TEXT(B1057,"0"),STOCK!A:H,7,0),1)</f>
        <v>1</v>
      </c>
    </row>
    <row r="1058" spans="10:10" ht="35.450000000000003" hidden="1" customHeight="1">
      <c r="J1058" s="28">
        <f>IFERROR(VLOOKUP(TEXT(B1058,"0"),STOCK!A:H,7,0),1)</f>
        <v>1</v>
      </c>
    </row>
    <row r="1059" spans="10:10" ht="35.450000000000003" hidden="1" customHeight="1">
      <c r="J1059" s="28">
        <f>IFERROR(VLOOKUP(TEXT(B1059,"0"),STOCK!A:H,7,0),1)</f>
        <v>1</v>
      </c>
    </row>
    <row r="1060" spans="10:10" ht="35.450000000000003" hidden="1" customHeight="1">
      <c r="J1060" s="28">
        <f>IFERROR(VLOOKUP(TEXT(B1060,"0"),STOCK!A:H,7,0),1)</f>
        <v>1</v>
      </c>
    </row>
    <row r="1061" spans="10:10" ht="35.450000000000003" hidden="1" customHeight="1">
      <c r="J1061" s="28">
        <f>IFERROR(VLOOKUP(TEXT(B1061,"0"),STOCK!A:H,7,0),1)</f>
        <v>1</v>
      </c>
    </row>
    <row r="1062" spans="10:10" ht="35.450000000000003" hidden="1" customHeight="1">
      <c r="J1062" s="28">
        <f>IFERROR(VLOOKUP(TEXT(B1062,"0"),STOCK!A:H,7,0),1)</f>
        <v>1</v>
      </c>
    </row>
    <row r="1063" spans="10:10" ht="35.450000000000003" hidden="1" customHeight="1">
      <c r="J1063" s="28">
        <f>IFERROR(VLOOKUP(TEXT(B1063,"0"),STOCK!A:H,7,0),1)</f>
        <v>1</v>
      </c>
    </row>
    <row r="1064" spans="10:10" ht="35.450000000000003" hidden="1" customHeight="1">
      <c r="J1064" s="28">
        <f>IFERROR(VLOOKUP(TEXT(B1064,"0"),STOCK!A:H,7,0),1)</f>
        <v>1</v>
      </c>
    </row>
    <row r="1065" spans="10:10" ht="35.450000000000003" hidden="1" customHeight="1">
      <c r="J1065" s="28">
        <f>IFERROR(VLOOKUP(TEXT(B1065,"0"),STOCK!A:H,7,0),1)</f>
        <v>1</v>
      </c>
    </row>
    <row r="1066" spans="10:10" ht="35.450000000000003" hidden="1" customHeight="1">
      <c r="J1066" s="28">
        <f>IFERROR(VLOOKUP(TEXT(B1066,"0"),STOCK!A:H,7,0),1)</f>
        <v>1</v>
      </c>
    </row>
    <row r="1067" spans="10:10" ht="35.450000000000003" hidden="1" customHeight="1">
      <c r="J1067" s="28">
        <f>IFERROR(VLOOKUP(TEXT(B1067,"0"),STOCK!A:H,7,0),1)</f>
        <v>1</v>
      </c>
    </row>
    <row r="1068" spans="10:10" ht="35.450000000000003" hidden="1" customHeight="1">
      <c r="J1068" s="28">
        <f>IFERROR(VLOOKUP(TEXT(B1068,"0"),STOCK!A:H,7,0),1)</f>
        <v>1</v>
      </c>
    </row>
    <row r="1069" spans="10:10" ht="35.450000000000003" hidden="1" customHeight="1">
      <c r="J1069" s="28">
        <f>IFERROR(VLOOKUP(TEXT(B1069,"0"),STOCK!A:H,7,0),1)</f>
        <v>1</v>
      </c>
    </row>
    <row r="1070" spans="10:10" ht="35.450000000000003" hidden="1" customHeight="1">
      <c r="J1070" s="28">
        <f>IFERROR(VLOOKUP(TEXT(B1070,"0"),STOCK!A:H,7,0),1)</f>
        <v>1</v>
      </c>
    </row>
    <row r="1071" spans="10:10" ht="35.450000000000003" hidden="1" customHeight="1">
      <c r="J1071" s="28">
        <f>IFERROR(VLOOKUP(TEXT(B1071,"0"),STOCK!A:H,7,0),1)</f>
        <v>1</v>
      </c>
    </row>
    <row r="1072" spans="10:10" ht="35.450000000000003" hidden="1" customHeight="1">
      <c r="J1072" s="28">
        <f>IFERROR(VLOOKUP(TEXT(B1072,"0"),STOCK!A:H,7,0),1)</f>
        <v>1</v>
      </c>
    </row>
    <row r="1073" spans="10:10" ht="35.450000000000003" hidden="1" customHeight="1">
      <c r="J1073" s="28">
        <f>IFERROR(VLOOKUP(TEXT(B1073,"0"),STOCK!A:H,7,0),1)</f>
        <v>1</v>
      </c>
    </row>
    <row r="1074" spans="10:10" ht="35.450000000000003" hidden="1" customHeight="1">
      <c r="J1074" s="28">
        <f>IFERROR(VLOOKUP(TEXT(B1074,"0"),STOCK!A:H,7,0),1)</f>
        <v>1</v>
      </c>
    </row>
    <row r="1075" spans="10:10" ht="35.450000000000003" hidden="1" customHeight="1">
      <c r="J1075" s="28">
        <f>IFERROR(VLOOKUP(TEXT(B1075,"0"),STOCK!A:H,7,0),1)</f>
        <v>1</v>
      </c>
    </row>
    <row r="1076" spans="10:10" ht="35.450000000000003" hidden="1" customHeight="1">
      <c r="J1076" s="28">
        <f>IFERROR(VLOOKUP(TEXT(B1076,"0"),STOCK!A:H,7,0),1)</f>
        <v>1</v>
      </c>
    </row>
    <row r="1077" spans="10:10" ht="35.450000000000003" hidden="1" customHeight="1">
      <c r="J1077" s="28">
        <f>IFERROR(VLOOKUP(TEXT(B1077,"0"),STOCK!A:H,7,0),1)</f>
        <v>1</v>
      </c>
    </row>
    <row r="1078" spans="10:10" ht="35.450000000000003" hidden="1" customHeight="1">
      <c r="J1078" s="28">
        <f>IFERROR(VLOOKUP(TEXT(B1078,"0"),STOCK!A:H,7,0),1)</f>
        <v>1</v>
      </c>
    </row>
    <row r="1079" spans="10:10" ht="35.450000000000003" hidden="1" customHeight="1">
      <c r="J1079" s="28">
        <f>IFERROR(VLOOKUP(TEXT(B1079,"0"),STOCK!A:H,7,0),1)</f>
        <v>1</v>
      </c>
    </row>
    <row r="1080" spans="10:10" ht="35.450000000000003" hidden="1" customHeight="1">
      <c r="J1080" s="28">
        <f>IFERROR(VLOOKUP(TEXT(B1080,"0"),STOCK!A:H,7,0),1)</f>
        <v>1</v>
      </c>
    </row>
    <row r="1081" spans="10:10" ht="35.450000000000003" hidden="1" customHeight="1">
      <c r="J1081" s="28">
        <f>IFERROR(VLOOKUP(TEXT(B1081,"0"),STOCK!A:H,7,0),1)</f>
        <v>1</v>
      </c>
    </row>
    <row r="1082" spans="10:10" ht="35.450000000000003" hidden="1" customHeight="1">
      <c r="J1082" s="28">
        <f>IFERROR(VLOOKUP(TEXT(B1082,"0"),STOCK!A:H,7,0),1)</f>
        <v>1</v>
      </c>
    </row>
    <row r="1083" spans="10:10" ht="35.450000000000003" hidden="1" customHeight="1">
      <c r="J1083" s="28">
        <f>IFERROR(VLOOKUP(TEXT(B1083,"0"),STOCK!A:H,7,0),1)</f>
        <v>1</v>
      </c>
    </row>
    <row r="1084" spans="10:10" ht="35.450000000000003" hidden="1" customHeight="1">
      <c r="J1084" s="28">
        <f>IFERROR(VLOOKUP(TEXT(B1084,"0"),STOCK!A:H,7,0),1)</f>
        <v>1</v>
      </c>
    </row>
    <row r="1085" spans="10:10" ht="35.450000000000003" hidden="1" customHeight="1">
      <c r="J1085" s="28">
        <f>IFERROR(VLOOKUP(TEXT(B1085,"0"),STOCK!A:H,7,0),1)</f>
        <v>1</v>
      </c>
    </row>
    <row r="1086" spans="10:10" ht="35.450000000000003" hidden="1" customHeight="1">
      <c r="J1086" s="28">
        <f>IFERROR(VLOOKUP(TEXT(B1086,"0"),STOCK!A:H,7,0),1)</f>
        <v>1</v>
      </c>
    </row>
    <row r="1087" spans="10:10" ht="35.450000000000003" hidden="1" customHeight="1">
      <c r="J1087" s="28">
        <f>IFERROR(VLOOKUP(TEXT(B1087,"0"),STOCK!A:H,7,0),1)</f>
        <v>1</v>
      </c>
    </row>
    <row r="1088" spans="10:10" ht="35.450000000000003" hidden="1" customHeight="1">
      <c r="J1088" s="28">
        <f>IFERROR(VLOOKUP(TEXT(B1088,"0"),STOCK!A:H,7,0),1)</f>
        <v>1</v>
      </c>
    </row>
    <row r="1089" spans="10:10" ht="35.450000000000003" hidden="1" customHeight="1">
      <c r="J1089" s="28">
        <f>IFERROR(VLOOKUP(TEXT(B1089,"0"),STOCK!A:H,7,0),1)</f>
        <v>1</v>
      </c>
    </row>
    <row r="1090" spans="10:10" ht="35.450000000000003" hidden="1" customHeight="1">
      <c r="J1090" s="28">
        <f>IFERROR(VLOOKUP(TEXT(B1090,"0"),STOCK!A:H,7,0),1)</f>
        <v>1</v>
      </c>
    </row>
    <row r="1091" spans="10:10" ht="35.450000000000003" hidden="1" customHeight="1">
      <c r="J1091" s="28">
        <f>IFERROR(VLOOKUP(TEXT(B1091,"0"),STOCK!A:H,7,0),1)</f>
        <v>1</v>
      </c>
    </row>
    <row r="1092" spans="10:10" ht="35.450000000000003" hidden="1" customHeight="1">
      <c r="J1092" s="28">
        <f>IFERROR(VLOOKUP(TEXT(B1092,"0"),STOCK!A:H,7,0),1)</f>
        <v>1</v>
      </c>
    </row>
    <row r="1093" spans="10:10" ht="35.450000000000003" hidden="1" customHeight="1">
      <c r="J1093" s="28">
        <f>IFERROR(VLOOKUP(TEXT(B1093,"0"),STOCK!A:H,7,0),1)</f>
        <v>1</v>
      </c>
    </row>
    <row r="1094" spans="10:10" ht="35.450000000000003" hidden="1" customHeight="1">
      <c r="J1094" s="28">
        <f>IFERROR(VLOOKUP(TEXT(B1094,"0"),STOCK!A:H,7,0),1)</f>
        <v>1</v>
      </c>
    </row>
    <row r="1095" spans="10:10" ht="35.450000000000003" hidden="1" customHeight="1">
      <c r="J1095" s="28">
        <f>IFERROR(VLOOKUP(TEXT(B1095,"0"),STOCK!A:H,7,0),1)</f>
        <v>1</v>
      </c>
    </row>
    <row r="1096" spans="10:10" ht="35.450000000000003" hidden="1" customHeight="1">
      <c r="J1096" s="28">
        <f>IFERROR(VLOOKUP(TEXT(B1096,"0"),STOCK!A:H,7,0),1)</f>
        <v>1</v>
      </c>
    </row>
    <row r="1097" spans="10:10" ht="35.450000000000003" hidden="1" customHeight="1">
      <c r="J1097" s="28">
        <f>IFERROR(VLOOKUP(TEXT(B1097,"0"),STOCK!A:H,7,0),1)</f>
        <v>1</v>
      </c>
    </row>
    <row r="1098" spans="10:10" ht="35.450000000000003" hidden="1" customHeight="1">
      <c r="J1098" s="28">
        <f>IFERROR(VLOOKUP(TEXT(B1098,"0"),STOCK!A:H,7,0),1)</f>
        <v>1</v>
      </c>
    </row>
    <row r="1099" spans="10:10" ht="35.450000000000003" hidden="1" customHeight="1">
      <c r="J1099" s="28">
        <f>IFERROR(VLOOKUP(TEXT(B1099,"0"),STOCK!A:H,7,0),1)</f>
        <v>1</v>
      </c>
    </row>
    <row r="1100" spans="10:10" ht="35.450000000000003" hidden="1" customHeight="1">
      <c r="J1100" s="28">
        <f>IFERROR(VLOOKUP(TEXT(B1100,"0"),STOCK!A:H,7,0),1)</f>
        <v>1</v>
      </c>
    </row>
    <row r="1101" spans="10:10" ht="35.450000000000003" hidden="1" customHeight="1">
      <c r="J1101" s="28">
        <f>IFERROR(VLOOKUP(TEXT(B1101,"0"),STOCK!A:H,7,0),1)</f>
        <v>1</v>
      </c>
    </row>
    <row r="1102" spans="10:10" ht="35.450000000000003" hidden="1" customHeight="1">
      <c r="J1102" s="28">
        <f>IFERROR(VLOOKUP(TEXT(B1102,"0"),STOCK!A:H,7,0),1)</f>
        <v>1</v>
      </c>
    </row>
    <row r="1103" spans="10:10" ht="35.450000000000003" hidden="1" customHeight="1">
      <c r="J1103" s="28">
        <f>IFERROR(VLOOKUP(TEXT(B1103,"0"),STOCK!A:H,7,0),1)</f>
        <v>1</v>
      </c>
    </row>
    <row r="1104" spans="10:10" ht="35.450000000000003" hidden="1" customHeight="1">
      <c r="J1104" s="28">
        <f>IFERROR(VLOOKUP(TEXT(B1104,"0"),STOCK!A:H,7,0),1)</f>
        <v>1</v>
      </c>
    </row>
    <row r="1105" spans="10:10" ht="35.450000000000003" hidden="1" customHeight="1">
      <c r="J1105" s="28">
        <f>IFERROR(VLOOKUP(TEXT(B1105,"0"),STOCK!A:H,7,0),1)</f>
        <v>1</v>
      </c>
    </row>
    <row r="1106" spans="10:10" ht="35.450000000000003" hidden="1" customHeight="1">
      <c r="J1106" s="28">
        <f>IFERROR(VLOOKUP(TEXT(B1106,"0"),STOCK!A:H,7,0),1)</f>
        <v>1</v>
      </c>
    </row>
    <row r="1107" spans="10:10" ht="35.450000000000003" hidden="1" customHeight="1">
      <c r="J1107" s="28">
        <f>IFERROR(VLOOKUP(TEXT(B1107,"0"),STOCK!A:H,7,0),1)</f>
        <v>1</v>
      </c>
    </row>
    <row r="1108" spans="10:10" ht="35.450000000000003" hidden="1" customHeight="1">
      <c r="J1108" s="28">
        <f>IFERROR(VLOOKUP(TEXT(B1108,"0"),STOCK!A:H,7,0),1)</f>
        <v>1</v>
      </c>
    </row>
    <row r="1109" spans="10:10" ht="35.450000000000003" hidden="1" customHeight="1">
      <c r="J1109" s="28">
        <f>IFERROR(VLOOKUP(TEXT(B1109,"0"),STOCK!A:H,7,0),1)</f>
        <v>1</v>
      </c>
    </row>
    <row r="1110" spans="10:10" ht="35.450000000000003" hidden="1" customHeight="1">
      <c r="J1110" s="28">
        <f>IFERROR(VLOOKUP(TEXT(B1110,"0"),STOCK!A:H,7,0),1)</f>
        <v>1</v>
      </c>
    </row>
    <row r="1111" spans="10:10" ht="35.450000000000003" hidden="1" customHeight="1">
      <c r="J1111" s="28">
        <f>IFERROR(VLOOKUP(TEXT(B1111,"0"),STOCK!A:H,7,0),1)</f>
        <v>1</v>
      </c>
    </row>
    <row r="1112" spans="10:10" ht="35.450000000000003" hidden="1" customHeight="1">
      <c r="J1112" s="28">
        <f>IFERROR(VLOOKUP(TEXT(B1112,"0"),STOCK!A:H,7,0),1)</f>
        <v>1</v>
      </c>
    </row>
    <row r="1113" spans="10:10" ht="35.450000000000003" hidden="1" customHeight="1">
      <c r="J1113" s="28">
        <f>IFERROR(VLOOKUP(TEXT(B1113,"0"),STOCK!A:H,7,0),1)</f>
        <v>1</v>
      </c>
    </row>
    <row r="1114" spans="10:10" ht="35.450000000000003" hidden="1" customHeight="1">
      <c r="J1114" s="28">
        <f>IFERROR(VLOOKUP(TEXT(B1114,"0"),STOCK!A:H,7,0),1)</f>
        <v>1</v>
      </c>
    </row>
    <row r="1115" spans="10:10" ht="35.450000000000003" hidden="1" customHeight="1">
      <c r="J1115" s="28">
        <f>IFERROR(VLOOKUP(TEXT(B1115,"0"),STOCK!A:H,7,0),1)</f>
        <v>1</v>
      </c>
    </row>
    <row r="1116" spans="10:10" ht="35.450000000000003" hidden="1" customHeight="1">
      <c r="J1116" s="28">
        <f>IFERROR(VLOOKUP(TEXT(B1116,"0"),STOCK!A:H,7,0),1)</f>
        <v>1</v>
      </c>
    </row>
    <row r="1117" spans="10:10" ht="35.450000000000003" hidden="1" customHeight="1">
      <c r="J1117" s="28">
        <f>IFERROR(VLOOKUP(TEXT(B1117,"0"),STOCK!A:H,7,0),1)</f>
        <v>1</v>
      </c>
    </row>
    <row r="1118" spans="10:10" ht="35.450000000000003" hidden="1" customHeight="1">
      <c r="J1118" s="28">
        <f>IFERROR(VLOOKUP(TEXT(B1118,"0"),STOCK!A:H,7,0),1)</f>
        <v>1</v>
      </c>
    </row>
    <row r="1119" spans="10:10" ht="35.450000000000003" hidden="1" customHeight="1">
      <c r="J1119" s="28">
        <f>IFERROR(VLOOKUP(TEXT(B1119,"0"),STOCK!A:H,7,0),1)</f>
        <v>1</v>
      </c>
    </row>
    <row r="1120" spans="10:10" ht="35.450000000000003" hidden="1" customHeight="1">
      <c r="J1120" s="28">
        <f>IFERROR(VLOOKUP(TEXT(B1120,"0"),STOCK!A:H,7,0),1)</f>
        <v>1</v>
      </c>
    </row>
    <row r="1121" spans="10:10" ht="35.450000000000003" hidden="1" customHeight="1">
      <c r="J1121" s="28">
        <f>IFERROR(VLOOKUP(TEXT(B1121,"0"),STOCK!A:H,7,0),1)</f>
        <v>1</v>
      </c>
    </row>
    <row r="1122" spans="10:10" ht="35.450000000000003" hidden="1" customHeight="1">
      <c r="J1122" s="28">
        <f>IFERROR(VLOOKUP(TEXT(B1122,"0"),STOCK!A:H,7,0),1)</f>
        <v>1</v>
      </c>
    </row>
    <row r="1123" spans="10:10" ht="35.450000000000003" hidden="1" customHeight="1">
      <c r="J1123" s="28">
        <f>IFERROR(VLOOKUP(TEXT(B1123,"0"),STOCK!A:H,7,0),1)</f>
        <v>1</v>
      </c>
    </row>
    <row r="1124" spans="10:10" ht="35.450000000000003" hidden="1" customHeight="1">
      <c r="J1124" s="28">
        <f>IFERROR(VLOOKUP(TEXT(B1124,"0"),STOCK!A:H,7,0),1)</f>
        <v>1</v>
      </c>
    </row>
    <row r="1125" spans="10:10" ht="35.450000000000003" hidden="1" customHeight="1">
      <c r="J1125" s="28">
        <f>IFERROR(VLOOKUP(TEXT(B1125,"0"),STOCK!A:H,7,0),1)</f>
        <v>1</v>
      </c>
    </row>
    <row r="1126" spans="10:10" ht="35.450000000000003" hidden="1" customHeight="1">
      <c r="J1126" s="28">
        <f>IFERROR(VLOOKUP(TEXT(B1126,"0"),STOCK!A:H,7,0),1)</f>
        <v>1</v>
      </c>
    </row>
    <row r="1127" spans="10:10" ht="35.450000000000003" hidden="1" customHeight="1">
      <c r="J1127" s="28">
        <f>IFERROR(VLOOKUP(TEXT(B1127,"0"),STOCK!A:H,7,0),1)</f>
        <v>1</v>
      </c>
    </row>
    <row r="1128" spans="10:10" ht="35.450000000000003" hidden="1" customHeight="1">
      <c r="J1128" s="28">
        <f>IFERROR(VLOOKUP(TEXT(B1128,"0"),STOCK!A:H,7,0),1)</f>
        <v>1</v>
      </c>
    </row>
    <row r="1129" spans="10:10" ht="35.450000000000003" hidden="1" customHeight="1">
      <c r="J1129" s="28">
        <f>IFERROR(VLOOKUP(TEXT(B1129,"0"),STOCK!A:H,7,0),1)</f>
        <v>1</v>
      </c>
    </row>
    <row r="1130" spans="10:10" ht="35.450000000000003" hidden="1" customHeight="1">
      <c r="J1130" s="28">
        <f>IFERROR(VLOOKUP(TEXT(B1130,"0"),STOCK!A:H,7,0),1)</f>
        <v>1</v>
      </c>
    </row>
    <row r="1131" spans="10:10" ht="35.450000000000003" hidden="1" customHeight="1">
      <c r="J1131" s="28">
        <f>IFERROR(VLOOKUP(TEXT(B1131,"0"),STOCK!A:H,7,0),1)</f>
        <v>1</v>
      </c>
    </row>
    <row r="1132" spans="10:10" ht="35.450000000000003" hidden="1" customHeight="1">
      <c r="J1132" s="28">
        <f>IFERROR(VLOOKUP(TEXT(B1132,"0"),STOCK!A:H,7,0),1)</f>
        <v>1</v>
      </c>
    </row>
    <row r="1133" spans="10:10" ht="35.450000000000003" hidden="1" customHeight="1">
      <c r="J1133" s="28">
        <f>IFERROR(VLOOKUP(TEXT(B1133,"0"),STOCK!A:H,7,0),1)</f>
        <v>1</v>
      </c>
    </row>
    <row r="1134" spans="10:10" ht="35.450000000000003" hidden="1" customHeight="1">
      <c r="J1134" s="28">
        <f>IFERROR(VLOOKUP(TEXT(B1134,"0"),STOCK!A:H,7,0),1)</f>
        <v>1</v>
      </c>
    </row>
    <row r="1135" spans="10:10" ht="35.450000000000003" hidden="1" customHeight="1">
      <c r="J1135" s="28">
        <f>IFERROR(VLOOKUP(TEXT(B1135,"0"),STOCK!A:H,7,0),1)</f>
        <v>1</v>
      </c>
    </row>
    <row r="1136" spans="10:10" ht="35.450000000000003" hidden="1" customHeight="1">
      <c r="J1136" s="28">
        <f>IFERROR(VLOOKUP(TEXT(B1136,"0"),STOCK!A:H,7,0),1)</f>
        <v>1</v>
      </c>
    </row>
    <row r="1137" spans="10:10" ht="35.450000000000003" hidden="1" customHeight="1">
      <c r="J1137" s="28">
        <f>IFERROR(VLOOKUP(TEXT(B1137,"0"),STOCK!A:H,7,0),1)</f>
        <v>1</v>
      </c>
    </row>
    <row r="1138" spans="10:10" ht="35.450000000000003" hidden="1" customHeight="1">
      <c r="J1138" s="28">
        <f>IFERROR(VLOOKUP(TEXT(B1138,"0"),STOCK!A:H,7,0),1)</f>
        <v>1</v>
      </c>
    </row>
    <row r="1139" spans="10:10" ht="35.450000000000003" hidden="1" customHeight="1">
      <c r="J1139" s="28">
        <f>IFERROR(VLOOKUP(TEXT(B1139,"0"),STOCK!A:H,7,0),1)</f>
        <v>1</v>
      </c>
    </row>
    <row r="1140" spans="10:10" ht="35.450000000000003" hidden="1" customHeight="1">
      <c r="J1140" s="28">
        <f>IFERROR(VLOOKUP(TEXT(B1140,"0"),STOCK!A:H,7,0),1)</f>
        <v>1</v>
      </c>
    </row>
    <row r="1141" spans="10:10" ht="35.450000000000003" hidden="1" customHeight="1">
      <c r="J1141" s="28">
        <f>IFERROR(VLOOKUP(TEXT(B1141,"0"),STOCK!A:H,7,0),1)</f>
        <v>1</v>
      </c>
    </row>
    <row r="1142" spans="10:10" ht="35.450000000000003" hidden="1" customHeight="1">
      <c r="J1142" s="28">
        <f>IFERROR(VLOOKUP(TEXT(B1142,"0"),STOCK!A:H,7,0),1)</f>
        <v>1</v>
      </c>
    </row>
    <row r="1143" spans="10:10" ht="35.450000000000003" hidden="1" customHeight="1">
      <c r="J1143" s="28">
        <f>IFERROR(VLOOKUP(TEXT(B1143,"0"),STOCK!A:H,7,0),1)</f>
        <v>1</v>
      </c>
    </row>
    <row r="1144" spans="10:10" ht="35.450000000000003" hidden="1" customHeight="1">
      <c r="J1144" s="28">
        <f>IFERROR(VLOOKUP(TEXT(B1144,"0"),STOCK!A:H,7,0),1)</f>
        <v>1</v>
      </c>
    </row>
    <row r="1145" spans="10:10" ht="35.450000000000003" hidden="1" customHeight="1">
      <c r="J1145" s="28">
        <f>IFERROR(VLOOKUP(TEXT(B1145,"0"),STOCK!A:H,7,0),1)</f>
        <v>1</v>
      </c>
    </row>
    <row r="1146" spans="10:10" ht="35.450000000000003" hidden="1" customHeight="1">
      <c r="J1146" s="28">
        <f>IFERROR(VLOOKUP(TEXT(B1146,"0"),STOCK!A:H,7,0),1)</f>
        <v>1</v>
      </c>
    </row>
    <row r="1147" spans="10:10" ht="35.450000000000003" hidden="1" customHeight="1">
      <c r="J1147" s="28">
        <f>IFERROR(VLOOKUP(TEXT(B1147,"0"),STOCK!A:H,7,0),1)</f>
        <v>1</v>
      </c>
    </row>
    <row r="1148" spans="10:10" ht="35.450000000000003" hidden="1" customHeight="1">
      <c r="J1148" s="28">
        <f>IFERROR(VLOOKUP(TEXT(B1148,"0"),STOCK!A:H,7,0),1)</f>
        <v>1</v>
      </c>
    </row>
    <row r="1149" spans="10:10" ht="35.450000000000003" hidden="1" customHeight="1">
      <c r="J1149" s="28">
        <f>IFERROR(VLOOKUP(TEXT(B1149,"0"),STOCK!A:H,7,0),1)</f>
        <v>1</v>
      </c>
    </row>
    <row r="1150" spans="10:10" ht="35.450000000000003" hidden="1" customHeight="1">
      <c r="J1150" s="28">
        <f>IFERROR(VLOOKUP(TEXT(B1150,"0"),STOCK!A:H,7,0),1)</f>
        <v>1</v>
      </c>
    </row>
    <row r="1151" spans="10:10" ht="35.450000000000003" hidden="1" customHeight="1">
      <c r="J1151" s="28">
        <f>IFERROR(VLOOKUP(TEXT(B1151,"0"),STOCK!A:H,7,0),1)</f>
        <v>1</v>
      </c>
    </row>
    <row r="1152" spans="10:10" ht="35.450000000000003" hidden="1" customHeight="1">
      <c r="J1152" s="28">
        <f>IFERROR(VLOOKUP(TEXT(B1152,"0"),STOCK!A:H,7,0),1)</f>
        <v>1</v>
      </c>
    </row>
    <row r="1153" spans="10:10" ht="35.450000000000003" hidden="1" customHeight="1">
      <c r="J1153" s="28">
        <f>IFERROR(VLOOKUP(TEXT(B1153,"0"),STOCK!A:H,7,0),1)</f>
        <v>1</v>
      </c>
    </row>
    <row r="1154" spans="10:10" ht="35.450000000000003" hidden="1" customHeight="1">
      <c r="J1154" s="28">
        <f>IFERROR(VLOOKUP(TEXT(B1154,"0"),STOCK!A:H,7,0),1)</f>
        <v>1</v>
      </c>
    </row>
    <row r="1155" spans="10:10" ht="35.450000000000003" hidden="1" customHeight="1">
      <c r="J1155" s="28">
        <f>IFERROR(VLOOKUP(TEXT(B1155,"0"),STOCK!A:H,7,0),1)</f>
        <v>1</v>
      </c>
    </row>
    <row r="1156" spans="10:10" ht="35.450000000000003" hidden="1" customHeight="1">
      <c r="J1156" s="28">
        <f>IFERROR(VLOOKUP(TEXT(B1156,"0"),STOCK!A:H,7,0),1)</f>
        <v>1</v>
      </c>
    </row>
    <row r="1157" spans="10:10" ht="35.450000000000003" hidden="1" customHeight="1">
      <c r="J1157" s="28">
        <f>IFERROR(VLOOKUP(TEXT(B1157,"0"),STOCK!A:H,7,0),1)</f>
        <v>1</v>
      </c>
    </row>
    <row r="1158" spans="10:10" ht="35.450000000000003" hidden="1" customHeight="1">
      <c r="J1158" s="28">
        <f>IFERROR(VLOOKUP(TEXT(B1158,"0"),STOCK!A:H,7,0),1)</f>
        <v>1</v>
      </c>
    </row>
    <row r="1159" spans="10:10" ht="35.450000000000003" hidden="1" customHeight="1">
      <c r="J1159" s="28">
        <f>IFERROR(VLOOKUP(TEXT(B1159,"0"),STOCK!A:H,7,0),1)</f>
        <v>1</v>
      </c>
    </row>
    <row r="1160" spans="10:10" ht="35.450000000000003" hidden="1" customHeight="1">
      <c r="J1160" s="28">
        <f>IFERROR(VLOOKUP(TEXT(B1160,"0"),STOCK!A:H,7,0),1)</f>
        <v>1</v>
      </c>
    </row>
    <row r="1161" spans="10:10" ht="35.450000000000003" hidden="1" customHeight="1">
      <c r="J1161" s="28">
        <f>IFERROR(VLOOKUP(TEXT(B1161,"0"),STOCK!A:H,7,0),1)</f>
        <v>1</v>
      </c>
    </row>
    <row r="1162" spans="10:10" ht="35.450000000000003" hidden="1" customHeight="1">
      <c r="J1162" s="28">
        <f>IFERROR(VLOOKUP(TEXT(B1162,"0"),STOCK!A:H,7,0),1)</f>
        <v>1</v>
      </c>
    </row>
    <row r="1163" spans="10:10" ht="35.450000000000003" hidden="1" customHeight="1">
      <c r="J1163" s="28">
        <f>IFERROR(VLOOKUP(TEXT(B1163,"0"),STOCK!A:H,7,0),1)</f>
        <v>1</v>
      </c>
    </row>
    <row r="1164" spans="10:10" ht="35.450000000000003" hidden="1" customHeight="1">
      <c r="J1164" s="28">
        <f>IFERROR(VLOOKUP(TEXT(B1164,"0"),STOCK!A:H,7,0),1)</f>
        <v>1</v>
      </c>
    </row>
    <row r="1165" spans="10:10" ht="35.450000000000003" hidden="1" customHeight="1">
      <c r="J1165" s="28">
        <f>IFERROR(VLOOKUP(TEXT(B1165,"0"),STOCK!A:H,7,0),1)</f>
        <v>1</v>
      </c>
    </row>
    <row r="1166" spans="10:10" ht="35.450000000000003" hidden="1" customHeight="1">
      <c r="J1166" s="28">
        <f>IFERROR(VLOOKUP(TEXT(B1166,"0"),STOCK!A:H,7,0),1)</f>
        <v>1</v>
      </c>
    </row>
    <row r="1167" spans="10:10" ht="35.450000000000003" hidden="1" customHeight="1">
      <c r="J1167" s="28">
        <f>IFERROR(VLOOKUP(TEXT(B1167,"0"),STOCK!A:H,7,0),1)</f>
        <v>1</v>
      </c>
    </row>
    <row r="1168" spans="10:10" ht="35.450000000000003" hidden="1" customHeight="1">
      <c r="J1168" s="28">
        <f>IFERROR(VLOOKUP(TEXT(B1168,"0"),STOCK!A:H,7,0),1)</f>
        <v>1</v>
      </c>
    </row>
    <row r="1169" spans="10:10" ht="35.450000000000003" hidden="1" customHeight="1">
      <c r="J1169" s="28">
        <f>IFERROR(VLOOKUP(TEXT(B1169,"0"),STOCK!A:H,7,0),1)</f>
        <v>1</v>
      </c>
    </row>
    <row r="1170" spans="10:10" ht="35.450000000000003" hidden="1" customHeight="1">
      <c r="J1170" s="28">
        <f>IFERROR(VLOOKUP(TEXT(B1170,"0"),STOCK!A:H,7,0),1)</f>
        <v>1</v>
      </c>
    </row>
    <row r="1171" spans="10:10" ht="35.450000000000003" hidden="1" customHeight="1">
      <c r="J1171" s="28">
        <f>IFERROR(VLOOKUP(TEXT(B1171,"0"),STOCK!A:H,7,0),1)</f>
        <v>1</v>
      </c>
    </row>
    <row r="1172" spans="10:10" ht="35.450000000000003" hidden="1" customHeight="1">
      <c r="J1172" s="28">
        <f>IFERROR(VLOOKUP(TEXT(B1172,"0"),STOCK!A:H,7,0),1)</f>
        <v>1</v>
      </c>
    </row>
    <row r="1173" spans="10:10" ht="35.450000000000003" hidden="1" customHeight="1">
      <c r="J1173" s="28">
        <f>IFERROR(VLOOKUP(TEXT(B1173,"0"),STOCK!A:H,7,0),1)</f>
        <v>1</v>
      </c>
    </row>
    <row r="1174" spans="10:10" ht="35.450000000000003" hidden="1" customHeight="1">
      <c r="J1174" s="28">
        <f>IFERROR(VLOOKUP(TEXT(B1174,"0"),STOCK!A:H,7,0),1)</f>
        <v>1</v>
      </c>
    </row>
    <row r="1175" spans="10:10" ht="35.450000000000003" hidden="1" customHeight="1">
      <c r="J1175" s="28">
        <f>IFERROR(VLOOKUP(TEXT(B1175,"0"),STOCK!A:H,7,0),1)</f>
        <v>1</v>
      </c>
    </row>
    <row r="1176" spans="10:10" ht="35.450000000000003" hidden="1" customHeight="1">
      <c r="J1176" s="28">
        <f>IFERROR(VLOOKUP(TEXT(B1176,"0"),STOCK!A:H,7,0),1)</f>
        <v>1</v>
      </c>
    </row>
    <row r="1177" spans="10:10" ht="35.450000000000003" hidden="1" customHeight="1">
      <c r="J1177" s="28">
        <f>IFERROR(VLOOKUP(TEXT(B1177,"0"),STOCK!A:H,7,0),1)</f>
        <v>1</v>
      </c>
    </row>
    <row r="1178" spans="10:10" ht="35.450000000000003" hidden="1" customHeight="1">
      <c r="J1178" s="28">
        <f>IFERROR(VLOOKUP(TEXT(B1178,"0"),STOCK!A:H,7,0),1)</f>
        <v>1</v>
      </c>
    </row>
    <row r="1179" spans="10:10" ht="35.450000000000003" hidden="1" customHeight="1">
      <c r="J1179" s="28">
        <f>IFERROR(VLOOKUP(TEXT(B1179,"0"),STOCK!A:H,7,0),1)</f>
        <v>1</v>
      </c>
    </row>
    <row r="1180" spans="10:10" ht="35.450000000000003" hidden="1" customHeight="1">
      <c r="J1180" s="28">
        <f>IFERROR(VLOOKUP(TEXT(B1180,"0"),STOCK!A:H,7,0),1)</f>
        <v>1</v>
      </c>
    </row>
    <row r="1181" spans="10:10" ht="35.450000000000003" hidden="1" customHeight="1">
      <c r="J1181" s="28">
        <f>IFERROR(VLOOKUP(TEXT(B1181,"0"),STOCK!A:H,7,0),1)</f>
        <v>1</v>
      </c>
    </row>
    <row r="1182" spans="10:10" ht="35.450000000000003" hidden="1" customHeight="1">
      <c r="J1182" s="28">
        <f>IFERROR(VLOOKUP(TEXT(B1182,"0"),STOCK!A:H,7,0),1)</f>
        <v>1</v>
      </c>
    </row>
    <row r="1183" spans="10:10" ht="35.450000000000003" hidden="1" customHeight="1">
      <c r="J1183" s="28">
        <f>IFERROR(VLOOKUP(TEXT(B1183,"0"),STOCK!A:H,7,0),1)</f>
        <v>1</v>
      </c>
    </row>
    <row r="1184" spans="10:10" ht="35.450000000000003" hidden="1" customHeight="1">
      <c r="J1184" s="28">
        <f>IFERROR(VLOOKUP(TEXT(B1184,"0"),STOCK!A:H,7,0),1)</f>
        <v>1</v>
      </c>
    </row>
    <row r="1185" spans="10:10" ht="35.450000000000003" hidden="1" customHeight="1">
      <c r="J1185" s="28">
        <f>IFERROR(VLOOKUP(TEXT(B1185,"0"),STOCK!A:H,7,0),1)</f>
        <v>1</v>
      </c>
    </row>
    <row r="1186" spans="10:10" ht="35.450000000000003" hidden="1" customHeight="1">
      <c r="J1186" s="28">
        <f>IFERROR(VLOOKUP(TEXT(B1186,"0"),STOCK!A:H,7,0),1)</f>
        <v>1</v>
      </c>
    </row>
    <row r="1187" spans="10:10" ht="35.450000000000003" hidden="1" customHeight="1">
      <c r="J1187" s="28">
        <f>IFERROR(VLOOKUP(TEXT(B1187,"0"),STOCK!A:H,7,0),1)</f>
        <v>1</v>
      </c>
    </row>
    <row r="1188" spans="10:10" ht="35.450000000000003" hidden="1" customHeight="1">
      <c r="J1188" s="28">
        <f>IFERROR(VLOOKUP(TEXT(B1188,"0"),STOCK!A:H,7,0),1)</f>
        <v>1</v>
      </c>
    </row>
    <row r="1189" spans="10:10" ht="35.450000000000003" hidden="1" customHeight="1">
      <c r="J1189" s="28">
        <f>IFERROR(VLOOKUP(TEXT(B1189,"0"),STOCK!A:H,7,0),1)</f>
        <v>1</v>
      </c>
    </row>
    <row r="1190" spans="10:10" ht="35.450000000000003" hidden="1" customHeight="1">
      <c r="J1190" s="28">
        <f>IFERROR(VLOOKUP(TEXT(B1190,"0"),STOCK!A:H,7,0),1)</f>
        <v>1</v>
      </c>
    </row>
    <row r="1191" spans="10:10" ht="35.450000000000003" hidden="1" customHeight="1">
      <c r="J1191" s="28">
        <f>IFERROR(VLOOKUP(TEXT(B1191,"0"),STOCK!A:H,7,0),1)</f>
        <v>1</v>
      </c>
    </row>
    <row r="1192" spans="10:10" ht="35.450000000000003" hidden="1" customHeight="1">
      <c r="J1192" s="28">
        <f>IFERROR(VLOOKUP(TEXT(B1192,"0"),STOCK!A:H,7,0),1)</f>
        <v>1</v>
      </c>
    </row>
    <row r="1193" spans="10:10" ht="35.450000000000003" hidden="1" customHeight="1">
      <c r="J1193" s="28">
        <f>IFERROR(VLOOKUP(TEXT(B1193,"0"),STOCK!A:H,7,0),1)</f>
        <v>1</v>
      </c>
    </row>
    <row r="1194" spans="10:10" ht="35.450000000000003" hidden="1" customHeight="1">
      <c r="J1194" s="28">
        <f>IFERROR(VLOOKUP(TEXT(B1194,"0"),STOCK!A:H,7,0),1)</f>
        <v>1</v>
      </c>
    </row>
    <row r="1195" spans="10:10" ht="35.450000000000003" hidden="1" customHeight="1">
      <c r="J1195" s="28">
        <f>IFERROR(VLOOKUP(TEXT(B1195,"0"),STOCK!A:H,7,0),1)</f>
        <v>1</v>
      </c>
    </row>
    <row r="1196" spans="10:10" ht="35.450000000000003" hidden="1" customHeight="1">
      <c r="J1196" s="28">
        <f>IFERROR(VLOOKUP(TEXT(B1196,"0"),STOCK!A:H,7,0),1)</f>
        <v>1</v>
      </c>
    </row>
    <row r="1197" spans="10:10" ht="35.450000000000003" hidden="1" customHeight="1">
      <c r="J1197" s="28">
        <f>IFERROR(VLOOKUP(TEXT(B1197,"0"),STOCK!A:H,7,0),1)</f>
        <v>1</v>
      </c>
    </row>
    <row r="1198" spans="10:10" ht="35.450000000000003" hidden="1" customHeight="1">
      <c r="J1198" s="28">
        <f>IFERROR(VLOOKUP(TEXT(B1198,"0"),STOCK!A:H,7,0),1)</f>
        <v>1</v>
      </c>
    </row>
    <row r="1199" spans="10:10" ht="35.450000000000003" hidden="1" customHeight="1">
      <c r="J1199" s="28">
        <f>IFERROR(VLOOKUP(TEXT(B1199,"0"),STOCK!A:H,7,0),1)</f>
        <v>1</v>
      </c>
    </row>
    <row r="1200" spans="10:10" ht="35.450000000000003" hidden="1" customHeight="1">
      <c r="J1200" s="28">
        <f>IFERROR(VLOOKUP(TEXT(B1200,"0"),STOCK!A:H,7,0),1)</f>
        <v>1</v>
      </c>
    </row>
    <row r="1201" spans="10:10" ht="35.450000000000003" hidden="1" customHeight="1">
      <c r="J1201" s="28">
        <f>IFERROR(VLOOKUP(TEXT(B1201,"0"),STOCK!A:H,7,0),1)</f>
        <v>1</v>
      </c>
    </row>
    <row r="1202" spans="10:10" ht="35.450000000000003" hidden="1" customHeight="1">
      <c r="J1202" s="28">
        <f>IFERROR(VLOOKUP(TEXT(B1202,"0"),STOCK!A:H,7,0),1)</f>
        <v>1</v>
      </c>
    </row>
    <row r="1203" spans="10:10" ht="35.450000000000003" hidden="1" customHeight="1">
      <c r="J1203" s="28">
        <f>IFERROR(VLOOKUP(TEXT(B1203,"0"),STOCK!A:H,7,0),1)</f>
        <v>1</v>
      </c>
    </row>
    <row r="1204" spans="10:10" ht="35.450000000000003" hidden="1" customHeight="1">
      <c r="J1204" s="28">
        <f>IFERROR(VLOOKUP(TEXT(B1204,"0"),STOCK!A:H,7,0),1)</f>
        <v>1</v>
      </c>
    </row>
    <row r="1205" spans="10:10" ht="35.450000000000003" hidden="1" customHeight="1">
      <c r="J1205" s="28">
        <f>IFERROR(VLOOKUP(TEXT(B1205,"0"),STOCK!A:H,7,0),1)</f>
        <v>1</v>
      </c>
    </row>
    <row r="1206" spans="10:10" ht="35.450000000000003" hidden="1" customHeight="1">
      <c r="J1206" s="28">
        <f>IFERROR(VLOOKUP(TEXT(B1206,"0"),STOCK!A:H,7,0),1)</f>
        <v>1</v>
      </c>
    </row>
    <row r="1207" spans="10:10" ht="35.450000000000003" hidden="1" customHeight="1">
      <c r="J1207" s="28">
        <f>IFERROR(VLOOKUP(TEXT(B1207,"0"),STOCK!A:H,7,0),1)</f>
        <v>1</v>
      </c>
    </row>
    <row r="1208" spans="10:10" ht="35.450000000000003" hidden="1" customHeight="1">
      <c r="J1208" s="28">
        <f>IFERROR(VLOOKUP(TEXT(B1208,"0"),STOCK!A:H,7,0),1)</f>
        <v>1</v>
      </c>
    </row>
    <row r="1209" spans="10:10" ht="35.450000000000003" hidden="1" customHeight="1">
      <c r="J1209" s="28">
        <f>IFERROR(VLOOKUP(TEXT(B1209,"0"),STOCK!A:H,7,0),1)</f>
        <v>1</v>
      </c>
    </row>
    <row r="1210" spans="10:10" ht="35.450000000000003" hidden="1" customHeight="1">
      <c r="J1210" s="28">
        <f>IFERROR(VLOOKUP(TEXT(B1210,"0"),STOCK!A:H,7,0),1)</f>
        <v>1</v>
      </c>
    </row>
    <row r="1211" spans="10:10" ht="35.450000000000003" hidden="1" customHeight="1">
      <c r="J1211" s="28">
        <f>IFERROR(VLOOKUP(TEXT(B1211,"0"),STOCK!A:H,7,0),1)</f>
        <v>1</v>
      </c>
    </row>
    <row r="1212" spans="10:10" ht="35.450000000000003" hidden="1" customHeight="1">
      <c r="J1212" s="28">
        <f>IFERROR(VLOOKUP(TEXT(B1212,"0"),STOCK!A:H,7,0),1)</f>
        <v>1</v>
      </c>
    </row>
    <row r="1213" spans="10:10" ht="35.450000000000003" hidden="1" customHeight="1">
      <c r="J1213" s="28">
        <f>IFERROR(VLOOKUP(TEXT(B1213,"0"),STOCK!A:H,7,0),1)</f>
        <v>1</v>
      </c>
    </row>
    <row r="1214" spans="10:10" ht="35.450000000000003" hidden="1" customHeight="1">
      <c r="J1214" s="28">
        <f>IFERROR(VLOOKUP(TEXT(B1214,"0"),STOCK!A:H,7,0),1)</f>
        <v>1</v>
      </c>
    </row>
    <row r="1215" spans="10:10" ht="35.450000000000003" hidden="1" customHeight="1">
      <c r="J1215" s="28">
        <f>IFERROR(VLOOKUP(TEXT(B1215,"0"),STOCK!A:H,7,0),1)</f>
        <v>1</v>
      </c>
    </row>
    <row r="1216" spans="10:10" ht="35.450000000000003" hidden="1" customHeight="1">
      <c r="J1216" s="28">
        <f>IFERROR(VLOOKUP(TEXT(B1216,"0"),STOCK!A:H,7,0),1)</f>
        <v>1</v>
      </c>
    </row>
    <row r="1217" spans="10:10" ht="35.450000000000003" hidden="1" customHeight="1">
      <c r="J1217" s="28">
        <f>IFERROR(VLOOKUP(TEXT(B1217,"0"),STOCK!A:H,7,0),1)</f>
        <v>1</v>
      </c>
    </row>
    <row r="1218" spans="10:10" ht="35.450000000000003" hidden="1" customHeight="1">
      <c r="J1218" s="28">
        <f>IFERROR(VLOOKUP(TEXT(B1218,"0"),STOCK!A:H,7,0),1)</f>
        <v>1</v>
      </c>
    </row>
    <row r="1219" spans="10:10" ht="35.450000000000003" hidden="1" customHeight="1">
      <c r="J1219" s="28">
        <f>IFERROR(VLOOKUP(TEXT(B1219,"0"),STOCK!A:H,7,0),1)</f>
        <v>1</v>
      </c>
    </row>
    <row r="1220" spans="10:10" ht="35.450000000000003" hidden="1" customHeight="1">
      <c r="J1220" s="28">
        <f>IFERROR(VLOOKUP(TEXT(B1220,"0"),STOCK!A:H,7,0),1)</f>
        <v>1</v>
      </c>
    </row>
    <row r="1221" spans="10:10" ht="35.450000000000003" hidden="1" customHeight="1">
      <c r="J1221" s="28">
        <f>IFERROR(VLOOKUP(TEXT(B1221,"0"),STOCK!A:H,7,0),1)</f>
        <v>1</v>
      </c>
    </row>
    <row r="1222" spans="10:10" ht="35.450000000000003" hidden="1" customHeight="1">
      <c r="J1222" s="28">
        <f>IFERROR(VLOOKUP(TEXT(B1222,"0"),STOCK!A:H,7,0),1)</f>
        <v>1</v>
      </c>
    </row>
    <row r="1223" spans="10:10" ht="35.450000000000003" hidden="1" customHeight="1">
      <c r="J1223" s="28">
        <f>IFERROR(VLOOKUP(TEXT(B1223,"0"),STOCK!A:H,7,0),1)</f>
        <v>1</v>
      </c>
    </row>
    <row r="1224" spans="10:10" ht="35.450000000000003" hidden="1" customHeight="1">
      <c r="J1224" s="28">
        <f>IFERROR(VLOOKUP(TEXT(B1224,"0"),STOCK!A:H,7,0),1)</f>
        <v>1</v>
      </c>
    </row>
    <row r="1225" spans="10:10" ht="35.450000000000003" hidden="1" customHeight="1">
      <c r="J1225" s="28">
        <f>IFERROR(VLOOKUP(TEXT(B1225,"0"),STOCK!A:H,7,0),1)</f>
        <v>1</v>
      </c>
    </row>
    <row r="1226" spans="10:10" ht="35.450000000000003" hidden="1" customHeight="1">
      <c r="J1226" s="28">
        <f>IFERROR(VLOOKUP(TEXT(B1226,"0"),STOCK!A:H,7,0),1)</f>
        <v>1</v>
      </c>
    </row>
    <row r="1227" spans="10:10" ht="35.450000000000003" hidden="1" customHeight="1">
      <c r="J1227" s="28">
        <f>IFERROR(VLOOKUP(TEXT(B1227,"0"),STOCK!A:H,7,0),1)</f>
        <v>1</v>
      </c>
    </row>
    <row r="1228" spans="10:10" ht="35.450000000000003" hidden="1" customHeight="1">
      <c r="J1228" s="28">
        <f>IFERROR(VLOOKUP(TEXT(B1228,"0"),STOCK!A:H,7,0),1)</f>
        <v>1</v>
      </c>
    </row>
    <row r="1229" spans="10:10" ht="35.450000000000003" hidden="1" customHeight="1">
      <c r="J1229" s="28">
        <f>IFERROR(VLOOKUP(TEXT(B1229,"0"),STOCK!A:H,7,0),1)</f>
        <v>1</v>
      </c>
    </row>
    <row r="1230" spans="10:10" ht="35.450000000000003" hidden="1" customHeight="1">
      <c r="J1230" s="28">
        <f>IFERROR(VLOOKUP(TEXT(B1230,"0"),STOCK!A:H,7,0),1)</f>
        <v>1</v>
      </c>
    </row>
    <row r="1231" spans="10:10" ht="35.450000000000003" hidden="1" customHeight="1">
      <c r="J1231" s="28">
        <f>IFERROR(VLOOKUP(TEXT(B1231,"0"),STOCK!A:H,7,0),1)</f>
        <v>1</v>
      </c>
    </row>
    <row r="1232" spans="10:10" ht="35.450000000000003" hidden="1" customHeight="1">
      <c r="J1232" s="28">
        <f>IFERROR(VLOOKUP(TEXT(B1232,"0"),STOCK!A:H,7,0),1)</f>
        <v>1</v>
      </c>
    </row>
    <row r="1233" spans="10:10" ht="35.450000000000003" hidden="1" customHeight="1">
      <c r="J1233" s="28">
        <f>IFERROR(VLOOKUP(TEXT(B1233,"0"),STOCK!A:H,7,0),1)</f>
        <v>1</v>
      </c>
    </row>
    <row r="1234" spans="10:10" ht="35.450000000000003" hidden="1" customHeight="1">
      <c r="J1234" s="28">
        <f>IFERROR(VLOOKUP(TEXT(B1234,"0"),STOCK!A:H,7,0),1)</f>
        <v>1</v>
      </c>
    </row>
    <row r="1235" spans="10:10" ht="35.450000000000003" hidden="1" customHeight="1">
      <c r="J1235" s="28">
        <f>IFERROR(VLOOKUP(TEXT(B1235,"0"),STOCK!A:H,7,0),1)</f>
        <v>1</v>
      </c>
    </row>
    <row r="1236" spans="10:10" ht="35.450000000000003" hidden="1" customHeight="1">
      <c r="J1236" s="28">
        <f>IFERROR(VLOOKUP(TEXT(B1236,"0"),STOCK!A:H,7,0),1)</f>
        <v>1</v>
      </c>
    </row>
    <row r="1237" spans="10:10" ht="35.450000000000003" hidden="1" customHeight="1">
      <c r="J1237" s="28">
        <f>IFERROR(VLOOKUP(TEXT(B1237,"0"),STOCK!A:H,7,0),1)</f>
        <v>1</v>
      </c>
    </row>
    <row r="1238" spans="10:10" ht="35.450000000000003" hidden="1" customHeight="1">
      <c r="J1238" s="28">
        <f>IFERROR(VLOOKUP(TEXT(B1238,"0"),STOCK!A:H,7,0),1)</f>
        <v>1</v>
      </c>
    </row>
    <row r="1239" spans="10:10" ht="35.450000000000003" hidden="1" customHeight="1">
      <c r="J1239" s="28">
        <f>IFERROR(VLOOKUP(TEXT(B1239,"0"),STOCK!A:H,7,0),1)</f>
        <v>1</v>
      </c>
    </row>
    <row r="1240" spans="10:10" ht="35.450000000000003" hidden="1" customHeight="1">
      <c r="J1240" s="28">
        <f>IFERROR(VLOOKUP(TEXT(B1240,"0"),STOCK!A:H,7,0),1)</f>
        <v>1</v>
      </c>
    </row>
    <row r="1241" spans="10:10" ht="35.450000000000003" hidden="1" customHeight="1">
      <c r="J1241" s="28">
        <f>IFERROR(VLOOKUP(TEXT(B1241,"0"),STOCK!A:H,7,0),1)</f>
        <v>1</v>
      </c>
    </row>
    <row r="1242" spans="10:10" ht="35.450000000000003" hidden="1" customHeight="1">
      <c r="J1242" s="28">
        <f>IFERROR(VLOOKUP(TEXT(B1242,"0"),STOCK!A:H,7,0),1)</f>
        <v>1</v>
      </c>
    </row>
    <row r="1243" spans="10:10" ht="35.450000000000003" hidden="1" customHeight="1">
      <c r="J1243" s="28">
        <f>IFERROR(VLOOKUP(TEXT(B1243,"0"),STOCK!A:H,7,0),1)</f>
        <v>1</v>
      </c>
    </row>
    <row r="1244" spans="10:10" ht="35.450000000000003" hidden="1" customHeight="1">
      <c r="J1244" s="28">
        <f>IFERROR(VLOOKUP(TEXT(B1244,"0"),STOCK!A:H,7,0),1)</f>
        <v>1</v>
      </c>
    </row>
    <row r="1245" spans="10:10" ht="35.450000000000003" hidden="1" customHeight="1">
      <c r="J1245" s="28">
        <f>IFERROR(VLOOKUP(TEXT(B1245,"0"),STOCK!A:H,7,0),1)</f>
        <v>1</v>
      </c>
    </row>
    <row r="1246" spans="10:10" ht="35.450000000000003" hidden="1" customHeight="1">
      <c r="J1246" s="28">
        <f>IFERROR(VLOOKUP(TEXT(B1246,"0"),STOCK!A:H,7,0),1)</f>
        <v>1</v>
      </c>
    </row>
    <row r="1247" spans="10:10" ht="35.450000000000003" hidden="1" customHeight="1">
      <c r="J1247" s="28">
        <f>IFERROR(VLOOKUP(TEXT(B1247,"0"),STOCK!A:H,7,0),1)</f>
        <v>1</v>
      </c>
    </row>
    <row r="1248" spans="10:10" ht="35.450000000000003" hidden="1" customHeight="1">
      <c r="J1248" s="28">
        <f>IFERROR(VLOOKUP(TEXT(B1248,"0"),STOCK!A:H,7,0),1)</f>
        <v>1</v>
      </c>
    </row>
    <row r="1249" spans="10:10" ht="35.450000000000003" hidden="1" customHeight="1">
      <c r="J1249" s="28">
        <f>IFERROR(VLOOKUP(TEXT(B1249,"0"),STOCK!A:H,7,0),1)</f>
        <v>1</v>
      </c>
    </row>
    <row r="1250" spans="10:10" ht="35.450000000000003" hidden="1" customHeight="1">
      <c r="J1250" s="28">
        <f>IFERROR(VLOOKUP(TEXT(B1250,"0"),STOCK!A:H,7,0),1)</f>
        <v>1</v>
      </c>
    </row>
    <row r="1251" spans="10:10" ht="35.450000000000003" hidden="1" customHeight="1">
      <c r="J1251" s="28">
        <f>IFERROR(VLOOKUP(TEXT(B1251,"0"),STOCK!A:H,7,0),1)</f>
        <v>1</v>
      </c>
    </row>
    <row r="1252" spans="10:10" ht="35.450000000000003" hidden="1" customHeight="1">
      <c r="J1252" s="28">
        <f>IFERROR(VLOOKUP(TEXT(B1252,"0"),STOCK!A:H,7,0),1)</f>
        <v>1</v>
      </c>
    </row>
    <row r="1253" spans="10:10" ht="35.450000000000003" hidden="1" customHeight="1">
      <c r="J1253" s="28">
        <f>IFERROR(VLOOKUP(TEXT(B1253,"0"),STOCK!A:H,7,0),1)</f>
        <v>1</v>
      </c>
    </row>
    <row r="1254" spans="10:10" ht="35.450000000000003" hidden="1" customHeight="1">
      <c r="J1254" s="28">
        <f>IFERROR(VLOOKUP(TEXT(B1254,"0"),STOCK!A:H,7,0),1)</f>
        <v>1</v>
      </c>
    </row>
    <row r="1255" spans="10:10" ht="35.450000000000003" hidden="1" customHeight="1">
      <c r="J1255" s="28">
        <f>IFERROR(VLOOKUP(TEXT(B1255,"0"),STOCK!A:H,7,0),1)</f>
        <v>1</v>
      </c>
    </row>
    <row r="1256" spans="10:10" ht="35.450000000000003" hidden="1" customHeight="1">
      <c r="J1256" s="28">
        <f>IFERROR(VLOOKUP(TEXT(B1256,"0"),STOCK!A:H,7,0),1)</f>
        <v>1</v>
      </c>
    </row>
    <row r="1257" spans="10:10" ht="35.450000000000003" hidden="1" customHeight="1">
      <c r="J1257" s="28">
        <f>IFERROR(VLOOKUP(TEXT(B1257,"0"),STOCK!A:H,7,0),1)</f>
        <v>1</v>
      </c>
    </row>
    <row r="1258" spans="10:10" ht="35.450000000000003" hidden="1" customHeight="1">
      <c r="J1258" s="28">
        <f>IFERROR(VLOOKUP(TEXT(B1258,"0"),STOCK!A:H,7,0),1)</f>
        <v>1</v>
      </c>
    </row>
    <row r="1259" spans="10:10" ht="35.450000000000003" hidden="1" customHeight="1">
      <c r="J1259" s="28">
        <f>IFERROR(VLOOKUP(TEXT(B1259,"0"),STOCK!A:H,7,0),1)</f>
        <v>1</v>
      </c>
    </row>
    <row r="1260" spans="10:10" ht="35.450000000000003" hidden="1" customHeight="1">
      <c r="J1260" s="28">
        <f>IFERROR(VLOOKUP(TEXT(B1260,"0"),STOCK!A:H,7,0),1)</f>
        <v>1</v>
      </c>
    </row>
    <row r="1261" spans="10:10" ht="35.450000000000003" hidden="1" customHeight="1">
      <c r="J1261" s="28">
        <f>IFERROR(VLOOKUP(TEXT(B1261,"0"),STOCK!A:H,7,0),1)</f>
        <v>1</v>
      </c>
    </row>
    <row r="1262" spans="10:10" ht="35.450000000000003" hidden="1" customHeight="1">
      <c r="J1262" s="28">
        <f>IFERROR(VLOOKUP(TEXT(B1262,"0"),STOCK!A:H,7,0),1)</f>
        <v>1</v>
      </c>
    </row>
    <row r="1263" spans="10:10" ht="35.450000000000003" hidden="1" customHeight="1">
      <c r="J1263" s="28">
        <f>IFERROR(VLOOKUP(TEXT(B1263,"0"),STOCK!A:H,7,0),1)</f>
        <v>1</v>
      </c>
    </row>
    <row r="1264" spans="10:10" ht="35.450000000000003" hidden="1" customHeight="1">
      <c r="J1264" s="28">
        <f>IFERROR(VLOOKUP(TEXT(B1264,"0"),STOCK!A:H,7,0),1)</f>
        <v>1</v>
      </c>
    </row>
    <row r="1265" spans="10:10" ht="35.450000000000003" hidden="1" customHeight="1">
      <c r="J1265" s="28">
        <f>IFERROR(VLOOKUP(TEXT(B1265,"0"),STOCK!A:H,7,0),1)</f>
        <v>1</v>
      </c>
    </row>
    <row r="1266" spans="10:10" ht="35.450000000000003" hidden="1" customHeight="1">
      <c r="J1266" s="28">
        <f>IFERROR(VLOOKUP(TEXT(B1266,"0"),STOCK!A:H,7,0),1)</f>
        <v>1</v>
      </c>
    </row>
    <row r="1267" spans="10:10" ht="35.450000000000003" hidden="1" customHeight="1">
      <c r="J1267" s="28">
        <f>IFERROR(VLOOKUP(TEXT(B1267,"0"),STOCK!A:H,7,0),1)</f>
        <v>1</v>
      </c>
    </row>
    <row r="1268" spans="10:10" ht="35.450000000000003" hidden="1" customHeight="1">
      <c r="J1268" s="28">
        <f>IFERROR(VLOOKUP(TEXT(B1268,"0"),STOCK!A:H,7,0),1)</f>
        <v>1</v>
      </c>
    </row>
    <row r="1269" spans="10:10" ht="35.450000000000003" hidden="1" customHeight="1">
      <c r="J1269" s="28">
        <f>IFERROR(VLOOKUP(TEXT(B1269,"0"),STOCK!A:H,7,0),1)</f>
        <v>1</v>
      </c>
    </row>
    <row r="1270" spans="10:10" ht="35.450000000000003" hidden="1" customHeight="1">
      <c r="J1270" s="28">
        <f>IFERROR(VLOOKUP(TEXT(B1270,"0"),STOCK!A:H,7,0),1)</f>
        <v>1</v>
      </c>
    </row>
    <row r="1271" spans="10:10" ht="35.450000000000003" hidden="1" customHeight="1">
      <c r="J1271" s="28">
        <f>IFERROR(VLOOKUP(TEXT(B1271,"0"),STOCK!A:H,7,0),1)</f>
        <v>1</v>
      </c>
    </row>
    <row r="1272" spans="10:10" ht="35.450000000000003" hidden="1" customHeight="1">
      <c r="J1272" s="28">
        <f>IFERROR(VLOOKUP(TEXT(B1272,"0"),STOCK!A:H,7,0),1)</f>
        <v>1</v>
      </c>
    </row>
    <row r="1273" spans="10:10" ht="35.450000000000003" hidden="1" customHeight="1">
      <c r="J1273" s="28">
        <f>IFERROR(VLOOKUP(TEXT(B1273,"0"),STOCK!A:H,7,0),1)</f>
        <v>1</v>
      </c>
    </row>
    <row r="1274" spans="10:10" ht="35.450000000000003" hidden="1" customHeight="1">
      <c r="J1274" s="28">
        <f>IFERROR(VLOOKUP(TEXT(B1274,"0"),STOCK!A:H,7,0),1)</f>
        <v>1</v>
      </c>
    </row>
    <row r="1275" spans="10:10" ht="35.450000000000003" hidden="1" customHeight="1">
      <c r="J1275" s="28">
        <f>IFERROR(VLOOKUP(TEXT(B1275,"0"),STOCK!A:H,7,0),1)</f>
        <v>1</v>
      </c>
    </row>
    <row r="1276" spans="10:10" ht="35.450000000000003" hidden="1" customHeight="1">
      <c r="J1276" s="28">
        <f>IFERROR(VLOOKUP(TEXT(B1276,"0"),STOCK!A:H,7,0),1)</f>
        <v>1</v>
      </c>
    </row>
    <row r="1277" spans="10:10" ht="35.450000000000003" hidden="1" customHeight="1">
      <c r="J1277" s="28">
        <f>IFERROR(VLOOKUP(TEXT(B1277,"0"),STOCK!A:H,7,0),1)</f>
        <v>1</v>
      </c>
    </row>
    <row r="1278" spans="10:10" ht="35.450000000000003" hidden="1" customHeight="1">
      <c r="J1278" s="28">
        <f>IFERROR(VLOOKUP(TEXT(B1278,"0"),STOCK!A:H,7,0),1)</f>
        <v>1</v>
      </c>
    </row>
    <row r="1279" spans="10:10" ht="35.450000000000003" hidden="1" customHeight="1">
      <c r="J1279" s="28">
        <f>IFERROR(VLOOKUP(TEXT(B1279,"0"),STOCK!A:H,7,0),1)</f>
        <v>1</v>
      </c>
    </row>
    <row r="1280" spans="10:10" ht="35.450000000000003" hidden="1" customHeight="1">
      <c r="J1280" s="28">
        <f>IFERROR(VLOOKUP(TEXT(B1280,"0"),STOCK!A:H,7,0),1)</f>
        <v>1</v>
      </c>
    </row>
    <row r="1281" spans="10:10" ht="35.450000000000003" hidden="1" customHeight="1">
      <c r="J1281" s="28">
        <f>IFERROR(VLOOKUP(TEXT(B1281,"0"),STOCK!A:H,7,0),1)</f>
        <v>1</v>
      </c>
    </row>
    <row r="1282" spans="10:10" ht="35.450000000000003" hidden="1" customHeight="1">
      <c r="J1282" s="28">
        <f>IFERROR(VLOOKUP(TEXT(B1282,"0"),STOCK!A:H,7,0),1)</f>
        <v>1</v>
      </c>
    </row>
    <row r="1283" spans="10:10" ht="35.450000000000003" hidden="1" customHeight="1">
      <c r="J1283" s="28">
        <f>IFERROR(VLOOKUP(TEXT(B1283,"0"),STOCK!A:H,7,0),1)</f>
        <v>1</v>
      </c>
    </row>
    <row r="1284" spans="10:10" ht="35.450000000000003" hidden="1" customHeight="1">
      <c r="J1284" s="28">
        <f>IFERROR(VLOOKUP(TEXT(B1284,"0"),STOCK!A:H,7,0),1)</f>
        <v>1</v>
      </c>
    </row>
    <row r="1285" spans="10:10" ht="35.450000000000003" hidden="1" customHeight="1">
      <c r="J1285" s="28">
        <f>IFERROR(VLOOKUP(TEXT(B1285,"0"),STOCK!A:H,7,0),1)</f>
        <v>1</v>
      </c>
    </row>
    <row r="1286" spans="10:10" ht="35.450000000000003" hidden="1" customHeight="1">
      <c r="J1286" s="28">
        <f>IFERROR(VLOOKUP(TEXT(B1286,"0"),STOCK!A:H,7,0),1)</f>
        <v>1</v>
      </c>
    </row>
    <row r="1287" spans="10:10" ht="35.450000000000003" hidden="1" customHeight="1">
      <c r="J1287" s="28">
        <f>IFERROR(VLOOKUP(TEXT(B1287,"0"),STOCK!A:H,7,0),1)</f>
        <v>1</v>
      </c>
    </row>
    <row r="1288" spans="10:10" ht="35.450000000000003" hidden="1" customHeight="1">
      <c r="J1288" s="28">
        <f>IFERROR(VLOOKUP(TEXT(B1288,"0"),STOCK!A:H,7,0),1)</f>
        <v>1</v>
      </c>
    </row>
    <row r="1289" spans="10:10" ht="35.450000000000003" hidden="1" customHeight="1">
      <c r="J1289" s="28">
        <f>IFERROR(VLOOKUP(TEXT(B1289,"0"),STOCK!A:H,7,0),1)</f>
        <v>1</v>
      </c>
    </row>
    <row r="1290" spans="10:10" ht="35.450000000000003" hidden="1" customHeight="1">
      <c r="J1290" s="28">
        <f>IFERROR(VLOOKUP(TEXT(B1290,"0"),STOCK!A:H,7,0),1)</f>
        <v>1</v>
      </c>
    </row>
    <row r="1291" spans="10:10" ht="35.450000000000003" hidden="1" customHeight="1">
      <c r="J1291" s="28">
        <f>IFERROR(VLOOKUP(TEXT(B1291,"0"),STOCK!A:H,7,0),1)</f>
        <v>1</v>
      </c>
    </row>
    <row r="1292" spans="10:10" ht="35.450000000000003" hidden="1" customHeight="1">
      <c r="J1292" s="28">
        <f>IFERROR(VLOOKUP(TEXT(B1292,"0"),STOCK!A:H,7,0),1)</f>
        <v>1</v>
      </c>
    </row>
    <row r="1293" spans="10:10" ht="35.450000000000003" hidden="1" customHeight="1">
      <c r="J1293" s="28">
        <f>IFERROR(VLOOKUP(TEXT(B1293,"0"),STOCK!A:H,7,0),1)</f>
        <v>1</v>
      </c>
    </row>
    <row r="1294" spans="10:10" ht="35.450000000000003" hidden="1" customHeight="1">
      <c r="J1294" s="28">
        <f>IFERROR(VLOOKUP(TEXT(B1294,"0"),STOCK!A:H,7,0),1)</f>
        <v>1</v>
      </c>
    </row>
    <row r="1295" spans="10:10" ht="35.450000000000003" hidden="1" customHeight="1">
      <c r="J1295" s="28">
        <f>IFERROR(VLOOKUP(TEXT(B1295,"0"),STOCK!A:H,7,0),1)</f>
        <v>1</v>
      </c>
    </row>
    <row r="1296" spans="10:10" ht="35.450000000000003" hidden="1" customHeight="1">
      <c r="J1296" s="28">
        <f>IFERROR(VLOOKUP(TEXT(B1296,"0"),STOCK!A:H,7,0),1)</f>
        <v>1</v>
      </c>
    </row>
    <row r="1297" spans="10:10" ht="35.450000000000003" hidden="1" customHeight="1">
      <c r="J1297" s="28">
        <f>IFERROR(VLOOKUP(TEXT(B1297,"0"),STOCK!A:H,7,0),1)</f>
        <v>1</v>
      </c>
    </row>
    <row r="1298" spans="10:10" ht="35.450000000000003" hidden="1" customHeight="1">
      <c r="J1298" s="28">
        <f>IFERROR(VLOOKUP(TEXT(B1298,"0"),STOCK!A:H,7,0),1)</f>
        <v>1</v>
      </c>
    </row>
    <row r="1299" spans="10:10" ht="35.450000000000003" hidden="1" customHeight="1">
      <c r="J1299" s="28">
        <f>IFERROR(VLOOKUP(TEXT(B1299,"0"),STOCK!A:H,7,0),1)</f>
        <v>1</v>
      </c>
    </row>
    <row r="1300" spans="10:10" ht="35.450000000000003" hidden="1" customHeight="1">
      <c r="J1300" s="28">
        <f>IFERROR(VLOOKUP(TEXT(B1300,"0"),STOCK!A:H,7,0),1)</f>
        <v>1</v>
      </c>
    </row>
    <row r="1301" spans="10:10" ht="35.450000000000003" hidden="1" customHeight="1">
      <c r="J1301" s="28">
        <f>IFERROR(VLOOKUP(TEXT(B1301,"0"),STOCK!A:H,7,0),1)</f>
        <v>1</v>
      </c>
    </row>
    <row r="1302" spans="10:10" ht="35.450000000000003" hidden="1" customHeight="1">
      <c r="J1302" s="28">
        <f>IFERROR(VLOOKUP(TEXT(B1302,"0"),STOCK!A:H,7,0),1)</f>
        <v>1</v>
      </c>
    </row>
    <row r="1303" spans="10:10" ht="35.450000000000003" hidden="1" customHeight="1">
      <c r="J1303" s="28">
        <f>IFERROR(VLOOKUP(TEXT(B1303,"0"),STOCK!A:H,7,0),1)</f>
        <v>1</v>
      </c>
    </row>
    <row r="1304" spans="10:10" ht="35.450000000000003" hidden="1" customHeight="1">
      <c r="J1304" s="28">
        <f>IFERROR(VLOOKUP(TEXT(B1304,"0"),STOCK!A:H,7,0),1)</f>
        <v>1</v>
      </c>
    </row>
    <row r="1305" spans="10:10" ht="35.450000000000003" hidden="1" customHeight="1">
      <c r="J1305" s="28">
        <f>IFERROR(VLOOKUP(TEXT(B1305,"0"),STOCK!A:H,7,0),1)</f>
        <v>1</v>
      </c>
    </row>
    <row r="1306" spans="10:10" ht="35.450000000000003" hidden="1" customHeight="1">
      <c r="J1306" s="28">
        <f>IFERROR(VLOOKUP(TEXT(B1306,"0"),STOCK!A:H,7,0),1)</f>
        <v>1</v>
      </c>
    </row>
    <row r="1307" spans="10:10" ht="35.450000000000003" hidden="1" customHeight="1">
      <c r="J1307" s="28">
        <f>IFERROR(VLOOKUP(TEXT(B1307,"0"),STOCK!A:H,7,0),1)</f>
        <v>1</v>
      </c>
    </row>
    <row r="1308" spans="10:10" ht="35.450000000000003" hidden="1" customHeight="1">
      <c r="J1308" s="28">
        <f>IFERROR(VLOOKUP(TEXT(B1308,"0"),STOCK!A:H,7,0),1)</f>
        <v>1</v>
      </c>
    </row>
    <row r="1309" spans="10:10" ht="35.450000000000003" hidden="1" customHeight="1">
      <c r="J1309" s="28">
        <f>IFERROR(VLOOKUP(TEXT(B1309,"0"),STOCK!A:H,7,0),1)</f>
        <v>1</v>
      </c>
    </row>
    <row r="1310" spans="10:10" ht="35.450000000000003" hidden="1" customHeight="1">
      <c r="J1310" s="28">
        <f>IFERROR(VLOOKUP(TEXT(B1310,"0"),STOCK!A:H,7,0),1)</f>
        <v>1</v>
      </c>
    </row>
    <row r="1311" spans="10:10" ht="35.450000000000003" hidden="1" customHeight="1">
      <c r="J1311" s="28">
        <f>IFERROR(VLOOKUP(TEXT(B1311,"0"),STOCK!A:H,7,0),1)</f>
        <v>1</v>
      </c>
    </row>
    <row r="1312" spans="10:10" ht="35.450000000000003" hidden="1" customHeight="1">
      <c r="J1312" s="28">
        <f>IFERROR(VLOOKUP(TEXT(B1312,"0"),STOCK!A:H,7,0),1)</f>
        <v>1</v>
      </c>
    </row>
    <row r="1313" spans="10:10" ht="35.450000000000003" hidden="1" customHeight="1">
      <c r="J1313" s="28">
        <f>IFERROR(VLOOKUP(TEXT(B1313,"0"),STOCK!A:H,7,0),1)</f>
        <v>1</v>
      </c>
    </row>
    <row r="1314" spans="10:10" ht="35.450000000000003" hidden="1" customHeight="1">
      <c r="J1314" s="28">
        <f>IFERROR(VLOOKUP(TEXT(B1314,"0"),STOCK!A:H,7,0),1)</f>
        <v>1</v>
      </c>
    </row>
    <row r="1315" spans="10:10" ht="35.450000000000003" hidden="1" customHeight="1">
      <c r="J1315" s="28">
        <f>IFERROR(VLOOKUP(TEXT(B1315,"0"),STOCK!A:H,7,0),1)</f>
        <v>1</v>
      </c>
    </row>
    <row r="1316" spans="10:10" ht="35.450000000000003" hidden="1" customHeight="1">
      <c r="J1316" s="28">
        <f>IFERROR(VLOOKUP(TEXT(B1316,"0"),STOCK!A:H,7,0),1)</f>
        <v>1</v>
      </c>
    </row>
    <row r="1317" spans="10:10" ht="35.450000000000003" hidden="1" customHeight="1">
      <c r="J1317" s="28">
        <f>IFERROR(VLOOKUP(TEXT(B1317,"0"),STOCK!A:H,7,0),1)</f>
        <v>1</v>
      </c>
    </row>
    <row r="1318" spans="10:10" ht="35.450000000000003" hidden="1" customHeight="1">
      <c r="J1318" s="28">
        <f>IFERROR(VLOOKUP(TEXT(B1318,"0"),STOCK!A:H,7,0),1)</f>
        <v>1</v>
      </c>
    </row>
    <row r="1319" spans="10:10" ht="35.450000000000003" hidden="1" customHeight="1">
      <c r="J1319" s="28">
        <f>IFERROR(VLOOKUP(TEXT(B1319,"0"),STOCK!A:H,7,0),1)</f>
        <v>1</v>
      </c>
    </row>
    <row r="1320" spans="10:10" ht="35.450000000000003" hidden="1" customHeight="1">
      <c r="J1320" s="28">
        <f>IFERROR(VLOOKUP(TEXT(B1320,"0"),STOCK!A:H,7,0),1)</f>
        <v>1</v>
      </c>
    </row>
    <row r="1321" spans="10:10" ht="35.450000000000003" hidden="1" customHeight="1">
      <c r="J1321" s="28">
        <f>IFERROR(VLOOKUP(TEXT(B1321,"0"),STOCK!A:H,7,0),1)</f>
        <v>1</v>
      </c>
    </row>
    <row r="1322" spans="10:10" ht="35.450000000000003" hidden="1" customHeight="1">
      <c r="J1322" s="28">
        <f>IFERROR(VLOOKUP(TEXT(B1322,"0"),STOCK!A:H,7,0),1)</f>
        <v>1</v>
      </c>
    </row>
    <row r="1323" spans="10:10" ht="35.450000000000003" hidden="1" customHeight="1">
      <c r="J1323" s="28">
        <f>IFERROR(VLOOKUP(TEXT(B1323,"0"),STOCK!A:H,7,0),1)</f>
        <v>1</v>
      </c>
    </row>
    <row r="1324" spans="10:10" ht="35.450000000000003" hidden="1" customHeight="1">
      <c r="J1324" s="28">
        <f>IFERROR(VLOOKUP(TEXT(B1324,"0"),STOCK!A:H,7,0),1)</f>
        <v>1</v>
      </c>
    </row>
    <row r="1325" spans="10:10" ht="35.450000000000003" hidden="1" customHeight="1">
      <c r="J1325" s="28">
        <f>IFERROR(VLOOKUP(TEXT(B1325,"0"),STOCK!A:H,7,0),1)</f>
        <v>1</v>
      </c>
    </row>
    <row r="1326" spans="10:10" ht="35.450000000000003" hidden="1" customHeight="1">
      <c r="J1326" s="28">
        <f>IFERROR(VLOOKUP(TEXT(B1326,"0"),STOCK!A:H,7,0),1)</f>
        <v>1</v>
      </c>
    </row>
    <row r="1327" spans="10:10" ht="35.450000000000003" hidden="1" customHeight="1">
      <c r="J1327" s="28">
        <f>IFERROR(VLOOKUP(TEXT(B1327,"0"),STOCK!A:H,7,0),1)</f>
        <v>1</v>
      </c>
    </row>
    <row r="1328" spans="10:10" ht="35.450000000000003" hidden="1" customHeight="1">
      <c r="J1328" s="28">
        <f>IFERROR(VLOOKUP(TEXT(B1328,"0"),STOCK!A:H,7,0),1)</f>
        <v>1</v>
      </c>
    </row>
    <row r="1329" spans="10:10" ht="35.450000000000003" hidden="1" customHeight="1">
      <c r="J1329" s="28">
        <f>IFERROR(VLOOKUP(TEXT(B1329,"0"),STOCK!A:H,7,0),1)</f>
        <v>1</v>
      </c>
    </row>
    <row r="1330" spans="10:10" ht="35.450000000000003" hidden="1" customHeight="1">
      <c r="J1330" s="28">
        <f>IFERROR(VLOOKUP(TEXT(B1330,"0"),STOCK!A:H,7,0),1)</f>
        <v>1</v>
      </c>
    </row>
    <row r="1331" spans="10:10" ht="35.450000000000003" hidden="1" customHeight="1">
      <c r="J1331" s="28">
        <f>IFERROR(VLOOKUP(TEXT(B1331,"0"),STOCK!A:H,7,0),1)</f>
        <v>1</v>
      </c>
    </row>
    <row r="1332" spans="10:10" ht="35.450000000000003" hidden="1" customHeight="1">
      <c r="J1332" s="28">
        <f>IFERROR(VLOOKUP(TEXT(B1332,"0"),STOCK!A:H,7,0),1)</f>
        <v>1</v>
      </c>
    </row>
    <row r="1333" spans="10:10" ht="35.450000000000003" hidden="1" customHeight="1">
      <c r="J1333" s="28">
        <f>IFERROR(VLOOKUP(TEXT(B1333,"0"),STOCK!A:H,7,0),1)</f>
        <v>1</v>
      </c>
    </row>
    <row r="1334" spans="10:10" ht="35.450000000000003" hidden="1" customHeight="1">
      <c r="J1334" s="28">
        <f>IFERROR(VLOOKUP(TEXT(B1334,"0"),STOCK!A:H,7,0),1)</f>
        <v>1</v>
      </c>
    </row>
    <row r="1335" spans="10:10" ht="35.450000000000003" hidden="1" customHeight="1">
      <c r="J1335" s="28">
        <f>IFERROR(VLOOKUP(TEXT(B1335,"0"),STOCK!A:H,7,0),1)</f>
        <v>1</v>
      </c>
    </row>
    <row r="1336" spans="10:10" ht="35.450000000000003" hidden="1" customHeight="1">
      <c r="J1336" s="28">
        <f>IFERROR(VLOOKUP(TEXT(B1336,"0"),STOCK!A:H,7,0),1)</f>
        <v>1</v>
      </c>
    </row>
    <row r="1337" spans="10:10" ht="35.450000000000003" hidden="1" customHeight="1">
      <c r="J1337" s="28">
        <f>IFERROR(VLOOKUP(TEXT(B1337,"0"),STOCK!A:H,7,0),1)</f>
        <v>1</v>
      </c>
    </row>
    <row r="1338" spans="10:10" ht="35.450000000000003" hidden="1" customHeight="1">
      <c r="J1338" s="28">
        <f>IFERROR(VLOOKUP(TEXT(B1338,"0"),STOCK!A:H,7,0),1)</f>
        <v>1</v>
      </c>
    </row>
    <row r="1339" spans="10:10" ht="35.450000000000003" hidden="1" customHeight="1">
      <c r="J1339" s="28">
        <f>IFERROR(VLOOKUP(TEXT(B1339,"0"),STOCK!A:H,7,0),1)</f>
        <v>1</v>
      </c>
    </row>
    <row r="1340" spans="10:10" ht="35.450000000000003" hidden="1" customHeight="1">
      <c r="J1340" s="28">
        <f>IFERROR(VLOOKUP(TEXT(B1340,"0"),STOCK!A:H,7,0),1)</f>
        <v>1</v>
      </c>
    </row>
    <row r="1341" spans="10:10" ht="35.450000000000003" hidden="1" customHeight="1">
      <c r="J1341" s="28">
        <f>IFERROR(VLOOKUP(TEXT(B1341,"0"),STOCK!A:H,7,0),1)</f>
        <v>1</v>
      </c>
    </row>
    <row r="1342" spans="10:10" ht="35.450000000000003" hidden="1" customHeight="1">
      <c r="J1342" s="28">
        <f>IFERROR(VLOOKUP(TEXT(B1342,"0"),STOCK!A:H,7,0),1)</f>
        <v>1</v>
      </c>
    </row>
    <row r="1343" spans="10:10" ht="35.450000000000003" hidden="1" customHeight="1">
      <c r="J1343" s="28">
        <f>IFERROR(VLOOKUP(TEXT(B1343,"0"),STOCK!A:H,7,0),1)</f>
        <v>1</v>
      </c>
    </row>
    <row r="1344" spans="10:10" ht="35.450000000000003" hidden="1" customHeight="1">
      <c r="J1344" s="28">
        <f>IFERROR(VLOOKUP(TEXT(B1344,"0"),STOCK!A:H,7,0),1)</f>
        <v>1</v>
      </c>
    </row>
    <row r="1345" spans="10:10" ht="35.450000000000003" hidden="1" customHeight="1">
      <c r="J1345" s="28">
        <f>IFERROR(VLOOKUP(TEXT(B1345,"0"),STOCK!A:H,7,0),1)</f>
        <v>1</v>
      </c>
    </row>
    <row r="1346" spans="10:10" ht="35.450000000000003" hidden="1" customHeight="1">
      <c r="J1346" s="28">
        <f>IFERROR(VLOOKUP(TEXT(B1346,"0"),STOCK!A:H,7,0),1)</f>
        <v>1</v>
      </c>
    </row>
    <row r="1347" spans="10:10" ht="35.450000000000003" hidden="1" customHeight="1">
      <c r="J1347" s="28">
        <f>IFERROR(VLOOKUP(TEXT(B1347,"0"),STOCK!A:H,7,0),1)</f>
        <v>1</v>
      </c>
    </row>
    <row r="1348" spans="10:10" ht="35.450000000000003" hidden="1" customHeight="1">
      <c r="J1348" s="28">
        <f>IFERROR(VLOOKUP(TEXT(B1348,"0"),STOCK!A:H,7,0),1)</f>
        <v>1</v>
      </c>
    </row>
    <row r="1349" spans="10:10" ht="35.450000000000003" hidden="1" customHeight="1">
      <c r="J1349" s="28">
        <f>IFERROR(VLOOKUP(TEXT(B1349,"0"),STOCK!A:H,7,0),1)</f>
        <v>1</v>
      </c>
    </row>
    <row r="1350" spans="10:10" ht="35.450000000000003" hidden="1" customHeight="1">
      <c r="J1350" s="28">
        <f>IFERROR(VLOOKUP(TEXT(B1350,"0"),STOCK!A:H,7,0),1)</f>
        <v>1</v>
      </c>
    </row>
    <row r="1351" spans="10:10" ht="35.450000000000003" hidden="1" customHeight="1">
      <c r="J1351" s="28">
        <f>IFERROR(VLOOKUP(TEXT(B1351,"0"),STOCK!A:H,7,0),1)</f>
        <v>1</v>
      </c>
    </row>
    <row r="1352" spans="10:10" ht="35.450000000000003" hidden="1" customHeight="1">
      <c r="J1352" s="28">
        <f>IFERROR(VLOOKUP(TEXT(B1352,"0"),STOCK!A:H,7,0),1)</f>
        <v>1</v>
      </c>
    </row>
    <row r="1353" spans="10:10" ht="35.450000000000003" hidden="1" customHeight="1">
      <c r="J1353" s="28">
        <f>IFERROR(VLOOKUP(TEXT(B1353,"0"),STOCK!A:H,7,0),1)</f>
        <v>1</v>
      </c>
    </row>
    <row r="1354" spans="10:10" ht="35.450000000000003" hidden="1" customHeight="1">
      <c r="J1354" s="28">
        <f>IFERROR(VLOOKUP(TEXT(B1354,"0"),STOCK!A:H,7,0),1)</f>
        <v>1</v>
      </c>
    </row>
    <row r="1355" spans="10:10" ht="35.450000000000003" hidden="1" customHeight="1">
      <c r="J1355" s="28">
        <f>IFERROR(VLOOKUP(TEXT(B1355,"0"),STOCK!A:H,7,0),1)</f>
        <v>1</v>
      </c>
    </row>
    <row r="1356" spans="10:10" ht="35.450000000000003" hidden="1" customHeight="1">
      <c r="J1356" s="28">
        <f>IFERROR(VLOOKUP(TEXT(B1356,"0"),STOCK!A:H,7,0),1)</f>
        <v>1</v>
      </c>
    </row>
    <row r="1357" spans="10:10" ht="35.450000000000003" hidden="1" customHeight="1">
      <c r="J1357" s="28">
        <f>IFERROR(VLOOKUP(TEXT(B1357,"0"),STOCK!A:H,7,0),1)</f>
        <v>1</v>
      </c>
    </row>
    <row r="1358" spans="10:10" ht="35.450000000000003" hidden="1" customHeight="1">
      <c r="J1358" s="28">
        <f>IFERROR(VLOOKUP(TEXT(B1358,"0"),STOCK!A:H,7,0),1)</f>
        <v>1</v>
      </c>
    </row>
    <row r="1359" spans="10:10" ht="35.450000000000003" hidden="1" customHeight="1">
      <c r="J1359" s="28">
        <f>IFERROR(VLOOKUP(TEXT(B1359,"0"),STOCK!A:H,7,0),1)</f>
        <v>1</v>
      </c>
    </row>
    <row r="1360" spans="10:10" ht="35.450000000000003" hidden="1" customHeight="1">
      <c r="J1360" s="28">
        <f>IFERROR(VLOOKUP(TEXT(B1360,"0"),STOCK!A:H,7,0),1)</f>
        <v>1</v>
      </c>
    </row>
    <row r="1361" spans="10:10" ht="35.450000000000003" hidden="1" customHeight="1">
      <c r="J1361" s="28">
        <f>IFERROR(VLOOKUP(TEXT(B1361,"0"),STOCK!A:H,7,0),1)</f>
        <v>1</v>
      </c>
    </row>
    <row r="1362" spans="10:10" ht="35.450000000000003" hidden="1" customHeight="1">
      <c r="J1362" s="28">
        <f>IFERROR(VLOOKUP(TEXT(B1362,"0"),STOCK!A:H,7,0),1)</f>
        <v>1</v>
      </c>
    </row>
    <row r="1363" spans="10:10" ht="35.450000000000003" hidden="1" customHeight="1">
      <c r="J1363" s="28">
        <f>IFERROR(VLOOKUP(TEXT(B1363,"0"),STOCK!A:H,7,0),1)</f>
        <v>1</v>
      </c>
    </row>
    <row r="1364" spans="10:10" ht="35.450000000000003" hidden="1" customHeight="1">
      <c r="J1364" s="28">
        <f>IFERROR(VLOOKUP(TEXT(B1364,"0"),STOCK!A:H,7,0),1)</f>
        <v>1</v>
      </c>
    </row>
    <row r="1365" spans="10:10" ht="35.450000000000003" hidden="1" customHeight="1">
      <c r="J1365" s="28">
        <f>IFERROR(VLOOKUP(TEXT(B1365,"0"),STOCK!A:H,7,0),1)</f>
        <v>1</v>
      </c>
    </row>
    <row r="1366" spans="10:10" ht="35.450000000000003" hidden="1" customHeight="1">
      <c r="J1366" s="28">
        <f>IFERROR(VLOOKUP(TEXT(B1366,"0"),STOCK!A:H,7,0),1)</f>
        <v>1</v>
      </c>
    </row>
    <row r="1367" spans="10:10" ht="35.450000000000003" hidden="1" customHeight="1">
      <c r="J1367" s="28">
        <f>IFERROR(VLOOKUP(TEXT(B1367,"0"),STOCK!A:H,7,0),1)</f>
        <v>1</v>
      </c>
    </row>
    <row r="1368" spans="10:10" ht="35.450000000000003" hidden="1" customHeight="1">
      <c r="J1368" s="28">
        <f>IFERROR(VLOOKUP(TEXT(B1368,"0"),STOCK!A:H,7,0),1)</f>
        <v>1</v>
      </c>
    </row>
    <row r="1369" spans="10:10" ht="35.450000000000003" hidden="1" customHeight="1">
      <c r="J1369" s="28">
        <f>IFERROR(VLOOKUP(TEXT(B1369,"0"),STOCK!A:H,7,0),1)</f>
        <v>1</v>
      </c>
    </row>
    <row r="1370" spans="10:10" ht="35.450000000000003" hidden="1" customHeight="1">
      <c r="J1370" s="28">
        <f>IFERROR(VLOOKUP(TEXT(B1370,"0"),STOCK!A:H,7,0),1)</f>
        <v>1</v>
      </c>
    </row>
    <row r="1371" spans="10:10" ht="35.450000000000003" hidden="1" customHeight="1">
      <c r="J1371" s="28">
        <f>IFERROR(VLOOKUP(TEXT(B1371,"0"),STOCK!A:H,7,0),1)</f>
        <v>1</v>
      </c>
    </row>
    <row r="1372" spans="10:10" ht="35.450000000000003" hidden="1" customHeight="1">
      <c r="J1372" s="28">
        <f>IFERROR(VLOOKUP(TEXT(B1372,"0"),STOCK!A:H,7,0),1)</f>
        <v>1</v>
      </c>
    </row>
    <row r="1373" spans="10:10" ht="35.450000000000003" hidden="1" customHeight="1">
      <c r="J1373" s="28">
        <f>IFERROR(VLOOKUP(TEXT(B1373,"0"),STOCK!A:H,7,0),1)</f>
        <v>1</v>
      </c>
    </row>
    <row r="1374" spans="10:10" ht="35.450000000000003" hidden="1" customHeight="1">
      <c r="J1374" s="28">
        <f>IFERROR(VLOOKUP(TEXT(B1374,"0"),STOCK!A:H,7,0),1)</f>
        <v>1</v>
      </c>
    </row>
    <row r="1375" spans="10:10" ht="35.450000000000003" hidden="1" customHeight="1">
      <c r="J1375" s="28">
        <f>IFERROR(VLOOKUP(TEXT(B1375,"0"),STOCK!A:H,7,0),1)</f>
        <v>1</v>
      </c>
    </row>
    <row r="1376" spans="10:10" ht="35.450000000000003" hidden="1" customHeight="1">
      <c r="J1376" s="28">
        <f>IFERROR(VLOOKUP(TEXT(B1376,"0"),STOCK!A:H,7,0),1)</f>
        <v>1</v>
      </c>
    </row>
    <row r="1377" spans="10:10" ht="35.450000000000003" hidden="1" customHeight="1">
      <c r="J1377" s="28">
        <f>IFERROR(VLOOKUP(TEXT(B1377,"0"),STOCK!A:H,7,0),1)</f>
        <v>1</v>
      </c>
    </row>
    <row r="1378" spans="10:10" ht="35.450000000000003" hidden="1" customHeight="1">
      <c r="J1378" s="28">
        <f>IFERROR(VLOOKUP(TEXT(B1378,"0"),STOCK!A:H,7,0),1)</f>
        <v>1</v>
      </c>
    </row>
    <row r="1379" spans="10:10" ht="35.450000000000003" hidden="1" customHeight="1">
      <c r="J1379" s="28">
        <f>IFERROR(VLOOKUP(TEXT(B1379,"0"),STOCK!A:H,7,0),1)</f>
        <v>1</v>
      </c>
    </row>
    <row r="1380" spans="10:10" ht="35.450000000000003" hidden="1" customHeight="1">
      <c r="J1380" s="28">
        <f>IFERROR(VLOOKUP(TEXT(B1380,"0"),STOCK!A:H,7,0),1)</f>
        <v>1</v>
      </c>
    </row>
    <row r="1381" spans="10:10" ht="35.450000000000003" hidden="1" customHeight="1">
      <c r="J1381" s="28">
        <f>IFERROR(VLOOKUP(TEXT(B1381,"0"),STOCK!A:H,7,0),1)</f>
        <v>1</v>
      </c>
    </row>
    <row r="1382" spans="10:10" ht="35.450000000000003" hidden="1" customHeight="1">
      <c r="J1382" s="28">
        <f>IFERROR(VLOOKUP(TEXT(B1382,"0"),STOCK!A:H,7,0),1)</f>
        <v>1</v>
      </c>
    </row>
    <row r="1383" spans="10:10" ht="35.450000000000003" hidden="1" customHeight="1">
      <c r="J1383" s="28">
        <f>IFERROR(VLOOKUP(TEXT(B1383,"0"),STOCK!A:H,7,0),1)</f>
        <v>1</v>
      </c>
    </row>
    <row r="1384" spans="10:10" ht="35.450000000000003" hidden="1" customHeight="1">
      <c r="J1384" s="28">
        <f>IFERROR(VLOOKUP(TEXT(B1384,"0"),STOCK!A:H,7,0),1)</f>
        <v>1</v>
      </c>
    </row>
    <row r="1385" spans="10:10" ht="35.450000000000003" hidden="1" customHeight="1">
      <c r="J1385" s="28">
        <f>IFERROR(VLOOKUP(TEXT(B1385,"0"),STOCK!A:H,7,0),1)</f>
        <v>1</v>
      </c>
    </row>
    <row r="1386" spans="10:10" ht="35.450000000000003" hidden="1" customHeight="1">
      <c r="J1386" s="28">
        <f>IFERROR(VLOOKUP(TEXT(B1386,"0"),STOCK!A:H,7,0),1)</f>
        <v>1</v>
      </c>
    </row>
    <row r="1387" spans="10:10" ht="35.450000000000003" hidden="1" customHeight="1">
      <c r="J1387" s="28">
        <f>IFERROR(VLOOKUP(TEXT(B1387,"0"),STOCK!A:H,7,0),1)</f>
        <v>1</v>
      </c>
    </row>
    <row r="1388" spans="10:10" ht="35.450000000000003" hidden="1" customHeight="1">
      <c r="J1388" s="28">
        <f>IFERROR(VLOOKUP(TEXT(B1388,"0"),STOCK!A:H,7,0),1)</f>
        <v>1</v>
      </c>
    </row>
    <row r="1389" spans="10:10" ht="35.450000000000003" hidden="1" customHeight="1">
      <c r="J1389" s="28">
        <f>IFERROR(VLOOKUP(TEXT(B1389,"0"),STOCK!A:H,7,0),1)</f>
        <v>1</v>
      </c>
    </row>
    <row r="1390" spans="10:10" ht="35.450000000000003" hidden="1" customHeight="1">
      <c r="J1390" s="28">
        <f>IFERROR(VLOOKUP(TEXT(B1390,"0"),STOCK!A:H,7,0),1)</f>
        <v>1</v>
      </c>
    </row>
    <row r="1391" spans="10:10" ht="35.450000000000003" hidden="1" customHeight="1">
      <c r="J1391" s="28">
        <f>IFERROR(VLOOKUP(TEXT(B1391,"0"),STOCK!A:H,7,0),1)</f>
        <v>1</v>
      </c>
    </row>
    <row r="1392" spans="10:10" ht="35.450000000000003" hidden="1" customHeight="1">
      <c r="J1392" s="28">
        <f>IFERROR(VLOOKUP(TEXT(B1392,"0"),STOCK!A:H,7,0),1)</f>
        <v>1</v>
      </c>
    </row>
    <row r="1393" spans="10:10" ht="35.450000000000003" hidden="1" customHeight="1">
      <c r="J1393" s="28">
        <f>IFERROR(VLOOKUP(TEXT(B1393,"0"),STOCK!A:H,7,0),1)</f>
        <v>1</v>
      </c>
    </row>
    <row r="1394" spans="10:10" ht="35.450000000000003" hidden="1" customHeight="1">
      <c r="J1394" s="28">
        <f>IFERROR(VLOOKUP(TEXT(B1394,"0"),STOCK!A:H,7,0),1)</f>
        <v>1</v>
      </c>
    </row>
    <row r="1395" spans="10:10" ht="35.450000000000003" hidden="1" customHeight="1">
      <c r="J1395" s="28">
        <f>IFERROR(VLOOKUP(TEXT(B1395,"0"),STOCK!A:H,7,0),1)</f>
        <v>1</v>
      </c>
    </row>
    <row r="1396" spans="10:10" ht="35.450000000000003" hidden="1" customHeight="1">
      <c r="J1396" s="28">
        <f>IFERROR(VLOOKUP(TEXT(B1396,"0"),STOCK!A:H,7,0),1)</f>
        <v>1</v>
      </c>
    </row>
    <row r="1397" spans="10:10" ht="35.450000000000003" hidden="1" customHeight="1">
      <c r="J1397" s="28">
        <f>IFERROR(VLOOKUP(TEXT(B1397,"0"),STOCK!A:H,7,0),1)</f>
        <v>1</v>
      </c>
    </row>
    <row r="1398" spans="10:10" ht="35.450000000000003" hidden="1" customHeight="1">
      <c r="J1398" s="28">
        <f>IFERROR(VLOOKUP(TEXT(B1398,"0"),STOCK!A:H,7,0),1)</f>
        <v>1</v>
      </c>
    </row>
    <row r="1399" spans="10:10" ht="35.450000000000003" hidden="1" customHeight="1">
      <c r="J1399" s="28">
        <f>IFERROR(VLOOKUP(TEXT(B1399,"0"),STOCK!A:H,7,0),1)</f>
        <v>1</v>
      </c>
    </row>
    <row r="1400" spans="10:10" ht="35.450000000000003" hidden="1" customHeight="1">
      <c r="J1400" s="28">
        <f>IFERROR(VLOOKUP(TEXT(B1400,"0"),STOCK!A:H,7,0),1)</f>
        <v>1</v>
      </c>
    </row>
    <row r="1401" spans="10:10" ht="35.450000000000003" hidden="1" customHeight="1">
      <c r="J1401" s="28">
        <f>IFERROR(VLOOKUP(TEXT(B1401,"0"),STOCK!A:H,7,0),1)</f>
        <v>1</v>
      </c>
    </row>
    <row r="1402" spans="10:10" ht="35.450000000000003" hidden="1" customHeight="1">
      <c r="J1402" s="28">
        <f>IFERROR(VLOOKUP(TEXT(B1402,"0"),STOCK!A:H,7,0),1)</f>
        <v>1</v>
      </c>
    </row>
    <row r="1403" spans="10:10" ht="35.450000000000003" hidden="1" customHeight="1">
      <c r="J1403" s="28">
        <f>IFERROR(VLOOKUP(TEXT(B1403,"0"),STOCK!A:H,7,0),1)</f>
        <v>1</v>
      </c>
    </row>
    <row r="1404" spans="10:10" ht="35.450000000000003" hidden="1" customHeight="1">
      <c r="J1404" s="28">
        <f>IFERROR(VLOOKUP(TEXT(B1404,"0"),STOCK!A:H,7,0),1)</f>
        <v>1</v>
      </c>
    </row>
    <row r="1405" spans="10:10" ht="35.450000000000003" hidden="1" customHeight="1">
      <c r="J1405" s="28">
        <f>IFERROR(VLOOKUP(TEXT(B1405,"0"),STOCK!A:H,7,0),1)</f>
        <v>1</v>
      </c>
    </row>
    <row r="1406" spans="10:10" ht="35.450000000000003" hidden="1" customHeight="1">
      <c r="J1406" s="28">
        <f>IFERROR(VLOOKUP(TEXT(B1406,"0"),STOCK!A:H,7,0),1)</f>
        <v>1</v>
      </c>
    </row>
    <row r="1407" spans="10:10" ht="35.450000000000003" hidden="1" customHeight="1">
      <c r="J1407" s="28">
        <f>IFERROR(VLOOKUP(TEXT(B1407,"0"),STOCK!A:H,7,0),1)</f>
        <v>1</v>
      </c>
    </row>
    <row r="1408" spans="10:10" ht="35.450000000000003" hidden="1" customHeight="1">
      <c r="J1408" s="28">
        <f>IFERROR(VLOOKUP(TEXT(B1408,"0"),STOCK!A:H,7,0),1)</f>
        <v>1</v>
      </c>
    </row>
    <row r="1409" spans="10:10" ht="35.450000000000003" hidden="1" customHeight="1">
      <c r="J1409" s="28">
        <f>IFERROR(VLOOKUP(TEXT(B1409,"0"),STOCK!A:H,7,0),1)</f>
        <v>1</v>
      </c>
    </row>
    <row r="1410" spans="10:10" ht="35.450000000000003" hidden="1" customHeight="1">
      <c r="J1410" s="28">
        <f>IFERROR(VLOOKUP(TEXT(B1410,"0"),STOCK!A:H,7,0),1)</f>
        <v>1</v>
      </c>
    </row>
    <row r="1411" spans="10:10" ht="35.450000000000003" hidden="1" customHeight="1">
      <c r="J1411" s="28">
        <f>IFERROR(VLOOKUP(TEXT(B1411,"0"),STOCK!A:H,7,0),1)</f>
        <v>1</v>
      </c>
    </row>
    <row r="1412" spans="10:10" ht="35.450000000000003" hidden="1" customHeight="1">
      <c r="J1412" s="28">
        <f>IFERROR(VLOOKUP(TEXT(B1412,"0"),STOCK!A:H,7,0),1)</f>
        <v>1</v>
      </c>
    </row>
    <row r="1413" spans="10:10" ht="35.450000000000003" hidden="1" customHeight="1">
      <c r="J1413" s="28">
        <f>IFERROR(VLOOKUP(TEXT(B1413,"0"),STOCK!A:H,7,0),1)</f>
        <v>1</v>
      </c>
    </row>
    <row r="1414" spans="10:10" ht="35.450000000000003" hidden="1" customHeight="1">
      <c r="J1414" s="28">
        <f>IFERROR(VLOOKUP(TEXT(B1414,"0"),STOCK!A:H,7,0),1)</f>
        <v>1</v>
      </c>
    </row>
    <row r="1415" spans="10:10" ht="35.450000000000003" hidden="1" customHeight="1">
      <c r="J1415" s="28">
        <f>IFERROR(VLOOKUP(TEXT(B1415,"0"),STOCK!A:H,7,0),1)</f>
        <v>1</v>
      </c>
    </row>
    <row r="1416" spans="10:10" ht="35.450000000000003" hidden="1" customHeight="1">
      <c r="J1416" s="28">
        <f>IFERROR(VLOOKUP(TEXT(B1416,"0"),STOCK!A:H,7,0),1)</f>
        <v>1</v>
      </c>
    </row>
    <row r="1417" spans="10:10" ht="35.450000000000003" hidden="1" customHeight="1">
      <c r="J1417" s="28">
        <f>IFERROR(VLOOKUP(TEXT(B1417,"0"),STOCK!A:H,7,0),1)</f>
        <v>1</v>
      </c>
    </row>
    <row r="1418" spans="10:10" ht="35.450000000000003" hidden="1" customHeight="1">
      <c r="J1418" s="28">
        <f>IFERROR(VLOOKUP(TEXT(B1418,"0"),STOCK!A:H,7,0),1)</f>
        <v>1</v>
      </c>
    </row>
    <row r="1419" spans="10:10" ht="35.450000000000003" hidden="1" customHeight="1">
      <c r="J1419" s="28">
        <f>IFERROR(VLOOKUP(TEXT(B1419,"0"),STOCK!A:H,7,0),1)</f>
        <v>1</v>
      </c>
    </row>
    <row r="1420" spans="10:10" ht="35.450000000000003" hidden="1" customHeight="1">
      <c r="J1420" s="28">
        <f>IFERROR(VLOOKUP(TEXT(B1420,"0"),STOCK!A:H,7,0),1)</f>
        <v>1</v>
      </c>
    </row>
    <row r="1421" spans="10:10" ht="35.450000000000003" hidden="1" customHeight="1">
      <c r="J1421" s="28">
        <f>IFERROR(VLOOKUP(TEXT(B1421,"0"),STOCK!A:H,7,0),1)</f>
        <v>1</v>
      </c>
    </row>
    <row r="1422" spans="10:10" ht="35.450000000000003" hidden="1" customHeight="1">
      <c r="J1422" s="28">
        <f>IFERROR(VLOOKUP(TEXT(B1422,"0"),STOCK!A:H,7,0),1)</f>
        <v>1</v>
      </c>
    </row>
    <row r="1423" spans="10:10" ht="35.450000000000003" hidden="1" customHeight="1">
      <c r="J1423" s="28">
        <f>IFERROR(VLOOKUP(TEXT(B1423,"0"),STOCK!A:H,7,0),1)</f>
        <v>1</v>
      </c>
    </row>
    <row r="1424" spans="10:10" ht="35.450000000000003" hidden="1" customHeight="1">
      <c r="J1424" s="28">
        <f>IFERROR(VLOOKUP(TEXT(B1424,"0"),STOCK!A:H,7,0),1)</f>
        <v>1</v>
      </c>
    </row>
    <row r="1425" spans="10:10" ht="35.450000000000003" hidden="1" customHeight="1">
      <c r="J1425" s="28">
        <f>IFERROR(VLOOKUP(TEXT(B1425,"0"),STOCK!A:H,7,0),1)</f>
        <v>1</v>
      </c>
    </row>
    <row r="1426" spans="10:10" ht="35.450000000000003" hidden="1" customHeight="1">
      <c r="J1426" s="28">
        <f>IFERROR(VLOOKUP(TEXT(B1426,"0"),STOCK!A:H,7,0),1)</f>
        <v>1</v>
      </c>
    </row>
    <row r="1427" spans="10:10" ht="35.450000000000003" hidden="1" customHeight="1">
      <c r="J1427" s="28">
        <f>IFERROR(VLOOKUP(TEXT(B1427,"0"),STOCK!A:H,7,0),1)</f>
        <v>1</v>
      </c>
    </row>
    <row r="1428" spans="10:10" ht="35.450000000000003" hidden="1" customHeight="1">
      <c r="J1428" s="28">
        <f>IFERROR(VLOOKUP(TEXT(B1428,"0"),STOCK!A:H,7,0),1)</f>
        <v>1</v>
      </c>
    </row>
    <row r="1429" spans="10:10" ht="35.450000000000003" hidden="1" customHeight="1">
      <c r="J1429" s="28">
        <f>IFERROR(VLOOKUP(TEXT(B1429,"0"),STOCK!A:H,7,0),1)</f>
        <v>1</v>
      </c>
    </row>
    <row r="1430" spans="10:10" ht="35.450000000000003" hidden="1" customHeight="1">
      <c r="J1430" s="28">
        <f>IFERROR(VLOOKUP(TEXT(B1430,"0"),STOCK!A:H,7,0),1)</f>
        <v>1</v>
      </c>
    </row>
    <row r="1431" spans="10:10" ht="35.450000000000003" hidden="1" customHeight="1">
      <c r="J1431" s="28">
        <f>IFERROR(VLOOKUP(TEXT(B1431,"0"),STOCK!A:H,7,0),1)</f>
        <v>1</v>
      </c>
    </row>
    <row r="1432" spans="10:10" ht="35.450000000000003" hidden="1" customHeight="1">
      <c r="J1432" s="28">
        <f>IFERROR(VLOOKUP(TEXT(B1432,"0"),STOCK!A:H,7,0),1)</f>
        <v>1</v>
      </c>
    </row>
    <row r="1433" spans="10:10" ht="35.450000000000003" hidden="1" customHeight="1">
      <c r="J1433" s="28">
        <f>IFERROR(VLOOKUP(TEXT(B1433,"0"),STOCK!A:H,7,0),1)</f>
        <v>1</v>
      </c>
    </row>
    <row r="1434" spans="10:10" ht="35.450000000000003" hidden="1" customHeight="1">
      <c r="J1434" s="28">
        <f>IFERROR(VLOOKUP(TEXT(B1434,"0"),STOCK!A:H,7,0),1)</f>
        <v>1</v>
      </c>
    </row>
    <row r="1435" spans="10:10" ht="35.450000000000003" hidden="1" customHeight="1">
      <c r="J1435" s="28">
        <f>IFERROR(VLOOKUP(TEXT(B1435,"0"),STOCK!A:H,7,0),1)</f>
        <v>1</v>
      </c>
    </row>
    <row r="1436" spans="10:10" ht="35.450000000000003" hidden="1" customHeight="1">
      <c r="J1436" s="28">
        <f>IFERROR(VLOOKUP(TEXT(B1436,"0"),STOCK!A:H,7,0),1)</f>
        <v>1</v>
      </c>
    </row>
    <row r="1437" spans="10:10" ht="35.450000000000003" hidden="1" customHeight="1">
      <c r="J1437" s="28">
        <f>IFERROR(VLOOKUP(TEXT(B1437,"0"),STOCK!A:H,7,0),1)</f>
        <v>1</v>
      </c>
    </row>
    <row r="1438" spans="10:10" ht="35.450000000000003" hidden="1" customHeight="1">
      <c r="J1438" s="28">
        <f>IFERROR(VLOOKUP(TEXT(B1438,"0"),STOCK!A:H,7,0),1)</f>
        <v>1</v>
      </c>
    </row>
    <row r="1439" spans="10:10" ht="35.450000000000003" hidden="1" customHeight="1">
      <c r="J1439" s="28">
        <f>IFERROR(VLOOKUP(TEXT(B1439,"0"),STOCK!A:H,7,0),1)</f>
        <v>1</v>
      </c>
    </row>
    <row r="1440" spans="10:10" ht="35.450000000000003" hidden="1" customHeight="1">
      <c r="J1440" s="28">
        <f>IFERROR(VLOOKUP(TEXT(B1440,"0"),STOCK!A:H,7,0),1)</f>
        <v>1</v>
      </c>
    </row>
    <row r="1441" spans="10:10" ht="35.450000000000003" hidden="1" customHeight="1">
      <c r="J1441" s="28">
        <f>IFERROR(VLOOKUP(TEXT(B1441,"0"),STOCK!A:H,7,0),1)</f>
        <v>1</v>
      </c>
    </row>
    <row r="1442" spans="10:10" ht="35.450000000000003" hidden="1" customHeight="1">
      <c r="J1442" s="28">
        <f>IFERROR(VLOOKUP(TEXT(B1442,"0"),STOCK!A:H,7,0),1)</f>
        <v>1</v>
      </c>
    </row>
    <row r="1443" spans="10:10" ht="35.450000000000003" hidden="1" customHeight="1">
      <c r="J1443" s="28">
        <f>IFERROR(VLOOKUP(TEXT(B1443,"0"),STOCK!A:H,7,0),1)</f>
        <v>1</v>
      </c>
    </row>
    <row r="1444" spans="10:10" ht="35.450000000000003" hidden="1" customHeight="1">
      <c r="J1444" s="28">
        <f>IFERROR(VLOOKUP(TEXT(B1444,"0"),STOCK!A:H,7,0),1)</f>
        <v>1</v>
      </c>
    </row>
    <row r="1445" spans="10:10" ht="35.450000000000003" hidden="1" customHeight="1">
      <c r="J1445" s="28">
        <f>IFERROR(VLOOKUP(TEXT(B1445,"0"),STOCK!A:H,7,0),1)</f>
        <v>1</v>
      </c>
    </row>
    <row r="1446" spans="10:10" ht="35.450000000000003" hidden="1" customHeight="1">
      <c r="J1446" s="28">
        <f>IFERROR(VLOOKUP(TEXT(B1446,"0"),STOCK!A:H,7,0),1)</f>
        <v>1</v>
      </c>
    </row>
    <row r="1447" spans="10:10" ht="35.450000000000003" hidden="1" customHeight="1">
      <c r="J1447" s="28">
        <f>IFERROR(VLOOKUP(TEXT(B1447,"0"),STOCK!A:H,7,0),1)</f>
        <v>1</v>
      </c>
    </row>
    <row r="1448" spans="10:10" ht="35.450000000000003" hidden="1" customHeight="1">
      <c r="J1448" s="28">
        <f>IFERROR(VLOOKUP(TEXT(B1448,"0"),STOCK!A:H,7,0),1)</f>
        <v>1</v>
      </c>
    </row>
    <row r="1449" spans="10:10" ht="35.450000000000003" hidden="1" customHeight="1">
      <c r="J1449" s="28">
        <f>IFERROR(VLOOKUP(TEXT(B1449,"0"),STOCK!A:H,7,0),1)</f>
        <v>1</v>
      </c>
    </row>
    <row r="1450" spans="10:10" ht="35.450000000000003" hidden="1" customHeight="1">
      <c r="J1450" s="28">
        <f>IFERROR(VLOOKUP(TEXT(B1450,"0"),STOCK!A:H,7,0),1)</f>
        <v>1</v>
      </c>
    </row>
    <row r="1451" spans="10:10" ht="35.450000000000003" hidden="1" customHeight="1">
      <c r="J1451" s="28">
        <f>IFERROR(VLOOKUP(TEXT(B1451,"0"),STOCK!A:H,7,0),1)</f>
        <v>1</v>
      </c>
    </row>
    <row r="1452" spans="10:10" ht="35.450000000000003" hidden="1" customHeight="1">
      <c r="J1452" s="28">
        <f>IFERROR(VLOOKUP(TEXT(B1452,"0"),STOCK!A:H,7,0),1)</f>
        <v>1</v>
      </c>
    </row>
    <row r="1453" spans="10:10" ht="35.450000000000003" hidden="1" customHeight="1">
      <c r="J1453" s="28">
        <f>IFERROR(VLOOKUP(TEXT(B1453,"0"),STOCK!A:H,7,0),1)</f>
        <v>1</v>
      </c>
    </row>
    <row r="1454" spans="10:10" ht="35.450000000000003" hidden="1" customHeight="1">
      <c r="J1454" s="28">
        <f>IFERROR(VLOOKUP(TEXT(B1454,"0"),STOCK!A:H,7,0),1)</f>
        <v>1</v>
      </c>
    </row>
    <row r="1455" spans="10:10" ht="35.450000000000003" hidden="1" customHeight="1">
      <c r="J1455" s="28">
        <f>IFERROR(VLOOKUP(TEXT(B1455,"0"),STOCK!A:H,7,0),1)</f>
        <v>1</v>
      </c>
    </row>
    <row r="1456" spans="10:10" ht="35.450000000000003" hidden="1" customHeight="1">
      <c r="J1456" s="28">
        <f>IFERROR(VLOOKUP(TEXT(B1456,"0"),STOCK!A:H,7,0),1)</f>
        <v>1</v>
      </c>
    </row>
    <row r="1457" spans="10:10" ht="35.450000000000003" hidden="1" customHeight="1">
      <c r="J1457" s="28">
        <f>IFERROR(VLOOKUP(TEXT(B1457,"0"),STOCK!A:H,7,0),1)</f>
        <v>1</v>
      </c>
    </row>
    <row r="1458" spans="10:10" ht="35.450000000000003" hidden="1" customHeight="1">
      <c r="J1458" s="28">
        <f>IFERROR(VLOOKUP(TEXT(B1458,"0"),STOCK!A:H,7,0),1)</f>
        <v>1</v>
      </c>
    </row>
    <row r="1459" spans="10:10" ht="35.450000000000003" hidden="1" customHeight="1">
      <c r="J1459" s="28">
        <f>IFERROR(VLOOKUP(TEXT(B1459,"0"),STOCK!A:H,7,0),1)</f>
        <v>1</v>
      </c>
    </row>
    <row r="1460" spans="10:10" ht="35.450000000000003" hidden="1" customHeight="1">
      <c r="J1460" s="28">
        <f>IFERROR(VLOOKUP(TEXT(B1460,"0"),STOCK!A:H,7,0),1)</f>
        <v>1</v>
      </c>
    </row>
    <row r="1461" spans="10:10" ht="35.450000000000003" hidden="1" customHeight="1">
      <c r="J1461" s="28">
        <f>IFERROR(VLOOKUP(TEXT(B1461,"0"),STOCK!A:H,7,0),1)</f>
        <v>1</v>
      </c>
    </row>
    <row r="1462" spans="10:10" ht="35.450000000000003" hidden="1" customHeight="1">
      <c r="J1462" s="28">
        <f>IFERROR(VLOOKUP(TEXT(B1462,"0"),STOCK!A:H,7,0),1)</f>
        <v>1</v>
      </c>
    </row>
    <row r="1463" spans="10:10" ht="35.450000000000003" hidden="1" customHeight="1">
      <c r="J1463" s="28">
        <f>IFERROR(VLOOKUP(TEXT(B1463,"0"),STOCK!A:H,7,0),1)</f>
        <v>1</v>
      </c>
    </row>
    <row r="1464" spans="10:10" ht="35.450000000000003" hidden="1" customHeight="1">
      <c r="J1464" s="28">
        <f>IFERROR(VLOOKUP(TEXT(B1464,"0"),STOCK!A:H,7,0),1)</f>
        <v>1</v>
      </c>
    </row>
    <row r="1465" spans="10:10" ht="35.450000000000003" hidden="1" customHeight="1">
      <c r="J1465" s="28">
        <f>IFERROR(VLOOKUP(TEXT(B1465,"0"),STOCK!A:H,7,0),1)</f>
        <v>1</v>
      </c>
    </row>
    <row r="1466" spans="10:10" ht="35.450000000000003" hidden="1" customHeight="1">
      <c r="J1466" s="28">
        <f>IFERROR(VLOOKUP(TEXT(B1466,"0"),STOCK!A:H,7,0),1)</f>
        <v>1</v>
      </c>
    </row>
    <row r="1467" spans="10:10" ht="35.450000000000003" hidden="1" customHeight="1">
      <c r="J1467" s="28">
        <f>IFERROR(VLOOKUP(TEXT(B1467,"0"),STOCK!A:H,7,0),1)</f>
        <v>1</v>
      </c>
    </row>
    <row r="1468" spans="10:10" ht="35.450000000000003" hidden="1" customHeight="1">
      <c r="J1468" s="28">
        <f>IFERROR(VLOOKUP(TEXT(B1468,"0"),STOCK!A:H,7,0),1)</f>
        <v>1</v>
      </c>
    </row>
    <row r="1469" spans="10:10" ht="35.450000000000003" hidden="1" customHeight="1">
      <c r="J1469" s="28">
        <f>IFERROR(VLOOKUP(TEXT(B1469,"0"),STOCK!A:H,7,0),1)</f>
        <v>1</v>
      </c>
    </row>
    <row r="1470" spans="10:10" ht="35.450000000000003" hidden="1" customHeight="1">
      <c r="J1470" s="28">
        <f>IFERROR(VLOOKUP(TEXT(B1470,"0"),STOCK!A:H,7,0),1)</f>
        <v>1</v>
      </c>
    </row>
    <row r="1471" spans="10:10" ht="35.450000000000003" hidden="1" customHeight="1">
      <c r="J1471" s="28">
        <f>IFERROR(VLOOKUP(TEXT(B1471,"0"),STOCK!A:H,7,0),1)</f>
        <v>1</v>
      </c>
    </row>
    <row r="1472" spans="10:10" ht="35.450000000000003" hidden="1" customHeight="1">
      <c r="J1472" s="28">
        <f>IFERROR(VLOOKUP(TEXT(B1472,"0"),STOCK!A:H,7,0),1)</f>
        <v>1</v>
      </c>
    </row>
    <row r="1473" spans="10:10" ht="35.450000000000003" hidden="1" customHeight="1">
      <c r="J1473" s="28">
        <f>IFERROR(VLOOKUP(TEXT(B1473,"0"),STOCK!A:H,7,0),1)</f>
        <v>1</v>
      </c>
    </row>
    <row r="1474" spans="10:10" ht="35.450000000000003" hidden="1" customHeight="1">
      <c r="J1474" s="28">
        <f>IFERROR(VLOOKUP(TEXT(B1474,"0"),STOCK!A:H,7,0),1)</f>
        <v>1</v>
      </c>
    </row>
    <row r="1475" spans="10:10" ht="35.450000000000003" hidden="1" customHeight="1">
      <c r="J1475" s="28">
        <f>IFERROR(VLOOKUP(TEXT(B1475,"0"),STOCK!A:H,7,0),1)</f>
        <v>1</v>
      </c>
    </row>
    <row r="1476" spans="10:10" ht="35.450000000000003" hidden="1" customHeight="1">
      <c r="J1476" s="28">
        <f>IFERROR(VLOOKUP(TEXT(B1476,"0"),STOCK!A:H,7,0),1)</f>
        <v>1</v>
      </c>
    </row>
    <row r="1477" spans="10:10" ht="35.450000000000003" hidden="1" customHeight="1">
      <c r="J1477" s="28">
        <f>IFERROR(VLOOKUP(TEXT(B1477,"0"),STOCK!A:H,7,0),1)</f>
        <v>1</v>
      </c>
    </row>
    <row r="1478" spans="10:10" ht="35.450000000000003" hidden="1" customHeight="1">
      <c r="J1478" s="28">
        <f>IFERROR(VLOOKUP(TEXT(B1478,"0"),STOCK!A:H,7,0),1)</f>
        <v>1</v>
      </c>
    </row>
    <row r="1479" spans="10:10" ht="35.450000000000003" hidden="1" customHeight="1">
      <c r="J1479" s="28">
        <f>IFERROR(VLOOKUP(TEXT(B1479,"0"),STOCK!A:H,7,0),1)</f>
        <v>1</v>
      </c>
    </row>
    <row r="1480" spans="10:10" ht="35.450000000000003" hidden="1" customHeight="1">
      <c r="J1480" s="28">
        <f>IFERROR(VLOOKUP(TEXT(B1480,"0"),STOCK!A:H,7,0),1)</f>
        <v>1</v>
      </c>
    </row>
    <row r="1481" spans="10:10" ht="35.450000000000003" hidden="1" customHeight="1">
      <c r="J1481" s="28">
        <f>IFERROR(VLOOKUP(TEXT(B1481,"0"),STOCK!A:H,7,0),1)</f>
        <v>1</v>
      </c>
    </row>
    <row r="1482" spans="10:10" ht="35.450000000000003" hidden="1" customHeight="1">
      <c r="J1482" s="28">
        <f>IFERROR(VLOOKUP(TEXT(B1482,"0"),STOCK!A:H,7,0),1)</f>
        <v>1</v>
      </c>
    </row>
    <row r="1483" spans="10:10" ht="35.450000000000003" hidden="1" customHeight="1">
      <c r="J1483" s="28">
        <f>IFERROR(VLOOKUP(TEXT(B1483,"0"),STOCK!A:H,7,0),1)</f>
        <v>1</v>
      </c>
    </row>
    <row r="1484" spans="10:10" ht="35.450000000000003" hidden="1" customHeight="1">
      <c r="J1484" s="28">
        <f>IFERROR(VLOOKUP(TEXT(B1484,"0"),STOCK!A:H,7,0),1)</f>
        <v>1</v>
      </c>
    </row>
    <row r="1485" spans="10:10" ht="35.450000000000003" hidden="1" customHeight="1">
      <c r="J1485" s="28">
        <f>IFERROR(VLOOKUP(TEXT(B1485,"0"),STOCK!A:H,7,0),1)</f>
        <v>1</v>
      </c>
    </row>
    <row r="1486" spans="10:10" ht="35.450000000000003" hidden="1" customHeight="1">
      <c r="J1486" s="28">
        <f>IFERROR(VLOOKUP(TEXT(B1486,"0"),STOCK!A:H,7,0),1)</f>
        <v>1</v>
      </c>
    </row>
    <row r="1487" spans="10:10" ht="35.450000000000003" hidden="1" customHeight="1">
      <c r="J1487" s="28">
        <f>IFERROR(VLOOKUP(TEXT(B1487,"0"),STOCK!A:H,7,0),1)</f>
        <v>1</v>
      </c>
    </row>
    <row r="1488" spans="10:10" ht="35.450000000000003" hidden="1" customHeight="1">
      <c r="J1488" s="28">
        <f>IFERROR(VLOOKUP(TEXT(B1488,"0"),STOCK!A:H,7,0),1)</f>
        <v>1</v>
      </c>
    </row>
    <row r="1489" spans="10:10" ht="35.450000000000003" hidden="1" customHeight="1">
      <c r="J1489" s="28">
        <f>IFERROR(VLOOKUP(TEXT(B1489,"0"),STOCK!A:H,7,0),1)</f>
        <v>1</v>
      </c>
    </row>
    <row r="1490" spans="10:10" ht="35.450000000000003" hidden="1" customHeight="1">
      <c r="J1490" s="28">
        <f>IFERROR(VLOOKUP(TEXT(B1490,"0"),STOCK!A:H,7,0),1)</f>
        <v>1</v>
      </c>
    </row>
    <row r="1491" spans="10:10" ht="35.450000000000003" hidden="1" customHeight="1">
      <c r="J1491" s="28">
        <f>IFERROR(VLOOKUP(TEXT(B1491,"0"),STOCK!A:H,7,0),1)</f>
        <v>1</v>
      </c>
    </row>
    <row r="1492" spans="10:10" ht="35.450000000000003" hidden="1" customHeight="1">
      <c r="J1492" s="28">
        <f>IFERROR(VLOOKUP(TEXT(B1492,"0"),STOCK!A:H,7,0),1)</f>
        <v>1</v>
      </c>
    </row>
    <row r="1493" spans="10:10" ht="35.450000000000003" hidden="1" customHeight="1">
      <c r="J1493" s="28">
        <f>IFERROR(VLOOKUP(TEXT(B1493,"0"),STOCK!A:H,7,0),1)</f>
        <v>1</v>
      </c>
    </row>
    <row r="1494" spans="10:10" ht="35.450000000000003" hidden="1" customHeight="1">
      <c r="J1494" s="28">
        <f>IFERROR(VLOOKUP(TEXT(B1494,"0"),STOCK!A:H,7,0),1)</f>
        <v>1</v>
      </c>
    </row>
    <row r="1495" spans="10:10" ht="35.450000000000003" hidden="1" customHeight="1">
      <c r="J1495" s="28">
        <f>IFERROR(VLOOKUP(TEXT(B1495,"0"),STOCK!A:H,7,0),1)</f>
        <v>1</v>
      </c>
    </row>
    <row r="1496" spans="10:10" ht="35.450000000000003" hidden="1" customHeight="1">
      <c r="J1496" s="28">
        <f>IFERROR(VLOOKUP(TEXT(B1496,"0"),STOCK!A:H,7,0),1)</f>
        <v>1</v>
      </c>
    </row>
    <row r="1497" spans="10:10" ht="35.450000000000003" hidden="1" customHeight="1">
      <c r="J1497" s="28">
        <f>IFERROR(VLOOKUP(TEXT(B1497,"0"),STOCK!A:H,7,0),1)</f>
        <v>1</v>
      </c>
    </row>
    <row r="1498" spans="10:10" ht="35.450000000000003" hidden="1" customHeight="1">
      <c r="J1498" s="28">
        <f>IFERROR(VLOOKUP(TEXT(B1498,"0"),STOCK!A:H,7,0),1)</f>
        <v>1</v>
      </c>
    </row>
    <row r="1499" spans="10:10" ht="35.450000000000003" hidden="1" customHeight="1">
      <c r="J1499" s="28">
        <f>IFERROR(VLOOKUP(TEXT(B1499,"0"),STOCK!A:H,7,0),1)</f>
        <v>1</v>
      </c>
    </row>
    <row r="1500" spans="10:10" ht="35.450000000000003" hidden="1" customHeight="1">
      <c r="J1500" s="28">
        <f>IFERROR(VLOOKUP(TEXT(B1500,"0"),STOCK!A:H,7,0),1)</f>
        <v>1</v>
      </c>
    </row>
    <row r="1501" spans="10:10" ht="35.450000000000003" hidden="1" customHeight="1">
      <c r="J1501" s="28">
        <f>IFERROR(VLOOKUP(TEXT(B1501,"0"),STOCK!A:H,7,0),1)</f>
        <v>1</v>
      </c>
    </row>
    <row r="1502" spans="10:10" ht="35.450000000000003" hidden="1" customHeight="1">
      <c r="J1502" s="28">
        <f>IFERROR(VLOOKUP(TEXT(B1502,"0"),STOCK!A:H,7,0),1)</f>
        <v>1</v>
      </c>
    </row>
    <row r="1503" spans="10:10" ht="35.450000000000003" hidden="1" customHeight="1">
      <c r="J1503" s="28">
        <f>IFERROR(VLOOKUP(TEXT(B1503,"0"),STOCK!A:H,7,0),1)</f>
        <v>1</v>
      </c>
    </row>
    <row r="1504" spans="10:10" ht="35.450000000000003" hidden="1" customHeight="1">
      <c r="J1504" s="28">
        <f>IFERROR(VLOOKUP(TEXT(B1504,"0"),STOCK!A:H,7,0),1)</f>
        <v>1</v>
      </c>
    </row>
    <row r="1505" spans="10:10" ht="35.450000000000003" hidden="1" customHeight="1">
      <c r="J1505" s="28">
        <f>IFERROR(VLOOKUP(TEXT(B1505,"0"),STOCK!A:H,7,0),1)</f>
        <v>1</v>
      </c>
    </row>
    <row r="1506" spans="10:10" ht="35.450000000000003" hidden="1" customHeight="1">
      <c r="J1506" s="28">
        <f>IFERROR(VLOOKUP(TEXT(B1506,"0"),STOCK!A:H,7,0),1)</f>
        <v>1</v>
      </c>
    </row>
    <row r="1507" spans="10:10" ht="35.450000000000003" hidden="1" customHeight="1">
      <c r="J1507" s="28">
        <f>IFERROR(VLOOKUP(TEXT(B1507,"0"),STOCK!A:H,7,0),1)</f>
        <v>1</v>
      </c>
    </row>
    <row r="1508" spans="10:10" ht="35.450000000000003" hidden="1" customHeight="1">
      <c r="J1508" s="28">
        <f>IFERROR(VLOOKUP(TEXT(B1508,"0"),STOCK!A:H,7,0),1)</f>
        <v>1</v>
      </c>
    </row>
    <row r="1509" spans="10:10" ht="35.450000000000003" hidden="1" customHeight="1">
      <c r="J1509" s="28">
        <f>IFERROR(VLOOKUP(TEXT(B1509,"0"),STOCK!A:H,7,0),1)</f>
        <v>1</v>
      </c>
    </row>
    <row r="1510" spans="10:10" ht="35.450000000000003" hidden="1" customHeight="1">
      <c r="J1510" s="28">
        <f>IFERROR(VLOOKUP(TEXT(B1510,"0"),STOCK!A:H,7,0),1)</f>
        <v>1</v>
      </c>
    </row>
    <row r="1511" spans="10:10" ht="35.450000000000003" hidden="1" customHeight="1">
      <c r="J1511" s="28">
        <f>IFERROR(VLOOKUP(TEXT(B1511,"0"),STOCK!A:H,7,0),1)</f>
        <v>1</v>
      </c>
    </row>
    <row r="1512" spans="10:10" ht="35.450000000000003" hidden="1" customHeight="1">
      <c r="J1512" s="28">
        <f>IFERROR(VLOOKUP(TEXT(B1512,"0"),STOCK!A:H,7,0),1)</f>
        <v>1</v>
      </c>
    </row>
    <row r="1513" spans="10:10" ht="35.450000000000003" hidden="1" customHeight="1">
      <c r="J1513" s="28">
        <f>IFERROR(VLOOKUP(TEXT(B1513,"0"),STOCK!A:H,7,0),1)</f>
        <v>1</v>
      </c>
    </row>
    <row r="1514" spans="10:10" ht="35.450000000000003" hidden="1" customHeight="1">
      <c r="J1514" s="28">
        <f>IFERROR(VLOOKUP(TEXT(B1514,"0"),STOCK!A:H,7,0),1)</f>
        <v>1</v>
      </c>
    </row>
    <row r="1515" spans="10:10" ht="35.450000000000003" hidden="1" customHeight="1">
      <c r="J1515" s="28">
        <f>IFERROR(VLOOKUP(TEXT(B1515,"0"),STOCK!A:H,7,0),1)</f>
        <v>1</v>
      </c>
    </row>
    <row r="1516" spans="10:10" ht="35.450000000000003" hidden="1" customHeight="1">
      <c r="J1516" s="28">
        <f>IFERROR(VLOOKUP(TEXT(B1516,"0"),STOCK!A:H,7,0),1)</f>
        <v>1</v>
      </c>
    </row>
    <row r="1517" spans="10:10" ht="35.450000000000003" hidden="1" customHeight="1">
      <c r="J1517" s="28">
        <f>IFERROR(VLOOKUP(TEXT(B1517,"0"),STOCK!A:H,7,0),1)</f>
        <v>1</v>
      </c>
    </row>
    <row r="1518" spans="10:10" ht="35.450000000000003" hidden="1" customHeight="1">
      <c r="J1518" s="28">
        <f>IFERROR(VLOOKUP(TEXT(B1518,"0"),STOCK!A:H,7,0),1)</f>
        <v>1</v>
      </c>
    </row>
    <row r="1519" spans="10:10" ht="35.450000000000003" hidden="1" customHeight="1">
      <c r="J1519" s="28">
        <f>IFERROR(VLOOKUP(TEXT(B1519,"0"),STOCK!A:H,7,0),1)</f>
        <v>1</v>
      </c>
    </row>
    <row r="1520" spans="10:10" ht="35.450000000000003" hidden="1" customHeight="1">
      <c r="J1520" s="28">
        <f>IFERROR(VLOOKUP(TEXT(B1520,"0"),STOCK!A:H,7,0),1)</f>
        <v>1</v>
      </c>
    </row>
    <row r="1521" spans="10:10" ht="35.450000000000003" hidden="1" customHeight="1">
      <c r="J1521" s="28">
        <f>IFERROR(VLOOKUP(TEXT(B1521,"0"),STOCK!A:H,7,0),1)</f>
        <v>1</v>
      </c>
    </row>
    <row r="1522" spans="10:10" ht="35.450000000000003" hidden="1" customHeight="1">
      <c r="J1522" s="28">
        <f>IFERROR(VLOOKUP(TEXT(B1522,"0"),STOCK!A:H,7,0),1)</f>
        <v>1</v>
      </c>
    </row>
    <row r="1523" spans="10:10" ht="35.450000000000003" hidden="1" customHeight="1">
      <c r="J1523" s="28">
        <f>IFERROR(VLOOKUP(TEXT(B1523,"0"),STOCK!A:H,7,0),1)</f>
        <v>1</v>
      </c>
    </row>
    <row r="1524" spans="10:10" ht="35.450000000000003" hidden="1" customHeight="1">
      <c r="J1524" s="28">
        <f>IFERROR(VLOOKUP(TEXT(B1524,"0"),STOCK!A:H,7,0),1)</f>
        <v>1</v>
      </c>
    </row>
    <row r="1525" spans="10:10" ht="35.450000000000003" hidden="1" customHeight="1">
      <c r="J1525" s="28">
        <f>IFERROR(VLOOKUP(TEXT(B1525,"0"),STOCK!A:H,7,0),1)</f>
        <v>1</v>
      </c>
    </row>
    <row r="1526" spans="10:10" ht="35.450000000000003" hidden="1" customHeight="1">
      <c r="J1526" s="28">
        <f>IFERROR(VLOOKUP(TEXT(B1526,"0"),STOCK!A:H,7,0),1)</f>
        <v>1</v>
      </c>
    </row>
    <row r="1527" spans="10:10" ht="35.450000000000003" hidden="1" customHeight="1">
      <c r="J1527" s="28">
        <f>IFERROR(VLOOKUP(TEXT(B1527,"0"),STOCK!A:H,7,0),1)</f>
        <v>1</v>
      </c>
    </row>
    <row r="1528" spans="10:10" ht="35.450000000000003" hidden="1" customHeight="1">
      <c r="J1528" s="28">
        <f>IFERROR(VLOOKUP(TEXT(B1528,"0"),STOCK!A:H,7,0),1)</f>
        <v>1</v>
      </c>
    </row>
    <row r="1529" spans="10:10" ht="35.450000000000003" hidden="1" customHeight="1">
      <c r="J1529" s="28">
        <f>IFERROR(VLOOKUP(TEXT(B1529,"0"),STOCK!A:H,7,0),1)</f>
        <v>1</v>
      </c>
    </row>
    <row r="1530" spans="10:10" ht="35.450000000000003" hidden="1" customHeight="1">
      <c r="J1530" s="28">
        <f>IFERROR(VLOOKUP(TEXT(B1530,"0"),STOCK!A:H,7,0),1)</f>
        <v>1</v>
      </c>
    </row>
    <row r="1531" spans="10:10" ht="35.450000000000003" hidden="1" customHeight="1">
      <c r="J1531" s="28">
        <f>IFERROR(VLOOKUP(TEXT(B1531,"0"),STOCK!A:H,7,0),1)</f>
        <v>1</v>
      </c>
    </row>
    <row r="1532" spans="10:10" ht="35.450000000000003" hidden="1" customHeight="1">
      <c r="J1532" s="28">
        <f>IFERROR(VLOOKUP(TEXT(B1532,"0"),STOCK!A:H,7,0),1)</f>
        <v>1</v>
      </c>
    </row>
    <row r="1533" spans="10:10" ht="35.450000000000003" hidden="1" customHeight="1">
      <c r="J1533" s="28">
        <f>IFERROR(VLOOKUP(TEXT(B1533,"0"),STOCK!A:H,7,0),1)</f>
        <v>1</v>
      </c>
    </row>
    <row r="1534" spans="10:10" ht="35.450000000000003" hidden="1" customHeight="1">
      <c r="J1534" s="28">
        <f>IFERROR(VLOOKUP(TEXT(B1534,"0"),STOCK!A:H,7,0),1)</f>
        <v>1</v>
      </c>
    </row>
    <row r="1535" spans="10:10" ht="35.450000000000003" hidden="1" customHeight="1">
      <c r="J1535" s="28">
        <f>IFERROR(VLOOKUP(TEXT(B1535,"0"),STOCK!A:H,7,0),1)</f>
        <v>1</v>
      </c>
    </row>
    <row r="1536" spans="10:10" ht="35.450000000000003" hidden="1" customHeight="1">
      <c r="J1536" s="28">
        <f>IFERROR(VLOOKUP(TEXT(B1536,"0"),STOCK!A:H,7,0),1)</f>
        <v>1</v>
      </c>
    </row>
    <row r="1537" spans="10:10" ht="35.450000000000003" hidden="1" customHeight="1">
      <c r="J1537" s="28">
        <f>IFERROR(VLOOKUP(TEXT(B1537,"0"),STOCK!A:H,7,0),1)</f>
        <v>1</v>
      </c>
    </row>
    <row r="1538" spans="10:10" ht="35.450000000000003" hidden="1" customHeight="1">
      <c r="J1538" s="28">
        <f>IFERROR(VLOOKUP(TEXT(B1538,"0"),STOCK!A:H,7,0),1)</f>
        <v>1</v>
      </c>
    </row>
    <row r="1539" spans="10:10" ht="35.450000000000003" hidden="1" customHeight="1">
      <c r="J1539" s="28">
        <f>IFERROR(VLOOKUP(TEXT(B1539,"0"),STOCK!A:H,7,0),1)</f>
        <v>1</v>
      </c>
    </row>
    <row r="1540" spans="10:10" ht="35.450000000000003" hidden="1" customHeight="1">
      <c r="J1540" s="28">
        <f>IFERROR(VLOOKUP(TEXT(B1540,"0"),STOCK!A:H,7,0),1)</f>
        <v>1</v>
      </c>
    </row>
    <row r="1541" spans="10:10" ht="35.450000000000003" hidden="1" customHeight="1">
      <c r="J1541" s="28">
        <f>IFERROR(VLOOKUP(TEXT(B1541,"0"),STOCK!A:H,7,0),1)</f>
        <v>1</v>
      </c>
    </row>
    <row r="1542" spans="10:10" ht="35.450000000000003" hidden="1" customHeight="1">
      <c r="J1542" s="28">
        <f>IFERROR(VLOOKUP(TEXT(B1542,"0"),STOCK!A:H,7,0),1)</f>
        <v>1</v>
      </c>
    </row>
    <row r="1543" spans="10:10" ht="35.450000000000003" hidden="1" customHeight="1">
      <c r="J1543" s="28">
        <f>IFERROR(VLOOKUP(TEXT(B1543,"0"),STOCK!A:H,7,0),1)</f>
        <v>1</v>
      </c>
    </row>
    <row r="1544" spans="10:10" ht="35.450000000000003" hidden="1" customHeight="1">
      <c r="J1544" s="28">
        <f>IFERROR(VLOOKUP(TEXT(B1544,"0"),STOCK!A:H,7,0),1)</f>
        <v>1</v>
      </c>
    </row>
    <row r="1545" spans="10:10" ht="35.450000000000003" hidden="1" customHeight="1">
      <c r="J1545" s="28">
        <f>IFERROR(VLOOKUP(TEXT(B1545,"0"),STOCK!A:H,7,0),1)</f>
        <v>1</v>
      </c>
    </row>
    <row r="1546" spans="10:10" ht="35.450000000000003" hidden="1" customHeight="1">
      <c r="J1546" s="28">
        <f>IFERROR(VLOOKUP(TEXT(B1546,"0"),STOCK!A:H,7,0),1)</f>
        <v>1</v>
      </c>
    </row>
    <row r="1547" spans="10:10" ht="35.450000000000003" hidden="1" customHeight="1">
      <c r="J1547" s="28">
        <f>IFERROR(VLOOKUP(TEXT(B1547,"0"),STOCK!A:H,7,0),1)</f>
        <v>1</v>
      </c>
    </row>
    <row r="1548" spans="10:10" ht="35.450000000000003" hidden="1" customHeight="1">
      <c r="J1548" s="28">
        <f>IFERROR(VLOOKUP(TEXT(B1548,"0"),STOCK!A:H,7,0),1)</f>
        <v>1</v>
      </c>
    </row>
    <row r="1549" spans="10:10" ht="35.450000000000003" hidden="1" customHeight="1">
      <c r="J1549" s="28">
        <f>IFERROR(VLOOKUP(TEXT(B1549,"0"),STOCK!A:H,7,0),1)</f>
        <v>1</v>
      </c>
    </row>
    <row r="1550" spans="10:10" ht="35.450000000000003" hidden="1" customHeight="1">
      <c r="J1550" s="28">
        <f>IFERROR(VLOOKUP(TEXT(B1550,"0"),STOCK!A:H,7,0),1)</f>
        <v>1</v>
      </c>
    </row>
    <row r="1551" spans="10:10" ht="35.450000000000003" hidden="1" customHeight="1">
      <c r="J1551" s="28">
        <f>IFERROR(VLOOKUP(TEXT(B1551,"0"),STOCK!A:H,7,0),1)</f>
        <v>1</v>
      </c>
    </row>
    <row r="1552" spans="10:10" ht="35.450000000000003" hidden="1" customHeight="1">
      <c r="J1552" s="28">
        <f>IFERROR(VLOOKUP(TEXT(B1552,"0"),STOCK!A:H,7,0),1)</f>
        <v>1</v>
      </c>
    </row>
    <row r="1553" spans="10:10" ht="35.450000000000003" hidden="1" customHeight="1">
      <c r="J1553" s="28">
        <f>IFERROR(VLOOKUP(TEXT(B1553,"0"),STOCK!A:H,7,0),1)</f>
        <v>1</v>
      </c>
    </row>
    <row r="1554" spans="10:10" ht="35.450000000000003" hidden="1" customHeight="1">
      <c r="J1554" s="28">
        <f>IFERROR(VLOOKUP(TEXT(B1554,"0"),STOCK!A:H,7,0),1)</f>
        <v>1</v>
      </c>
    </row>
    <row r="1555" spans="10:10" ht="35.450000000000003" hidden="1" customHeight="1">
      <c r="J1555" s="28">
        <f>IFERROR(VLOOKUP(TEXT(B1555,"0"),STOCK!A:H,7,0),1)</f>
        <v>1</v>
      </c>
    </row>
    <row r="1556" spans="10:10" ht="35.450000000000003" hidden="1" customHeight="1">
      <c r="J1556" s="28">
        <f>IFERROR(VLOOKUP(TEXT(B1556,"0"),STOCK!A:H,7,0),1)</f>
        <v>1</v>
      </c>
    </row>
    <row r="1557" spans="10:10" ht="35.450000000000003" hidden="1" customHeight="1">
      <c r="J1557" s="28">
        <f>IFERROR(VLOOKUP(TEXT(B1557,"0"),STOCK!A:H,7,0),1)</f>
        <v>1</v>
      </c>
    </row>
    <row r="1558" spans="10:10" ht="35.450000000000003" hidden="1" customHeight="1">
      <c r="J1558" s="28">
        <f>IFERROR(VLOOKUP(TEXT(B1558,"0"),STOCK!A:H,7,0),1)</f>
        <v>1</v>
      </c>
    </row>
    <row r="1559" spans="10:10" ht="35.450000000000003" hidden="1" customHeight="1">
      <c r="J1559" s="28">
        <f>IFERROR(VLOOKUP(TEXT(B1559,"0"),STOCK!A:H,7,0),1)</f>
        <v>1</v>
      </c>
    </row>
    <row r="1560" spans="10:10" ht="35.450000000000003" hidden="1" customHeight="1">
      <c r="J1560" s="28">
        <f>IFERROR(VLOOKUP(TEXT(B1560,"0"),STOCK!A:H,7,0),1)</f>
        <v>1</v>
      </c>
    </row>
    <row r="1561" spans="10:10" ht="35.450000000000003" hidden="1" customHeight="1">
      <c r="J1561" s="28">
        <f>IFERROR(VLOOKUP(TEXT(B1561,"0"),STOCK!A:H,7,0),1)</f>
        <v>1</v>
      </c>
    </row>
    <row r="1562" spans="10:10" ht="35.450000000000003" hidden="1" customHeight="1">
      <c r="J1562" s="28">
        <f>IFERROR(VLOOKUP(TEXT(B1562,"0"),STOCK!A:H,7,0),1)</f>
        <v>1</v>
      </c>
    </row>
    <row r="1563" spans="10:10" ht="35.450000000000003" hidden="1" customHeight="1">
      <c r="J1563" s="28">
        <f>IFERROR(VLOOKUP(TEXT(B1563,"0"),STOCK!A:H,7,0),1)</f>
        <v>1</v>
      </c>
    </row>
    <row r="1564" spans="10:10" ht="35.450000000000003" hidden="1" customHeight="1">
      <c r="J1564" s="28">
        <f>IFERROR(VLOOKUP(TEXT(B1564,"0"),STOCK!A:H,7,0),1)</f>
        <v>1</v>
      </c>
    </row>
    <row r="1565" spans="10:10" ht="35.450000000000003" hidden="1" customHeight="1">
      <c r="J1565" s="28">
        <f>IFERROR(VLOOKUP(TEXT(B1565,"0"),STOCK!A:H,7,0),1)</f>
        <v>1</v>
      </c>
    </row>
    <row r="1566" spans="10:10" ht="35.450000000000003" hidden="1" customHeight="1">
      <c r="J1566" s="28">
        <f>IFERROR(VLOOKUP(TEXT(B1566,"0"),STOCK!A:H,7,0),1)</f>
        <v>1</v>
      </c>
    </row>
    <row r="1567" spans="10:10" ht="35.450000000000003" hidden="1" customHeight="1">
      <c r="J1567" s="28">
        <f>IFERROR(VLOOKUP(TEXT(B1567,"0"),STOCK!A:H,7,0),1)</f>
        <v>1</v>
      </c>
    </row>
    <row r="1568" spans="10:10" ht="35.450000000000003" hidden="1" customHeight="1">
      <c r="J1568" s="28">
        <f>IFERROR(VLOOKUP(TEXT(B1568,"0"),STOCK!A:H,7,0),1)</f>
        <v>1</v>
      </c>
    </row>
    <row r="1569" spans="10:10" ht="35.450000000000003" hidden="1" customHeight="1">
      <c r="J1569" s="28">
        <f>IFERROR(VLOOKUP(TEXT(B1569,"0"),STOCK!A:H,7,0),1)</f>
        <v>1</v>
      </c>
    </row>
    <row r="1570" spans="10:10" ht="35.450000000000003" hidden="1" customHeight="1">
      <c r="J1570" s="28">
        <f>IFERROR(VLOOKUP(TEXT(B1570,"0"),STOCK!A:H,7,0),1)</f>
        <v>1</v>
      </c>
    </row>
    <row r="1571" spans="10:10" ht="35.450000000000003" hidden="1" customHeight="1">
      <c r="J1571" s="28">
        <f>IFERROR(VLOOKUP(TEXT(B1571,"0"),STOCK!A:H,7,0),1)</f>
        <v>1</v>
      </c>
    </row>
    <row r="1572" spans="10:10" ht="35.450000000000003" hidden="1" customHeight="1">
      <c r="J1572" s="28">
        <f>IFERROR(VLOOKUP(TEXT(B1572,"0"),STOCK!A:H,7,0),1)</f>
        <v>1</v>
      </c>
    </row>
    <row r="1573" spans="10:10" ht="35.450000000000003" hidden="1" customHeight="1">
      <c r="J1573" s="28">
        <f>IFERROR(VLOOKUP(TEXT(B1573,"0"),STOCK!A:H,7,0),1)</f>
        <v>1</v>
      </c>
    </row>
    <row r="1574" spans="10:10" ht="35.450000000000003" hidden="1" customHeight="1">
      <c r="J1574" s="28">
        <f>IFERROR(VLOOKUP(TEXT(B1574,"0"),STOCK!A:H,7,0),1)</f>
        <v>1</v>
      </c>
    </row>
    <row r="1575" spans="10:10" ht="35.450000000000003" hidden="1" customHeight="1">
      <c r="J1575" s="28">
        <f>IFERROR(VLOOKUP(TEXT(B1575,"0"),STOCK!A:H,7,0),1)</f>
        <v>1</v>
      </c>
    </row>
    <row r="1576" spans="10:10" ht="35.450000000000003" hidden="1" customHeight="1">
      <c r="J1576" s="28">
        <f>IFERROR(VLOOKUP(TEXT(B1576,"0"),STOCK!A:H,7,0),1)</f>
        <v>1</v>
      </c>
    </row>
    <row r="1577" spans="10:10" ht="35.450000000000003" hidden="1" customHeight="1">
      <c r="J1577" s="28">
        <f>IFERROR(VLOOKUP(TEXT(B1577,"0"),STOCK!A:H,7,0),1)</f>
        <v>1</v>
      </c>
    </row>
    <row r="1578" spans="10:10" ht="35.450000000000003" hidden="1" customHeight="1">
      <c r="J1578" s="28">
        <f>IFERROR(VLOOKUP(TEXT(B1578,"0"),STOCK!A:H,7,0),1)</f>
        <v>1</v>
      </c>
    </row>
    <row r="1579" spans="10:10" ht="35.450000000000003" hidden="1" customHeight="1">
      <c r="J1579" s="28">
        <f>IFERROR(VLOOKUP(TEXT(B1579,"0"),STOCK!A:H,7,0),1)</f>
        <v>1</v>
      </c>
    </row>
    <row r="1580" spans="10:10" ht="35.450000000000003" hidden="1" customHeight="1">
      <c r="J1580" s="28">
        <f>IFERROR(VLOOKUP(TEXT(B1580,"0"),STOCK!A:H,7,0),1)</f>
        <v>1</v>
      </c>
    </row>
    <row r="1581" spans="10:10" ht="35.450000000000003" hidden="1" customHeight="1">
      <c r="J1581" s="28">
        <f>IFERROR(VLOOKUP(TEXT(B1581,"0"),STOCK!A:H,7,0),1)</f>
        <v>1</v>
      </c>
    </row>
    <row r="1582" spans="10:10" ht="35.450000000000003" hidden="1" customHeight="1">
      <c r="J1582" s="28">
        <f>IFERROR(VLOOKUP(TEXT(B1582,"0"),STOCK!A:H,7,0),1)</f>
        <v>1</v>
      </c>
    </row>
    <row r="1583" spans="10:10" ht="35.450000000000003" hidden="1" customHeight="1">
      <c r="J1583" s="28">
        <f>IFERROR(VLOOKUP(TEXT(B1583,"0"),STOCK!A:H,7,0),1)</f>
        <v>1</v>
      </c>
    </row>
    <row r="1584" spans="10:10" ht="35.450000000000003" hidden="1" customHeight="1">
      <c r="J1584" s="28">
        <f>IFERROR(VLOOKUP(TEXT(B1584,"0"),STOCK!A:H,7,0),1)</f>
        <v>1</v>
      </c>
    </row>
    <row r="1585" spans="10:10" ht="35.450000000000003" hidden="1" customHeight="1">
      <c r="J1585" s="28">
        <f>IFERROR(VLOOKUP(TEXT(B1585,"0"),STOCK!A:H,7,0),1)</f>
        <v>1</v>
      </c>
    </row>
    <row r="1586" spans="10:10" ht="35.450000000000003" hidden="1" customHeight="1">
      <c r="J1586" s="28">
        <f>IFERROR(VLOOKUP(TEXT(B1586,"0"),STOCK!A:H,7,0),1)</f>
        <v>1</v>
      </c>
    </row>
    <row r="1587" spans="10:10" ht="35.450000000000003" hidden="1" customHeight="1">
      <c r="J1587" s="28">
        <f>IFERROR(VLOOKUP(TEXT(B1587,"0"),STOCK!A:H,7,0),1)</f>
        <v>1</v>
      </c>
    </row>
    <row r="1588" spans="10:10" ht="35.450000000000003" hidden="1" customHeight="1">
      <c r="J1588" s="28">
        <f>IFERROR(VLOOKUP(TEXT(B1588,"0"),STOCK!A:H,7,0),1)</f>
        <v>1</v>
      </c>
    </row>
    <row r="1589" spans="10:10" ht="35.450000000000003" hidden="1" customHeight="1">
      <c r="J1589" s="28">
        <f>IFERROR(VLOOKUP(TEXT(B1589,"0"),STOCK!A:H,7,0),1)</f>
        <v>1</v>
      </c>
    </row>
    <row r="1590" spans="10:10" ht="35.450000000000003" hidden="1" customHeight="1">
      <c r="J1590" s="28">
        <f>IFERROR(VLOOKUP(TEXT(B1590,"0"),STOCK!A:H,7,0),1)</f>
        <v>1</v>
      </c>
    </row>
    <row r="1591" spans="10:10" ht="35.450000000000003" hidden="1" customHeight="1">
      <c r="J1591" s="28">
        <f>IFERROR(VLOOKUP(TEXT(B1591,"0"),STOCK!A:H,7,0),1)</f>
        <v>1</v>
      </c>
    </row>
    <row r="1592" spans="10:10" ht="35.450000000000003" hidden="1" customHeight="1">
      <c r="J1592" s="28">
        <f>IFERROR(VLOOKUP(TEXT(B1592,"0"),STOCK!A:H,7,0),1)</f>
        <v>1</v>
      </c>
    </row>
    <row r="1593" spans="10:10" ht="35.450000000000003" hidden="1" customHeight="1">
      <c r="J1593" s="28">
        <f>IFERROR(VLOOKUP(TEXT(B1593,"0"),STOCK!A:H,7,0),1)</f>
        <v>1</v>
      </c>
    </row>
    <row r="1594" spans="10:10" ht="35.450000000000003" hidden="1" customHeight="1">
      <c r="J1594" s="28">
        <f>IFERROR(VLOOKUP(TEXT(B1594,"0"),STOCK!A:H,7,0),1)</f>
        <v>1</v>
      </c>
    </row>
    <row r="1595" spans="10:10" ht="35.450000000000003" hidden="1" customHeight="1">
      <c r="J1595" s="28">
        <f>IFERROR(VLOOKUP(TEXT(B1595,"0"),STOCK!A:H,7,0),1)</f>
        <v>1</v>
      </c>
    </row>
    <row r="1596" spans="10:10" ht="35.450000000000003" hidden="1" customHeight="1">
      <c r="J1596" s="28">
        <f>IFERROR(VLOOKUP(TEXT(B1596,"0"),STOCK!A:H,7,0),1)</f>
        <v>1</v>
      </c>
    </row>
    <row r="1597" spans="10:10" ht="35.450000000000003" hidden="1" customHeight="1">
      <c r="J1597" s="28">
        <f>IFERROR(VLOOKUP(TEXT(B1597,"0"),STOCK!A:H,7,0),1)</f>
        <v>1</v>
      </c>
    </row>
    <row r="1598" spans="10:10" ht="35.450000000000003" hidden="1" customHeight="1">
      <c r="J1598" s="28">
        <f>IFERROR(VLOOKUP(TEXT(B1598,"0"),STOCK!A:H,7,0),1)</f>
        <v>1</v>
      </c>
    </row>
    <row r="1599" spans="10:10" ht="35.450000000000003" hidden="1" customHeight="1">
      <c r="J1599" s="28">
        <f>IFERROR(VLOOKUP(TEXT(B1599,"0"),STOCK!A:H,7,0),1)</f>
        <v>1</v>
      </c>
    </row>
    <row r="1600" spans="10:10" ht="35.450000000000003" hidden="1" customHeight="1">
      <c r="J1600" s="28">
        <f>IFERROR(VLOOKUP(TEXT(B1600,"0"),STOCK!A:H,7,0),1)</f>
        <v>1</v>
      </c>
    </row>
    <row r="1601" spans="10:10" ht="35.450000000000003" hidden="1" customHeight="1">
      <c r="J1601" s="28">
        <f>IFERROR(VLOOKUP(TEXT(B1601,"0"),STOCK!A:H,7,0),1)</f>
        <v>1</v>
      </c>
    </row>
    <row r="1602" spans="10:10" ht="35.450000000000003" hidden="1" customHeight="1">
      <c r="J1602" s="28">
        <f>IFERROR(VLOOKUP(TEXT(B1602,"0"),STOCK!A:H,7,0),1)</f>
        <v>1</v>
      </c>
    </row>
    <row r="1603" spans="10:10" ht="35.450000000000003" hidden="1" customHeight="1">
      <c r="J1603" s="28">
        <f>IFERROR(VLOOKUP(TEXT(B1603,"0"),STOCK!A:H,7,0),1)</f>
        <v>1</v>
      </c>
    </row>
    <row r="1604" spans="10:10" ht="35.450000000000003" hidden="1" customHeight="1">
      <c r="J1604" s="28">
        <f>IFERROR(VLOOKUP(TEXT(B1604,"0"),STOCK!A:H,7,0),1)</f>
        <v>1</v>
      </c>
    </row>
    <row r="1605" spans="10:10" ht="35.450000000000003" hidden="1" customHeight="1">
      <c r="J1605" s="28">
        <f>IFERROR(VLOOKUP(TEXT(B1605,"0"),STOCK!A:H,7,0),1)</f>
        <v>1</v>
      </c>
    </row>
    <row r="1606" spans="10:10" ht="35.450000000000003" hidden="1" customHeight="1">
      <c r="J1606" s="28">
        <f>IFERROR(VLOOKUP(TEXT(B1606,"0"),STOCK!A:H,7,0),1)</f>
        <v>1</v>
      </c>
    </row>
    <row r="1607" spans="10:10" ht="35.450000000000003" hidden="1" customHeight="1">
      <c r="J1607" s="28">
        <f>IFERROR(VLOOKUP(TEXT(B1607,"0"),STOCK!A:H,7,0),1)</f>
        <v>1</v>
      </c>
    </row>
    <row r="1608" spans="10:10" ht="35.450000000000003" hidden="1" customHeight="1">
      <c r="J1608" s="28">
        <f>IFERROR(VLOOKUP(TEXT(B1608,"0"),STOCK!A:H,7,0),1)</f>
        <v>1</v>
      </c>
    </row>
    <row r="1609" spans="10:10" ht="35.450000000000003" hidden="1" customHeight="1">
      <c r="J1609" s="28">
        <f>IFERROR(VLOOKUP(TEXT(B1609,"0"),STOCK!A:H,7,0),1)</f>
        <v>1</v>
      </c>
    </row>
    <row r="1610" spans="10:10" ht="35.450000000000003" hidden="1" customHeight="1">
      <c r="J1610" s="28">
        <f>IFERROR(VLOOKUP(TEXT(B1610,"0"),STOCK!A:H,7,0),1)</f>
        <v>1</v>
      </c>
    </row>
    <row r="1611" spans="10:10" ht="35.450000000000003" hidden="1" customHeight="1">
      <c r="J1611" s="28">
        <f>IFERROR(VLOOKUP(TEXT(B1611,"0"),STOCK!A:H,7,0),1)</f>
        <v>1</v>
      </c>
    </row>
    <row r="1612" spans="10:10" ht="35.450000000000003" hidden="1" customHeight="1">
      <c r="J1612" s="28">
        <f>IFERROR(VLOOKUP(TEXT(B1612,"0"),STOCK!A:H,7,0),1)</f>
        <v>1</v>
      </c>
    </row>
    <row r="1613" spans="10:10" ht="35.450000000000003" hidden="1" customHeight="1">
      <c r="J1613" s="28">
        <f>IFERROR(VLOOKUP(TEXT(B1613,"0"),STOCK!A:H,7,0),1)</f>
        <v>1</v>
      </c>
    </row>
    <row r="1614" spans="10:10" ht="35.450000000000003" hidden="1" customHeight="1">
      <c r="J1614" s="28">
        <f>IFERROR(VLOOKUP(TEXT(B1614,"0"),STOCK!A:H,7,0),1)</f>
        <v>1</v>
      </c>
    </row>
    <row r="1615" spans="10:10" ht="35.450000000000003" hidden="1" customHeight="1">
      <c r="J1615" s="28">
        <f>IFERROR(VLOOKUP(TEXT(B1615,"0"),STOCK!A:H,7,0),1)</f>
        <v>1</v>
      </c>
    </row>
    <row r="1616" spans="10:10" ht="35.450000000000003" hidden="1" customHeight="1">
      <c r="J1616" s="28">
        <f>IFERROR(VLOOKUP(TEXT(B1616,"0"),STOCK!A:H,7,0),1)</f>
        <v>1</v>
      </c>
    </row>
    <row r="1617" spans="10:10" ht="35.450000000000003" hidden="1" customHeight="1">
      <c r="J1617" s="28">
        <f>IFERROR(VLOOKUP(TEXT(B1617,"0"),STOCK!A:H,7,0),1)</f>
        <v>1</v>
      </c>
    </row>
    <row r="1618" spans="10:10" ht="35.450000000000003" hidden="1" customHeight="1">
      <c r="J1618" s="28">
        <f>IFERROR(VLOOKUP(TEXT(B1618,"0"),STOCK!A:H,7,0),1)</f>
        <v>1</v>
      </c>
    </row>
    <row r="1619" spans="10:10" ht="35.450000000000003" hidden="1" customHeight="1">
      <c r="J1619" s="28">
        <f>IFERROR(VLOOKUP(TEXT(B1619,"0"),STOCK!A:H,7,0),1)</f>
        <v>1</v>
      </c>
    </row>
    <row r="1620" spans="10:10" ht="35.450000000000003" hidden="1" customHeight="1">
      <c r="J1620" s="28">
        <f>IFERROR(VLOOKUP(TEXT(B1620,"0"),STOCK!A:H,7,0),1)</f>
        <v>1</v>
      </c>
    </row>
    <row r="1621" spans="10:10" ht="35.450000000000003" hidden="1" customHeight="1">
      <c r="J1621" s="28">
        <f>IFERROR(VLOOKUP(TEXT(B1621,"0"),STOCK!A:H,7,0),1)</f>
        <v>1</v>
      </c>
    </row>
    <row r="1622" spans="10:10" ht="35.450000000000003" hidden="1" customHeight="1">
      <c r="J1622" s="28">
        <f>IFERROR(VLOOKUP(TEXT(B1622,"0"),STOCK!A:H,7,0),1)</f>
        <v>1</v>
      </c>
    </row>
    <row r="1623" spans="10:10" ht="35.450000000000003" hidden="1" customHeight="1">
      <c r="J1623" s="28">
        <f>IFERROR(VLOOKUP(TEXT(B1623,"0"),STOCK!A:H,7,0),1)</f>
        <v>1</v>
      </c>
    </row>
    <row r="1624" spans="10:10" ht="35.450000000000003" hidden="1" customHeight="1">
      <c r="J1624" s="28">
        <f>IFERROR(VLOOKUP(TEXT(B1624,"0"),STOCK!A:H,7,0),1)</f>
        <v>1</v>
      </c>
    </row>
    <row r="1625" spans="10:10" ht="35.450000000000003" hidden="1" customHeight="1">
      <c r="J1625" s="28">
        <f>IFERROR(VLOOKUP(TEXT(B1625,"0"),STOCK!A:H,7,0),1)</f>
        <v>1</v>
      </c>
    </row>
    <row r="1626" spans="10:10" ht="35.450000000000003" hidden="1" customHeight="1">
      <c r="J1626" s="28">
        <f>IFERROR(VLOOKUP(TEXT(B1626,"0"),STOCK!A:H,7,0),1)</f>
        <v>1</v>
      </c>
    </row>
    <row r="1627" spans="10:10" ht="35.450000000000003" hidden="1" customHeight="1">
      <c r="J1627" s="28">
        <f>IFERROR(VLOOKUP(TEXT(B1627,"0"),STOCK!A:H,7,0),1)</f>
        <v>1</v>
      </c>
    </row>
    <row r="1628" spans="10:10" ht="35.450000000000003" hidden="1" customHeight="1">
      <c r="J1628" s="28">
        <f>IFERROR(VLOOKUP(TEXT(B1628,"0"),STOCK!A:H,7,0),1)</f>
        <v>1</v>
      </c>
    </row>
    <row r="1629" spans="10:10" ht="35.450000000000003" hidden="1" customHeight="1">
      <c r="J1629" s="28">
        <f>IFERROR(VLOOKUP(TEXT(B1629,"0"),STOCK!A:H,7,0),1)</f>
        <v>1</v>
      </c>
    </row>
    <row r="1630" spans="10:10" ht="35.450000000000003" hidden="1" customHeight="1">
      <c r="J1630" s="28">
        <f>IFERROR(VLOOKUP(TEXT(B1630,"0"),STOCK!A:H,7,0),1)</f>
        <v>1</v>
      </c>
    </row>
    <row r="1631" spans="10:10" ht="35.450000000000003" hidden="1" customHeight="1">
      <c r="J1631" s="28">
        <f>IFERROR(VLOOKUP(TEXT(B1631,"0"),STOCK!A:H,7,0),1)</f>
        <v>1</v>
      </c>
    </row>
    <row r="1632" spans="10:10" ht="35.450000000000003" hidden="1" customHeight="1">
      <c r="J1632" s="28">
        <f>IFERROR(VLOOKUP(TEXT(B1632,"0"),STOCK!A:H,7,0),1)</f>
        <v>1</v>
      </c>
    </row>
    <row r="1633" spans="10:10" ht="35.450000000000003" hidden="1" customHeight="1">
      <c r="J1633" s="28">
        <f>IFERROR(VLOOKUP(TEXT(B1633,"0"),STOCK!A:H,7,0),1)</f>
        <v>1</v>
      </c>
    </row>
    <row r="1634" spans="10:10" ht="35.450000000000003" hidden="1" customHeight="1">
      <c r="J1634" s="28">
        <f>IFERROR(VLOOKUP(TEXT(B1634,"0"),STOCK!A:H,7,0),1)</f>
        <v>1</v>
      </c>
    </row>
    <row r="1635" spans="10:10" ht="35.450000000000003" hidden="1" customHeight="1">
      <c r="J1635" s="28">
        <f>IFERROR(VLOOKUP(TEXT(B1635,"0"),STOCK!A:H,7,0),1)</f>
        <v>1</v>
      </c>
    </row>
    <row r="1636" spans="10:10" ht="35.450000000000003" hidden="1" customHeight="1">
      <c r="J1636" s="28">
        <f>IFERROR(VLOOKUP(TEXT(B1636,"0"),STOCK!A:H,7,0),1)</f>
        <v>1</v>
      </c>
    </row>
    <row r="1637" spans="10:10" ht="35.450000000000003" hidden="1" customHeight="1">
      <c r="J1637" s="28">
        <f>IFERROR(VLOOKUP(TEXT(B1637,"0"),STOCK!A:H,7,0),1)</f>
        <v>1</v>
      </c>
    </row>
    <row r="1638" spans="10:10" ht="35.450000000000003" hidden="1" customHeight="1">
      <c r="J1638" s="28">
        <f>IFERROR(VLOOKUP(TEXT(B1638,"0"),STOCK!A:H,7,0),1)</f>
        <v>1</v>
      </c>
    </row>
    <row r="1639" spans="10:10" ht="35.450000000000003" hidden="1" customHeight="1">
      <c r="J1639" s="28">
        <f>IFERROR(VLOOKUP(TEXT(B1639,"0"),STOCK!A:H,7,0),1)</f>
        <v>1</v>
      </c>
    </row>
    <row r="1640" spans="10:10" ht="35.450000000000003" hidden="1" customHeight="1">
      <c r="J1640" s="28">
        <f>IFERROR(VLOOKUP(TEXT(B1640,"0"),STOCK!A:H,7,0),1)</f>
        <v>1</v>
      </c>
    </row>
    <row r="1641" spans="10:10" ht="35.450000000000003" hidden="1" customHeight="1">
      <c r="J1641" s="28">
        <f>IFERROR(VLOOKUP(TEXT(B1641,"0"),STOCK!A:H,7,0),1)</f>
        <v>1</v>
      </c>
    </row>
    <row r="1642" spans="10:10" ht="35.450000000000003" hidden="1" customHeight="1">
      <c r="J1642" s="28">
        <f>IFERROR(VLOOKUP(TEXT(B1642,"0"),STOCK!A:H,7,0),1)</f>
        <v>1</v>
      </c>
    </row>
    <row r="1643" spans="10:10" ht="35.450000000000003" hidden="1" customHeight="1">
      <c r="J1643" s="28">
        <f>IFERROR(VLOOKUP(TEXT(B1643,"0"),STOCK!A:H,7,0),1)</f>
        <v>1</v>
      </c>
    </row>
    <row r="1644" spans="10:10" ht="35.450000000000003" hidden="1" customHeight="1">
      <c r="J1644" s="28">
        <f>IFERROR(VLOOKUP(TEXT(B1644,"0"),STOCK!A:H,7,0),1)</f>
        <v>1</v>
      </c>
    </row>
    <row r="1645" spans="10:10" ht="35.450000000000003" hidden="1" customHeight="1">
      <c r="J1645" s="28">
        <f>IFERROR(VLOOKUP(TEXT(B1645,"0"),STOCK!A:H,7,0),1)</f>
        <v>1</v>
      </c>
    </row>
    <row r="1646" spans="10:10" ht="35.450000000000003" hidden="1" customHeight="1">
      <c r="J1646" s="28">
        <f>IFERROR(VLOOKUP(TEXT(B1646,"0"),STOCK!A:H,7,0),1)</f>
        <v>1</v>
      </c>
    </row>
    <row r="1647" spans="10:10" ht="35.450000000000003" hidden="1" customHeight="1">
      <c r="J1647" s="28">
        <f>IFERROR(VLOOKUP(TEXT(B1647,"0"),STOCK!A:H,7,0),1)</f>
        <v>1</v>
      </c>
    </row>
    <row r="1648" spans="10:10" ht="35.450000000000003" hidden="1" customHeight="1">
      <c r="J1648" s="28">
        <f>IFERROR(VLOOKUP(TEXT(B1648,"0"),STOCK!A:H,7,0),1)</f>
        <v>1</v>
      </c>
    </row>
    <row r="1649" spans="10:10" ht="35.450000000000003" hidden="1" customHeight="1">
      <c r="J1649" s="28">
        <f>IFERROR(VLOOKUP(TEXT(B1649,"0"),STOCK!A:H,7,0),1)</f>
        <v>1</v>
      </c>
    </row>
    <row r="1650" spans="10:10" ht="35.450000000000003" hidden="1" customHeight="1">
      <c r="J1650" s="28">
        <f>IFERROR(VLOOKUP(TEXT(B1650,"0"),STOCK!A:H,7,0),1)</f>
        <v>1</v>
      </c>
    </row>
    <row r="1651" spans="10:10" ht="35.450000000000003" hidden="1" customHeight="1">
      <c r="J1651" s="28">
        <f>IFERROR(VLOOKUP(TEXT(B1651,"0"),STOCK!A:H,7,0),1)</f>
        <v>1</v>
      </c>
    </row>
    <row r="1652" spans="10:10" ht="35.450000000000003" hidden="1" customHeight="1">
      <c r="J1652" s="28">
        <f>IFERROR(VLOOKUP(TEXT(B1652,"0"),STOCK!A:H,7,0),1)</f>
        <v>1</v>
      </c>
    </row>
    <row r="1653" spans="10:10" ht="35.450000000000003" hidden="1" customHeight="1">
      <c r="J1653" s="28">
        <f>IFERROR(VLOOKUP(TEXT(B1653,"0"),STOCK!A:H,7,0),1)</f>
        <v>1</v>
      </c>
    </row>
    <row r="1654" spans="10:10" ht="35.450000000000003" hidden="1" customHeight="1">
      <c r="J1654" s="28">
        <f>IFERROR(VLOOKUP(TEXT(B1654,"0"),STOCK!A:H,7,0),1)</f>
        <v>1</v>
      </c>
    </row>
    <row r="1655" spans="10:10" ht="35.450000000000003" hidden="1" customHeight="1">
      <c r="J1655" s="28">
        <f>IFERROR(VLOOKUP(TEXT(B1655,"0"),STOCK!A:H,7,0),1)</f>
        <v>1</v>
      </c>
    </row>
    <row r="1656" spans="10:10" ht="35.450000000000003" hidden="1" customHeight="1">
      <c r="J1656" s="28">
        <f>IFERROR(VLOOKUP(TEXT(B1656,"0"),STOCK!A:H,7,0),1)</f>
        <v>1</v>
      </c>
    </row>
    <row r="1657" spans="10:10" ht="35.450000000000003" hidden="1" customHeight="1">
      <c r="J1657" s="28">
        <f>IFERROR(VLOOKUP(TEXT(B1657,"0"),STOCK!A:H,7,0),1)</f>
        <v>1</v>
      </c>
    </row>
    <row r="1658" spans="10:10" ht="35.450000000000003" hidden="1" customHeight="1">
      <c r="J1658" s="28">
        <f>IFERROR(VLOOKUP(TEXT(B1658,"0"),STOCK!A:H,7,0),1)</f>
        <v>1</v>
      </c>
    </row>
    <row r="1659" spans="10:10" ht="35.450000000000003" hidden="1" customHeight="1">
      <c r="J1659" s="28">
        <f>IFERROR(VLOOKUP(TEXT(B1659,"0"),STOCK!A:H,7,0),1)</f>
        <v>1</v>
      </c>
    </row>
    <row r="1660" spans="10:10" ht="35.450000000000003" hidden="1" customHeight="1">
      <c r="J1660" s="28">
        <f>IFERROR(VLOOKUP(TEXT(B1660,"0"),STOCK!A:H,7,0),1)</f>
        <v>1</v>
      </c>
    </row>
    <row r="1661" spans="10:10" ht="35.450000000000003" hidden="1" customHeight="1">
      <c r="J1661" s="28">
        <f>IFERROR(VLOOKUP(TEXT(B1661,"0"),STOCK!A:H,7,0),1)</f>
        <v>1</v>
      </c>
    </row>
    <row r="1662" spans="10:10" ht="35.450000000000003" hidden="1" customHeight="1">
      <c r="J1662" s="28">
        <f>IFERROR(VLOOKUP(TEXT(B1662,"0"),STOCK!A:H,7,0),1)</f>
        <v>1</v>
      </c>
    </row>
    <row r="1663" spans="10:10" ht="35.450000000000003" hidden="1" customHeight="1">
      <c r="J1663" s="28">
        <f>IFERROR(VLOOKUP(TEXT(B1663,"0"),STOCK!A:H,7,0),1)</f>
        <v>1</v>
      </c>
    </row>
    <row r="1664" spans="10:10" ht="35.450000000000003" hidden="1" customHeight="1">
      <c r="J1664" s="28">
        <f>IFERROR(VLOOKUP(TEXT(B1664,"0"),STOCK!A:H,7,0),1)</f>
        <v>1</v>
      </c>
    </row>
    <row r="1665" spans="10:10" ht="35.450000000000003" hidden="1" customHeight="1">
      <c r="J1665" s="28">
        <f>IFERROR(VLOOKUP(TEXT(B1665,"0"),STOCK!A:H,7,0),1)</f>
        <v>1</v>
      </c>
    </row>
    <row r="1666" spans="10:10" ht="35.450000000000003" hidden="1" customHeight="1">
      <c r="J1666" s="28">
        <f>IFERROR(VLOOKUP(TEXT(B1666,"0"),STOCK!A:H,7,0),1)</f>
        <v>1</v>
      </c>
    </row>
    <row r="1667" spans="10:10" ht="35.450000000000003" hidden="1" customHeight="1">
      <c r="J1667" s="28">
        <f>IFERROR(VLOOKUP(TEXT(B1667,"0"),STOCK!A:H,7,0),1)</f>
        <v>1</v>
      </c>
    </row>
    <row r="1668" spans="10:10" ht="35.450000000000003" hidden="1" customHeight="1">
      <c r="J1668" s="28">
        <f>IFERROR(VLOOKUP(TEXT(B1668,"0"),STOCK!A:H,7,0),1)</f>
        <v>1</v>
      </c>
    </row>
    <row r="1669" spans="10:10" ht="35.450000000000003" hidden="1" customHeight="1">
      <c r="J1669" s="28">
        <f>IFERROR(VLOOKUP(TEXT(B1669,"0"),STOCK!A:H,7,0),1)</f>
        <v>1</v>
      </c>
    </row>
    <row r="1670" spans="10:10" ht="35.450000000000003" hidden="1" customHeight="1">
      <c r="J1670" s="28">
        <f>IFERROR(VLOOKUP(TEXT(B1670,"0"),STOCK!A:H,7,0),1)</f>
        <v>1</v>
      </c>
    </row>
    <row r="1671" spans="10:10" ht="35.450000000000003" hidden="1" customHeight="1">
      <c r="J1671" s="28">
        <f>IFERROR(VLOOKUP(TEXT(B1671,"0"),STOCK!A:H,7,0),1)</f>
        <v>1</v>
      </c>
    </row>
    <row r="1672" spans="10:10" ht="35.450000000000003" hidden="1" customHeight="1">
      <c r="J1672" s="28">
        <f>IFERROR(VLOOKUP(TEXT(B1672,"0"),STOCK!A:H,7,0),1)</f>
        <v>1</v>
      </c>
    </row>
    <row r="1673" spans="10:10" ht="35.450000000000003" hidden="1" customHeight="1">
      <c r="J1673" s="28">
        <f>IFERROR(VLOOKUP(TEXT(B1673,"0"),STOCK!A:H,7,0),1)</f>
        <v>1</v>
      </c>
    </row>
    <row r="1674" spans="10:10" ht="35.450000000000003" hidden="1" customHeight="1">
      <c r="J1674" s="28">
        <f>IFERROR(VLOOKUP(TEXT(B1674,"0"),STOCK!A:H,7,0),1)</f>
        <v>1</v>
      </c>
    </row>
    <row r="1675" spans="10:10" ht="35.450000000000003" hidden="1" customHeight="1">
      <c r="J1675" s="28">
        <f>IFERROR(VLOOKUP(TEXT(B1675,"0"),STOCK!A:H,7,0),1)</f>
        <v>1</v>
      </c>
    </row>
    <row r="1676" spans="10:10" ht="35.450000000000003" hidden="1" customHeight="1">
      <c r="J1676" s="28">
        <f>IFERROR(VLOOKUP(TEXT(B1676,"0"),STOCK!A:H,7,0),1)</f>
        <v>1</v>
      </c>
    </row>
    <row r="1677" spans="10:10" ht="35.450000000000003" hidden="1" customHeight="1">
      <c r="J1677" s="28">
        <f>IFERROR(VLOOKUP(TEXT(B1677,"0"),STOCK!A:H,7,0),1)</f>
        <v>1</v>
      </c>
    </row>
    <row r="1678" spans="10:10" ht="35.450000000000003" hidden="1" customHeight="1">
      <c r="J1678" s="28">
        <f>IFERROR(VLOOKUP(TEXT(B1678,"0"),STOCK!A:H,7,0),1)</f>
        <v>1</v>
      </c>
    </row>
    <row r="1679" spans="10:10" ht="35.450000000000003" hidden="1" customHeight="1">
      <c r="J1679" s="28">
        <f>IFERROR(VLOOKUP(TEXT(B1679,"0"),STOCK!A:H,7,0),1)</f>
        <v>1</v>
      </c>
    </row>
    <row r="1680" spans="10:10" ht="35.450000000000003" hidden="1" customHeight="1">
      <c r="J1680" s="28">
        <f>IFERROR(VLOOKUP(TEXT(B1680,"0"),STOCK!A:H,7,0),1)</f>
        <v>1</v>
      </c>
    </row>
    <row r="1681" spans="10:10" ht="35.450000000000003" hidden="1" customHeight="1">
      <c r="J1681" s="28">
        <f>IFERROR(VLOOKUP(TEXT(B1681,"0"),STOCK!A:H,7,0),1)</f>
        <v>1</v>
      </c>
    </row>
    <row r="1682" spans="10:10" ht="35.450000000000003" hidden="1" customHeight="1">
      <c r="J1682" s="28">
        <f>IFERROR(VLOOKUP(TEXT(B1682,"0"),STOCK!A:H,7,0),1)</f>
        <v>1</v>
      </c>
    </row>
    <row r="1683" spans="10:10" ht="35.450000000000003" hidden="1" customHeight="1">
      <c r="J1683" s="28">
        <f>IFERROR(VLOOKUP(TEXT(B1683,"0"),STOCK!A:H,7,0),1)</f>
        <v>1</v>
      </c>
    </row>
    <row r="1684" spans="10:10" ht="35.450000000000003" hidden="1" customHeight="1">
      <c r="J1684" s="28">
        <f>IFERROR(VLOOKUP(TEXT(B1684,"0"),STOCK!A:H,7,0),1)</f>
        <v>1</v>
      </c>
    </row>
    <row r="1685" spans="10:10" ht="35.450000000000003" hidden="1" customHeight="1">
      <c r="J1685" s="28">
        <f>IFERROR(VLOOKUP(TEXT(B1685,"0"),STOCK!A:H,7,0),1)</f>
        <v>1</v>
      </c>
    </row>
    <row r="1686" spans="10:10" ht="35.450000000000003" hidden="1" customHeight="1">
      <c r="J1686" s="28">
        <f>IFERROR(VLOOKUP(TEXT(B1686,"0"),STOCK!A:H,7,0),1)</f>
        <v>1</v>
      </c>
    </row>
    <row r="1687" spans="10:10" ht="35.450000000000003" hidden="1" customHeight="1">
      <c r="J1687" s="28">
        <f>IFERROR(VLOOKUP(TEXT(B1687,"0"),STOCK!A:H,7,0),1)</f>
        <v>1</v>
      </c>
    </row>
    <row r="1688" spans="10:10" ht="35.450000000000003" hidden="1" customHeight="1">
      <c r="J1688" s="28">
        <f>IFERROR(VLOOKUP(TEXT(B1688,"0"),STOCK!A:H,7,0),1)</f>
        <v>1</v>
      </c>
    </row>
    <row r="1689" spans="10:10" ht="35.450000000000003" hidden="1" customHeight="1">
      <c r="J1689" s="28">
        <f>IFERROR(VLOOKUP(TEXT(B1689,"0"),STOCK!A:H,7,0),1)</f>
        <v>1</v>
      </c>
    </row>
    <row r="1690" spans="10:10" ht="35.450000000000003" hidden="1" customHeight="1">
      <c r="J1690" s="28">
        <f>IFERROR(VLOOKUP(TEXT(B1690,"0"),STOCK!A:H,7,0),1)</f>
        <v>1</v>
      </c>
    </row>
    <row r="1691" spans="10:10" ht="35.450000000000003" hidden="1" customHeight="1">
      <c r="J1691" s="28">
        <f>IFERROR(VLOOKUP(TEXT(B1691,"0"),STOCK!A:H,7,0),1)</f>
        <v>1</v>
      </c>
    </row>
    <row r="1692" spans="10:10" ht="35.450000000000003" hidden="1" customHeight="1">
      <c r="J1692" s="28">
        <f>IFERROR(VLOOKUP(TEXT(B1692,"0"),STOCK!A:H,7,0),1)</f>
        <v>1</v>
      </c>
    </row>
    <row r="1693" spans="10:10" ht="35.450000000000003" hidden="1" customHeight="1">
      <c r="J1693" s="28">
        <f>IFERROR(VLOOKUP(TEXT(B1693,"0"),STOCK!A:H,7,0),1)</f>
        <v>1</v>
      </c>
    </row>
    <row r="1694" spans="10:10" ht="35.450000000000003" hidden="1" customHeight="1">
      <c r="J1694" s="28">
        <f>IFERROR(VLOOKUP(TEXT(B1694,"0"),STOCK!A:H,7,0),1)</f>
        <v>1</v>
      </c>
    </row>
    <row r="1695" spans="10:10" ht="35.450000000000003" hidden="1" customHeight="1">
      <c r="J1695" s="28">
        <f>IFERROR(VLOOKUP(TEXT(B1695,"0"),STOCK!A:H,7,0),1)</f>
        <v>1</v>
      </c>
    </row>
    <row r="1696" spans="10:10" ht="35.450000000000003" hidden="1" customHeight="1">
      <c r="J1696" s="28">
        <f>IFERROR(VLOOKUP(TEXT(B1696,"0"),STOCK!A:H,7,0),1)</f>
        <v>1</v>
      </c>
    </row>
    <row r="1697" spans="10:10" ht="35.450000000000003" hidden="1" customHeight="1">
      <c r="J1697" s="28">
        <f>IFERROR(VLOOKUP(TEXT(B1697,"0"),STOCK!A:H,7,0),1)</f>
        <v>1</v>
      </c>
    </row>
    <row r="1698" spans="10:10" ht="35.450000000000003" hidden="1" customHeight="1">
      <c r="J1698" s="28">
        <f>IFERROR(VLOOKUP(TEXT(B1698,"0"),STOCK!A:H,7,0),1)</f>
        <v>1</v>
      </c>
    </row>
    <row r="1699" spans="10:10" ht="35.450000000000003" hidden="1" customHeight="1">
      <c r="J1699" s="28">
        <f>IFERROR(VLOOKUP(TEXT(B1699,"0"),STOCK!A:H,7,0),1)</f>
        <v>1</v>
      </c>
    </row>
    <row r="1700" spans="10:10" ht="35.450000000000003" hidden="1" customHeight="1">
      <c r="J1700" s="28">
        <f>IFERROR(VLOOKUP(TEXT(B1700,"0"),STOCK!A:H,7,0),1)</f>
        <v>1</v>
      </c>
    </row>
    <row r="1701" spans="10:10" ht="35.450000000000003" hidden="1" customHeight="1">
      <c r="J1701" s="28">
        <f>IFERROR(VLOOKUP(TEXT(B1701,"0"),STOCK!A:H,7,0),1)</f>
        <v>1</v>
      </c>
    </row>
    <row r="1702" spans="10:10" ht="35.450000000000003" hidden="1" customHeight="1">
      <c r="J1702" s="28">
        <f>IFERROR(VLOOKUP(TEXT(B1702,"0"),STOCK!A:H,7,0),1)</f>
        <v>1</v>
      </c>
    </row>
    <row r="1703" spans="10:10" ht="35.450000000000003" hidden="1" customHeight="1">
      <c r="J1703" s="28">
        <f>IFERROR(VLOOKUP(TEXT(B1703,"0"),STOCK!A:H,7,0),1)</f>
        <v>1</v>
      </c>
    </row>
    <row r="1704" spans="10:10" ht="35.450000000000003" hidden="1" customHeight="1">
      <c r="J1704" s="28">
        <f>IFERROR(VLOOKUP(TEXT(B1704,"0"),STOCK!A:H,7,0),1)</f>
        <v>1</v>
      </c>
    </row>
    <row r="1705" spans="10:10" ht="35.450000000000003" hidden="1" customHeight="1">
      <c r="J1705" s="28">
        <f>IFERROR(VLOOKUP(TEXT(B1705,"0"),STOCK!A:H,7,0),1)</f>
        <v>1</v>
      </c>
    </row>
    <row r="1706" spans="10:10" ht="35.450000000000003" hidden="1" customHeight="1">
      <c r="J1706" s="28">
        <f>IFERROR(VLOOKUP(TEXT(B1706,"0"),STOCK!A:H,7,0),1)</f>
        <v>1</v>
      </c>
    </row>
    <row r="1707" spans="10:10" ht="35.450000000000003" hidden="1" customHeight="1">
      <c r="J1707" s="28">
        <f>IFERROR(VLOOKUP(TEXT(B1707,"0"),STOCK!A:H,7,0),1)</f>
        <v>1</v>
      </c>
    </row>
    <row r="1708" spans="10:10" ht="35.450000000000003" hidden="1" customHeight="1">
      <c r="J1708" s="28">
        <f>IFERROR(VLOOKUP(TEXT(B1708,"0"),STOCK!A:H,7,0),1)</f>
        <v>1</v>
      </c>
    </row>
    <row r="1709" spans="10:10" ht="35.450000000000003" hidden="1" customHeight="1">
      <c r="J1709" s="28">
        <f>IFERROR(VLOOKUP(TEXT(B1709,"0"),STOCK!A:H,7,0),1)</f>
        <v>1</v>
      </c>
    </row>
    <row r="1710" spans="10:10" ht="35.450000000000003" hidden="1" customHeight="1">
      <c r="J1710" s="28">
        <f>IFERROR(VLOOKUP(TEXT(B1710,"0"),STOCK!A:H,7,0),1)</f>
        <v>1</v>
      </c>
    </row>
    <row r="1711" spans="10:10" ht="35.450000000000003" hidden="1" customHeight="1">
      <c r="J1711" s="28">
        <f>IFERROR(VLOOKUP(TEXT(B1711,"0"),STOCK!A:H,7,0),1)</f>
        <v>1</v>
      </c>
    </row>
    <row r="1712" spans="10:10" ht="35.450000000000003" hidden="1" customHeight="1">
      <c r="J1712" s="28">
        <f>IFERROR(VLOOKUP(TEXT(B1712,"0"),STOCK!A:H,7,0),1)</f>
        <v>1</v>
      </c>
    </row>
    <row r="1713" spans="10:10" ht="35.450000000000003" hidden="1" customHeight="1">
      <c r="J1713" s="28">
        <f>IFERROR(VLOOKUP(TEXT(B1713,"0"),STOCK!A:H,7,0),1)</f>
        <v>1</v>
      </c>
    </row>
    <row r="1714" spans="10:10" ht="35.450000000000003" hidden="1" customHeight="1">
      <c r="J1714" s="28">
        <f>IFERROR(VLOOKUP(TEXT(B1714,"0"),STOCK!A:H,7,0),1)</f>
        <v>1</v>
      </c>
    </row>
    <row r="1715" spans="10:10" ht="35.450000000000003" hidden="1" customHeight="1">
      <c r="J1715" s="28">
        <f>IFERROR(VLOOKUP(TEXT(B1715,"0"),STOCK!A:H,7,0),1)</f>
        <v>1</v>
      </c>
    </row>
    <row r="1716" spans="10:10" ht="35.450000000000003" hidden="1" customHeight="1">
      <c r="J1716" s="28">
        <f>IFERROR(VLOOKUP(TEXT(B1716,"0"),STOCK!A:H,7,0),1)</f>
        <v>1</v>
      </c>
    </row>
    <row r="1717" spans="10:10" ht="35.450000000000003" hidden="1" customHeight="1">
      <c r="J1717" s="28">
        <f>IFERROR(VLOOKUP(TEXT(B1717,"0"),STOCK!A:H,7,0),1)</f>
        <v>1</v>
      </c>
    </row>
    <row r="1718" spans="10:10" ht="35.450000000000003" hidden="1" customHeight="1">
      <c r="J1718" s="28">
        <f>IFERROR(VLOOKUP(TEXT(B1718,"0"),STOCK!A:H,7,0),1)</f>
        <v>1</v>
      </c>
    </row>
    <row r="1719" spans="10:10" ht="35.450000000000003" hidden="1" customHeight="1">
      <c r="J1719" s="28">
        <f>IFERROR(VLOOKUP(TEXT(B1719,"0"),STOCK!A:H,7,0),1)</f>
        <v>1</v>
      </c>
    </row>
    <row r="1720" spans="10:10" ht="35.450000000000003" hidden="1" customHeight="1">
      <c r="J1720" s="28">
        <f>IFERROR(VLOOKUP(TEXT(B1720,"0"),STOCK!A:H,7,0),1)</f>
        <v>1</v>
      </c>
    </row>
    <row r="1721" spans="10:10" ht="35.450000000000003" hidden="1" customHeight="1">
      <c r="J1721" s="28">
        <f>IFERROR(VLOOKUP(TEXT(B1721,"0"),STOCK!A:H,7,0),1)</f>
        <v>1</v>
      </c>
    </row>
    <row r="1722" spans="10:10" ht="35.450000000000003" hidden="1" customHeight="1">
      <c r="J1722" s="28">
        <f>IFERROR(VLOOKUP(TEXT(B1722,"0"),STOCK!A:H,7,0),1)</f>
        <v>1</v>
      </c>
    </row>
    <row r="1723" spans="10:10" ht="35.450000000000003" hidden="1" customHeight="1">
      <c r="J1723" s="28">
        <f>IFERROR(VLOOKUP(TEXT(B1723,"0"),STOCK!A:H,7,0),1)</f>
        <v>1</v>
      </c>
    </row>
    <row r="1724" spans="10:10" ht="35.450000000000003" hidden="1" customHeight="1">
      <c r="J1724" s="28">
        <f>IFERROR(VLOOKUP(TEXT(B1724,"0"),STOCK!A:H,7,0),1)</f>
        <v>1</v>
      </c>
    </row>
    <row r="1725" spans="10:10" ht="35.450000000000003" hidden="1" customHeight="1">
      <c r="J1725" s="28">
        <f>IFERROR(VLOOKUP(TEXT(B1725,"0"),STOCK!A:H,7,0),1)</f>
        <v>1</v>
      </c>
    </row>
    <row r="1726" spans="10:10" ht="35.450000000000003" hidden="1" customHeight="1">
      <c r="J1726" s="28">
        <f>IFERROR(VLOOKUP(TEXT(B1726,"0"),STOCK!A:H,7,0),1)</f>
        <v>1</v>
      </c>
    </row>
    <row r="1727" spans="10:10" ht="35.450000000000003" hidden="1" customHeight="1">
      <c r="J1727" s="28">
        <f>IFERROR(VLOOKUP(TEXT(B1727,"0"),STOCK!A:H,7,0),1)</f>
        <v>1</v>
      </c>
    </row>
    <row r="1728" spans="10:10" ht="35.450000000000003" hidden="1" customHeight="1">
      <c r="J1728" s="28">
        <f>IFERROR(VLOOKUP(TEXT(B1728,"0"),STOCK!A:H,7,0),1)</f>
        <v>1</v>
      </c>
    </row>
    <row r="1729" spans="10:10" ht="35.450000000000003" hidden="1" customHeight="1">
      <c r="J1729" s="28">
        <f>IFERROR(VLOOKUP(TEXT(B1729,"0"),STOCK!A:H,7,0),1)</f>
        <v>1</v>
      </c>
    </row>
    <row r="1730" spans="10:10" ht="35.450000000000003" hidden="1" customHeight="1">
      <c r="J1730" s="28">
        <f>IFERROR(VLOOKUP(TEXT(B1730,"0"),STOCK!A:H,7,0),1)</f>
        <v>1</v>
      </c>
    </row>
    <row r="1731" spans="10:10" ht="35.450000000000003" hidden="1" customHeight="1">
      <c r="J1731" s="28">
        <f>IFERROR(VLOOKUP(TEXT(B1731,"0"),STOCK!A:H,7,0),1)</f>
        <v>1</v>
      </c>
    </row>
    <row r="1732" spans="10:10" ht="35.450000000000003" hidden="1" customHeight="1">
      <c r="J1732" s="28">
        <f>IFERROR(VLOOKUP(TEXT(B1732,"0"),STOCK!A:H,7,0),1)</f>
        <v>1</v>
      </c>
    </row>
    <row r="1733" spans="10:10" ht="35.450000000000003" hidden="1" customHeight="1">
      <c r="J1733" s="28">
        <f>IFERROR(VLOOKUP(TEXT(B1733,"0"),STOCK!A:H,7,0),1)</f>
        <v>1</v>
      </c>
    </row>
    <row r="1734" spans="10:10" ht="35.450000000000003" hidden="1" customHeight="1">
      <c r="J1734" s="28">
        <f>IFERROR(VLOOKUP(TEXT(B1734,"0"),STOCK!A:H,7,0),1)</f>
        <v>1</v>
      </c>
    </row>
    <row r="1735" spans="10:10" ht="35.450000000000003" hidden="1" customHeight="1">
      <c r="J1735" s="28">
        <f>IFERROR(VLOOKUP(TEXT(B1735,"0"),STOCK!A:H,7,0),1)</f>
        <v>1</v>
      </c>
    </row>
    <row r="1736" spans="10:10" ht="35.450000000000003" hidden="1" customHeight="1">
      <c r="J1736" s="28">
        <f>IFERROR(VLOOKUP(TEXT(B1736,"0"),STOCK!A:H,7,0),1)</f>
        <v>1</v>
      </c>
    </row>
    <row r="1737" spans="10:10" ht="35.450000000000003" hidden="1" customHeight="1">
      <c r="J1737" s="28">
        <f>IFERROR(VLOOKUP(TEXT(B1737,"0"),STOCK!A:H,7,0),1)</f>
        <v>1</v>
      </c>
    </row>
    <row r="1738" spans="10:10" ht="35.450000000000003" hidden="1" customHeight="1">
      <c r="J1738" s="28">
        <f>IFERROR(VLOOKUP(TEXT(B1738,"0"),STOCK!A:H,7,0),1)</f>
        <v>1</v>
      </c>
    </row>
    <row r="1739" spans="10:10" ht="35.450000000000003" hidden="1" customHeight="1">
      <c r="J1739" s="28">
        <f>IFERROR(VLOOKUP(TEXT(B1739,"0"),STOCK!A:H,7,0),1)</f>
        <v>1</v>
      </c>
    </row>
    <row r="1740" spans="10:10" ht="35.450000000000003" hidden="1" customHeight="1">
      <c r="J1740" s="28">
        <f>IFERROR(VLOOKUP(TEXT(B1740,"0"),STOCK!A:H,7,0),1)</f>
        <v>1</v>
      </c>
    </row>
    <row r="1741" spans="10:10" ht="35.450000000000003" hidden="1" customHeight="1">
      <c r="J1741" s="28">
        <f>IFERROR(VLOOKUP(TEXT(B1741,"0"),STOCK!A:H,7,0),1)</f>
        <v>1</v>
      </c>
    </row>
    <row r="1742" spans="10:10" ht="35.450000000000003" hidden="1" customHeight="1">
      <c r="J1742" s="28">
        <f>IFERROR(VLOOKUP(TEXT(B1742,"0"),STOCK!A:H,7,0),1)</f>
        <v>1</v>
      </c>
    </row>
    <row r="1743" spans="10:10" ht="35.450000000000003" hidden="1" customHeight="1">
      <c r="J1743" s="28">
        <f>IFERROR(VLOOKUP(TEXT(B1743,"0"),STOCK!A:H,7,0),1)</f>
        <v>1</v>
      </c>
    </row>
    <row r="1744" spans="10:10" ht="35.450000000000003" hidden="1" customHeight="1">
      <c r="J1744" s="28">
        <f>IFERROR(VLOOKUP(TEXT(B1744,"0"),STOCK!A:H,7,0),1)</f>
        <v>1</v>
      </c>
    </row>
    <row r="1745" spans="10:10" ht="35.450000000000003" hidden="1" customHeight="1">
      <c r="J1745" s="28">
        <f>IFERROR(VLOOKUP(TEXT(B1745,"0"),STOCK!A:H,7,0),1)</f>
        <v>1</v>
      </c>
    </row>
    <row r="1746" spans="10:10" ht="35.450000000000003" hidden="1" customHeight="1">
      <c r="J1746" s="28">
        <f>IFERROR(VLOOKUP(TEXT(B1746,"0"),STOCK!A:H,7,0),1)</f>
        <v>1</v>
      </c>
    </row>
    <row r="1747" spans="10:10" ht="35.450000000000003" hidden="1" customHeight="1">
      <c r="J1747" s="28">
        <f>IFERROR(VLOOKUP(TEXT(B1747,"0"),STOCK!A:H,7,0),1)</f>
        <v>1</v>
      </c>
    </row>
    <row r="1748" spans="10:10" ht="35.450000000000003" hidden="1" customHeight="1">
      <c r="J1748" s="28">
        <f>IFERROR(VLOOKUP(TEXT(B1748,"0"),STOCK!A:H,7,0),1)</f>
        <v>1</v>
      </c>
    </row>
    <row r="1749" spans="10:10" ht="35.450000000000003" hidden="1" customHeight="1">
      <c r="J1749" s="28">
        <f>IFERROR(VLOOKUP(TEXT(B1749,"0"),STOCK!A:H,7,0),1)</f>
        <v>1</v>
      </c>
    </row>
    <row r="1750" spans="10:10" ht="35.450000000000003" hidden="1" customHeight="1">
      <c r="J1750" s="28">
        <f>IFERROR(VLOOKUP(TEXT(B1750,"0"),STOCK!A:H,7,0),1)</f>
        <v>1</v>
      </c>
    </row>
    <row r="1751" spans="10:10" ht="35.450000000000003" hidden="1" customHeight="1">
      <c r="J1751" s="28">
        <f>IFERROR(VLOOKUP(TEXT(B1751,"0"),STOCK!A:H,7,0),1)</f>
        <v>1</v>
      </c>
    </row>
    <row r="1752" spans="10:10" ht="35.450000000000003" hidden="1" customHeight="1">
      <c r="J1752" s="28">
        <f>IFERROR(VLOOKUP(TEXT(B1752,"0"),STOCK!A:H,7,0),1)</f>
        <v>1</v>
      </c>
    </row>
    <row r="1753" spans="10:10" ht="35.450000000000003" hidden="1" customHeight="1">
      <c r="J1753" s="28">
        <f>IFERROR(VLOOKUP(TEXT(B1753,"0"),STOCK!A:H,7,0),1)</f>
        <v>1</v>
      </c>
    </row>
    <row r="1754" spans="10:10" ht="35.450000000000003" hidden="1" customHeight="1">
      <c r="J1754" s="28">
        <f>IFERROR(VLOOKUP(TEXT(B1754,"0"),STOCK!A:H,7,0),1)</f>
        <v>1</v>
      </c>
    </row>
    <row r="1755" spans="10:10" ht="35.450000000000003" hidden="1" customHeight="1">
      <c r="J1755" s="28">
        <f>IFERROR(VLOOKUP(TEXT(B1755,"0"),STOCK!A:H,7,0),1)</f>
        <v>1</v>
      </c>
    </row>
    <row r="1756" spans="10:10" ht="35.450000000000003" hidden="1" customHeight="1">
      <c r="J1756" s="28">
        <f>IFERROR(VLOOKUP(TEXT(B1756,"0"),STOCK!A:H,7,0),1)</f>
        <v>1</v>
      </c>
    </row>
    <row r="1757" spans="10:10" ht="35.450000000000003" hidden="1" customHeight="1">
      <c r="J1757" s="28">
        <f>IFERROR(VLOOKUP(TEXT(B1757,"0"),STOCK!A:H,7,0),1)</f>
        <v>1</v>
      </c>
    </row>
    <row r="1758" spans="10:10" ht="35.450000000000003" hidden="1" customHeight="1">
      <c r="J1758" s="28">
        <f>IFERROR(VLOOKUP(TEXT(B1758,"0"),STOCK!A:H,7,0),1)</f>
        <v>1</v>
      </c>
    </row>
    <row r="1759" spans="10:10" ht="35.450000000000003" hidden="1" customHeight="1">
      <c r="J1759" s="28">
        <f>IFERROR(VLOOKUP(TEXT(B1759,"0"),STOCK!A:H,7,0),1)</f>
        <v>1</v>
      </c>
    </row>
    <row r="1760" spans="10:10" ht="35.450000000000003" hidden="1" customHeight="1">
      <c r="J1760" s="28">
        <f>IFERROR(VLOOKUP(TEXT(B1760,"0"),STOCK!A:H,7,0),1)</f>
        <v>1</v>
      </c>
    </row>
    <row r="1761" spans="10:10" ht="35.450000000000003" hidden="1" customHeight="1">
      <c r="J1761" s="28">
        <f>IFERROR(VLOOKUP(TEXT(B1761,"0"),STOCK!A:H,7,0),1)</f>
        <v>1</v>
      </c>
    </row>
    <row r="1762" spans="10:10" ht="35.450000000000003" hidden="1" customHeight="1">
      <c r="J1762" s="28">
        <f>IFERROR(VLOOKUP(TEXT(B1762,"0"),STOCK!A:H,7,0),1)</f>
        <v>1</v>
      </c>
    </row>
    <row r="1763" spans="10:10" ht="35.450000000000003" hidden="1" customHeight="1">
      <c r="J1763" s="28">
        <f>IFERROR(VLOOKUP(TEXT(B1763,"0"),STOCK!A:H,7,0),1)</f>
        <v>1</v>
      </c>
    </row>
    <row r="1764" spans="10:10" ht="35.450000000000003" hidden="1" customHeight="1">
      <c r="J1764" s="28">
        <f>IFERROR(VLOOKUP(TEXT(B1764,"0"),STOCK!A:H,7,0),1)</f>
        <v>1</v>
      </c>
    </row>
    <row r="1765" spans="10:10" ht="35.450000000000003" hidden="1" customHeight="1">
      <c r="J1765" s="28">
        <f>IFERROR(VLOOKUP(TEXT(B1765,"0"),STOCK!A:H,7,0),1)</f>
        <v>1</v>
      </c>
    </row>
    <row r="1766" spans="10:10" ht="35.450000000000003" hidden="1" customHeight="1">
      <c r="J1766" s="28">
        <f>IFERROR(VLOOKUP(TEXT(B1766,"0"),STOCK!A:H,7,0),1)</f>
        <v>1</v>
      </c>
    </row>
    <row r="1767" spans="10:10" ht="35.450000000000003" hidden="1" customHeight="1">
      <c r="J1767" s="28">
        <f>IFERROR(VLOOKUP(TEXT(B1767,"0"),STOCK!A:H,7,0),1)</f>
        <v>1</v>
      </c>
    </row>
    <row r="1768" spans="10:10" ht="35.450000000000003" hidden="1" customHeight="1">
      <c r="J1768" s="28">
        <f>IFERROR(VLOOKUP(TEXT(B1768,"0"),STOCK!A:H,7,0),1)</f>
        <v>1</v>
      </c>
    </row>
    <row r="1769" spans="10:10" ht="35.450000000000003" hidden="1" customHeight="1">
      <c r="J1769" s="28">
        <f>IFERROR(VLOOKUP(TEXT(B1769,"0"),STOCK!A:H,7,0),1)</f>
        <v>1</v>
      </c>
    </row>
    <row r="1770" spans="10:10" ht="35.450000000000003" hidden="1" customHeight="1">
      <c r="J1770" s="28">
        <f>IFERROR(VLOOKUP(TEXT(B1770,"0"),STOCK!A:H,7,0),1)</f>
        <v>1</v>
      </c>
    </row>
    <row r="1771" spans="10:10" ht="35.450000000000003" hidden="1" customHeight="1">
      <c r="J1771" s="28">
        <f>IFERROR(VLOOKUP(TEXT(B1771,"0"),STOCK!A:H,7,0),1)</f>
        <v>1</v>
      </c>
    </row>
    <row r="1772" spans="10:10" ht="35.450000000000003" hidden="1" customHeight="1">
      <c r="J1772" s="28">
        <f>IFERROR(VLOOKUP(TEXT(B1772,"0"),STOCK!A:H,7,0),1)</f>
        <v>1</v>
      </c>
    </row>
    <row r="1773" spans="10:10" ht="35.450000000000003" hidden="1" customHeight="1">
      <c r="J1773" s="28">
        <f>IFERROR(VLOOKUP(TEXT(B1773,"0"),STOCK!A:H,7,0),1)</f>
        <v>1</v>
      </c>
    </row>
    <row r="1774" spans="10:10" ht="35.450000000000003" hidden="1" customHeight="1">
      <c r="J1774" s="28">
        <f>IFERROR(VLOOKUP(TEXT(B1774,"0"),STOCK!A:H,7,0),1)</f>
        <v>1</v>
      </c>
    </row>
    <row r="1775" spans="10:10" ht="35.450000000000003" hidden="1" customHeight="1">
      <c r="J1775" s="28">
        <f>IFERROR(VLOOKUP(TEXT(B1775,"0"),STOCK!A:H,7,0),1)</f>
        <v>1</v>
      </c>
    </row>
    <row r="1776" spans="10:10" ht="35.450000000000003" hidden="1" customHeight="1">
      <c r="J1776" s="28">
        <f>IFERROR(VLOOKUP(TEXT(B1776,"0"),STOCK!A:H,7,0),1)</f>
        <v>1</v>
      </c>
    </row>
    <row r="1777" spans="10:10" ht="35.450000000000003" hidden="1" customHeight="1">
      <c r="J1777" s="28">
        <f>IFERROR(VLOOKUP(TEXT(B1777,"0"),STOCK!A:H,7,0),1)</f>
        <v>1</v>
      </c>
    </row>
    <row r="1778" spans="10:10" ht="35.450000000000003" hidden="1" customHeight="1">
      <c r="J1778" s="28">
        <f>IFERROR(VLOOKUP(TEXT(B1778,"0"),STOCK!A:H,7,0),1)</f>
        <v>1</v>
      </c>
    </row>
    <row r="1779" spans="10:10" ht="35.450000000000003" hidden="1" customHeight="1">
      <c r="J1779" s="28">
        <f>IFERROR(VLOOKUP(TEXT(B1779,"0"),STOCK!A:H,7,0),1)</f>
        <v>1</v>
      </c>
    </row>
    <row r="1780" spans="10:10" ht="35.450000000000003" hidden="1" customHeight="1">
      <c r="J1780" s="28">
        <f>IFERROR(VLOOKUP(TEXT(B1780,"0"),STOCK!A:H,7,0),1)</f>
        <v>1</v>
      </c>
    </row>
    <row r="1781" spans="10:10" ht="35.450000000000003" hidden="1" customHeight="1">
      <c r="J1781" s="28">
        <f>IFERROR(VLOOKUP(TEXT(B1781,"0"),STOCK!A:H,7,0),1)</f>
        <v>1</v>
      </c>
    </row>
    <row r="1782" spans="10:10" ht="35.450000000000003" hidden="1" customHeight="1">
      <c r="J1782" s="28">
        <f>IFERROR(VLOOKUP(TEXT(B1782,"0"),STOCK!A:H,7,0),1)</f>
        <v>1</v>
      </c>
    </row>
    <row r="1783" spans="10:10" ht="35.450000000000003" hidden="1" customHeight="1">
      <c r="J1783" s="28">
        <f>IFERROR(VLOOKUP(TEXT(B1783,"0"),STOCK!A:H,7,0),1)</f>
        <v>1</v>
      </c>
    </row>
    <row r="1784" spans="10:10" ht="35.450000000000003" hidden="1" customHeight="1">
      <c r="J1784" s="28">
        <f>IFERROR(VLOOKUP(TEXT(B1784,"0"),STOCK!A:H,7,0),1)</f>
        <v>1</v>
      </c>
    </row>
    <row r="1785" spans="10:10" ht="35.450000000000003" hidden="1" customHeight="1">
      <c r="J1785" s="28">
        <f>IFERROR(VLOOKUP(TEXT(B1785,"0"),STOCK!A:H,7,0),1)</f>
        <v>1</v>
      </c>
    </row>
    <row r="1786" spans="10:10" ht="35.450000000000003" hidden="1" customHeight="1">
      <c r="J1786" s="28">
        <f>IFERROR(VLOOKUP(TEXT(B1786,"0"),STOCK!A:H,7,0),1)</f>
        <v>1</v>
      </c>
    </row>
    <row r="1787" spans="10:10" ht="35.450000000000003" hidden="1" customHeight="1">
      <c r="J1787" s="28">
        <f>IFERROR(VLOOKUP(TEXT(B1787,"0"),STOCK!A:H,7,0),1)</f>
        <v>1</v>
      </c>
    </row>
    <row r="1788" spans="10:10" ht="35.450000000000003" hidden="1" customHeight="1">
      <c r="J1788" s="28">
        <f>IFERROR(VLOOKUP(TEXT(B1788,"0"),STOCK!A:H,7,0),1)</f>
        <v>1</v>
      </c>
    </row>
    <row r="1789" spans="10:10" ht="35.450000000000003" hidden="1" customHeight="1">
      <c r="J1789" s="28">
        <f>IFERROR(VLOOKUP(TEXT(B1789,"0"),STOCK!A:H,7,0),1)</f>
        <v>1</v>
      </c>
    </row>
    <row r="1790" spans="10:10" ht="35.450000000000003" hidden="1" customHeight="1">
      <c r="J1790" s="28">
        <f>IFERROR(VLOOKUP(TEXT(B1790,"0"),STOCK!A:H,7,0),1)</f>
        <v>1</v>
      </c>
    </row>
    <row r="1791" spans="10:10" ht="35.450000000000003" hidden="1" customHeight="1">
      <c r="J1791" s="28">
        <f>IFERROR(VLOOKUP(TEXT(B1791,"0"),STOCK!A:H,7,0),1)</f>
        <v>1</v>
      </c>
    </row>
    <row r="1792" spans="10:10" ht="35.450000000000003" hidden="1" customHeight="1">
      <c r="J1792" s="28">
        <f>IFERROR(VLOOKUP(TEXT(B1792,"0"),STOCK!A:H,7,0),1)</f>
        <v>1</v>
      </c>
    </row>
    <row r="1793" spans="10:10" ht="35.450000000000003" hidden="1" customHeight="1">
      <c r="J1793" s="28">
        <f>IFERROR(VLOOKUP(TEXT(B1793,"0"),STOCK!A:H,7,0),1)</f>
        <v>1</v>
      </c>
    </row>
    <row r="1794" spans="10:10" ht="35.450000000000003" hidden="1" customHeight="1">
      <c r="J1794" s="28">
        <f>IFERROR(VLOOKUP(TEXT(B1794,"0"),STOCK!A:H,7,0),1)</f>
        <v>1</v>
      </c>
    </row>
    <row r="1795" spans="10:10" ht="35.450000000000003" hidden="1" customHeight="1">
      <c r="J1795" s="28">
        <f>IFERROR(VLOOKUP(TEXT(B1795,"0"),STOCK!A:H,7,0),1)</f>
        <v>1</v>
      </c>
    </row>
    <row r="1796" spans="10:10" ht="35.450000000000003" hidden="1" customHeight="1">
      <c r="J1796" s="28">
        <f>IFERROR(VLOOKUP(TEXT(B1796,"0"),STOCK!A:H,7,0),1)</f>
        <v>1</v>
      </c>
    </row>
    <row r="1797" spans="10:10" ht="35.450000000000003" hidden="1" customHeight="1">
      <c r="J1797" s="28">
        <f>IFERROR(VLOOKUP(TEXT(B1797,"0"),STOCK!A:H,7,0),1)</f>
        <v>1</v>
      </c>
    </row>
    <row r="1798" spans="10:10" ht="35.450000000000003" hidden="1" customHeight="1">
      <c r="J1798" s="28">
        <f>IFERROR(VLOOKUP(TEXT(B1798,"0"),STOCK!A:H,7,0),1)</f>
        <v>1</v>
      </c>
    </row>
    <row r="1799" spans="10:10" ht="35.450000000000003" hidden="1" customHeight="1">
      <c r="J1799" s="28">
        <f>IFERROR(VLOOKUP(TEXT(B1799,"0"),STOCK!A:H,7,0),1)</f>
        <v>1</v>
      </c>
    </row>
    <row r="1800" spans="10:10" ht="35.450000000000003" hidden="1" customHeight="1">
      <c r="J1800" s="28">
        <f>IFERROR(VLOOKUP(TEXT(B1800,"0"),STOCK!A:H,7,0),1)</f>
        <v>1</v>
      </c>
    </row>
    <row r="1801" spans="10:10" ht="35.450000000000003" hidden="1" customHeight="1">
      <c r="J1801" s="28">
        <f>IFERROR(VLOOKUP(TEXT(B1801,"0"),STOCK!A:H,7,0),1)</f>
        <v>1</v>
      </c>
    </row>
    <row r="1802" spans="10:10" ht="35.450000000000003" hidden="1" customHeight="1">
      <c r="J1802" s="28">
        <f>IFERROR(VLOOKUP(TEXT(B1802,"0"),STOCK!A:H,7,0),1)</f>
        <v>1</v>
      </c>
    </row>
    <row r="1803" spans="10:10" ht="35.450000000000003" hidden="1" customHeight="1">
      <c r="J1803" s="28">
        <f>IFERROR(VLOOKUP(TEXT(B1803,"0"),STOCK!A:H,7,0),1)</f>
        <v>1</v>
      </c>
    </row>
    <row r="1804" spans="10:10" ht="35.450000000000003" hidden="1" customHeight="1">
      <c r="J1804" s="28">
        <f>IFERROR(VLOOKUP(TEXT(B1804,"0"),STOCK!A:H,7,0),1)</f>
        <v>1</v>
      </c>
    </row>
    <row r="1805" spans="10:10" ht="35.450000000000003" hidden="1" customHeight="1">
      <c r="J1805" s="28">
        <f>IFERROR(VLOOKUP(TEXT(B1805,"0"),STOCK!A:H,7,0),1)</f>
        <v>1</v>
      </c>
    </row>
    <row r="1806" spans="10:10" ht="35.450000000000003" hidden="1" customHeight="1">
      <c r="J1806" s="28">
        <f>IFERROR(VLOOKUP(TEXT(B1806,"0"),STOCK!A:H,7,0),1)</f>
        <v>1</v>
      </c>
    </row>
    <row r="1807" spans="10:10" ht="35.450000000000003" hidden="1" customHeight="1">
      <c r="J1807" s="28">
        <f>IFERROR(VLOOKUP(TEXT(B1807,"0"),STOCK!A:H,7,0),1)</f>
        <v>1</v>
      </c>
    </row>
    <row r="1808" spans="10:10" ht="35.450000000000003" hidden="1" customHeight="1">
      <c r="J1808" s="28">
        <f>IFERROR(VLOOKUP(TEXT(B1808,"0"),STOCK!A:H,7,0),1)</f>
        <v>1</v>
      </c>
    </row>
    <row r="1809" spans="10:10" ht="35.450000000000003" hidden="1" customHeight="1">
      <c r="J1809" s="28">
        <f>IFERROR(VLOOKUP(TEXT(B1809,"0"),STOCK!A:H,7,0),1)</f>
        <v>1</v>
      </c>
    </row>
    <row r="1810" spans="10:10" ht="35.450000000000003" hidden="1" customHeight="1">
      <c r="J1810" s="28">
        <f>IFERROR(VLOOKUP(TEXT(B1810,"0"),STOCK!A:H,7,0),1)</f>
        <v>1</v>
      </c>
    </row>
    <row r="1811" spans="10:10" ht="35.450000000000003" hidden="1" customHeight="1">
      <c r="J1811" s="28">
        <f>IFERROR(VLOOKUP(TEXT(B1811,"0"),STOCK!A:H,7,0),1)</f>
        <v>1</v>
      </c>
    </row>
    <row r="1812" spans="10:10" ht="35.450000000000003" hidden="1" customHeight="1">
      <c r="J1812" s="28">
        <f>IFERROR(VLOOKUP(TEXT(B1812,"0"),STOCK!A:H,7,0),1)</f>
        <v>1</v>
      </c>
    </row>
    <row r="1813" spans="10:10" ht="35.450000000000003" hidden="1" customHeight="1">
      <c r="J1813" s="28">
        <f>IFERROR(VLOOKUP(TEXT(B1813,"0"),STOCK!A:H,7,0),1)</f>
        <v>1</v>
      </c>
    </row>
    <row r="1814" spans="10:10" ht="35.450000000000003" hidden="1" customHeight="1">
      <c r="J1814" s="28">
        <f>IFERROR(VLOOKUP(TEXT(B1814,"0"),STOCK!A:H,7,0),1)</f>
        <v>1</v>
      </c>
    </row>
    <row r="1815" spans="10:10" ht="35.450000000000003" hidden="1" customHeight="1">
      <c r="J1815" s="28">
        <f>IFERROR(VLOOKUP(TEXT(B1815,"0"),STOCK!A:H,7,0),1)</f>
        <v>1</v>
      </c>
    </row>
    <row r="1816" spans="10:10" ht="35.450000000000003" hidden="1" customHeight="1">
      <c r="J1816" s="28">
        <f>IFERROR(VLOOKUP(TEXT(B1816,"0"),STOCK!A:H,7,0),1)</f>
        <v>1</v>
      </c>
    </row>
    <row r="1817" spans="10:10" ht="35.450000000000003" hidden="1" customHeight="1">
      <c r="J1817" s="28">
        <f>IFERROR(VLOOKUP(TEXT(B1817,"0"),STOCK!A:H,7,0),1)</f>
        <v>1</v>
      </c>
    </row>
    <row r="1818" spans="10:10" ht="35.450000000000003" hidden="1" customHeight="1">
      <c r="J1818" s="28">
        <f>IFERROR(VLOOKUP(TEXT(B1818,"0"),STOCK!A:H,7,0),1)</f>
        <v>1</v>
      </c>
    </row>
    <row r="1819" spans="10:10" ht="35.450000000000003" hidden="1" customHeight="1">
      <c r="J1819" s="28">
        <f>IFERROR(VLOOKUP(TEXT(B1819,"0"),STOCK!A:H,7,0),1)</f>
        <v>1</v>
      </c>
    </row>
    <row r="1820" spans="10:10" ht="35.450000000000003" hidden="1" customHeight="1">
      <c r="J1820" s="28">
        <f>IFERROR(VLOOKUP(TEXT(B1820,"0"),STOCK!A:H,7,0),1)</f>
        <v>1</v>
      </c>
    </row>
    <row r="1821" spans="10:10" ht="35.450000000000003" hidden="1" customHeight="1">
      <c r="J1821" s="28">
        <f>IFERROR(VLOOKUP(TEXT(B1821,"0"),STOCK!A:H,7,0),1)</f>
        <v>1</v>
      </c>
    </row>
    <row r="1822" spans="10:10" ht="35.450000000000003" hidden="1" customHeight="1">
      <c r="J1822" s="28">
        <f>IFERROR(VLOOKUP(TEXT(B1822,"0"),STOCK!A:H,7,0),1)</f>
        <v>1</v>
      </c>
    </row>
    <row r="1823" spans="10:10" ht="35.450000000000003" hidden="1" customHeight="1">
      <c r="J1823" s="28">
        <f>IFERROR(VLOOKUP(TEXT(B1823,"0"),STOCK!A:H,7,0),1)</f>
        <v>1</v>
      </c>
    </row>
    <row r="1824" spans="10:10" ht="35.450000000000003" hidden="1" customHeight="1">
      <c r="J1824" s="28">
        <f>IFERROR(VLOOKUP(TEXT(B1824,"0"),STOCK!A:H,7,0),1)</f>
        <v>1</v>
      </c>
    </row>
    <row r="1825" spans="10:10" ht="35.450000000000003" hidden="1" customHeight="1">
      <c r="J1825" s="28">
        <f>IFERROR(VLOOKUP(TEXT(B1825,"0"),STOCK!A:H,7,0),1)</f>
        <v>1</v>
      </c>
    </row>
    <row r="1826" spans="10:10" ht="35.450000000000003" hidden="1" customHeight="1">
      <c r="J1826" s="28">
        <f>IFERROR(VLOOKUP(TEXT(B1826,"0"),STOCK!A:H,7,0),1)</f>
        <v>1</v>
      </c>
    </row>
    <row r="1827" spans="10:10" ht="35.450000000000003" hidden="1" customHeight="1">
      <c r="J1827" s="28">
        <f>IFERROR(VLOOKUP(TEXT(B1827,"0"),STOCK!A:H,7,0),1)</f>
        <v>1</v>
      </c>
    </row>
    <row r="1828" spans="10:10" ht="35.450000000000003" hidden="1" customHeight="1">
      <c r="J1828" s="28">
        <f>IFERROR(VLOOKUP(TEXT(B1828,"0"),STOCK!A:H,7,0),1)</f>
        <v>1</v>
      </c>
    </row>
    <row r="1829" spans="10:10" ht="35.450000000000003" hidden="1" customHeight="1">
      <c r="J1829" s="28">
        <f>IFERROR(VLOOKUP(TEXT(B1829,"0"),STOCK!A:H,7,0),1)</f>
        <v>1</v>
      </c>
    </row>
    <row r="1830" spans="10:10" ht="35.450000000000003" hidden="1" customHeight="1">
      <c r="J1830" s="28">
        <f>IFERROR(VLOOKUP(TEXT(B1830,"0"),STOCK!A:H,7,0),1)</f>
        <v>1</v>
      </c>
    </row>
    <row r="1831" spans="10:10" ht="35.450000000000003" hidden="1" customHeight="1">
      <c r="J1831" s="28">
        <f>IFERROR(VLOOKUP(TEXT(B1831,"0"),STOCK!A:H,7,0),1)</f>
        <v>1</v>
      </c>
    </row>
    <row r="1832" spans="10:10" ht="35.450000000000003" hidden="1" customHeight="1">
      <c r="J1832" s="28">
        <f>IFERROR(VLOOKUP(TEXT(B1832,"0"),STOCK!A:H,7,0),1)</f>
        <v>1</v>
      </c>
    </row>
    <row r="1833" spans="10:10" ht="35.450000000000003" hidden="1" customHeight="1">
      <c r="J1833" s="28">
        <f>IFERROR(VLOOKUP(TEXT(B1833,"0"),STOCK!A:H,7,0),1)</f>
        <v>1</v>
      </c>
    </row>
    <row r="1834" spans="10:10" ht="35.450000000000003" hidden="1" customHeight="1">
      <c r="J1834" s="28">
        <f>IFERROR(VLOOKUP(TEXT(B1834,"0"),STOCK!A:H,7,0),1)</f>
        <v>1</v>
      </c>
    </row>
    <row r="1835" spans="10:10" ht="35.450000000000003" hidden="1" customHeight="1">
      <c r="J1835" s="28">
        <f>IFERROR(VLOOKUP(TEXT(B1835,"0"),STOCK!A:H,7,0),1)</f>
        <v>1</v>
      </c>
    </row>
    <row r="1836" spans="10:10" ht="35.450000000000003" hidden="1" customHeight="1">
      <c r="J1836" s="28">
        <f>IFERROR(VLOOKUP(TEXT(B1836,"0"),STOCK!A:H,7,0),1)</f>
        <v>1</v>
      </c>
    </row>
    <row r="1837" spans="10:10" ht="35.450000000000003" hidden="1" customHeight="1">
      <c r="J1837" s="28">
        <f>IFERROR(VLOOKUP(TEXT(B1837,"0"),STOCK!A:H,7,0),1)</f>
        <v>1</v>
      </c>
    </row>
    <row r="1838" spans="10:10" ht="35.450000000000003" hidden="1" customHeight="1">
      <c r="J1838" s="28">
        <f>IFERROR(VLOOKUP(TEXT(B1838,"0"),STOCK!A:H,7,0),1)</f>
        <v>1</v>
      </c>
    </row>
    <row r="1839" spans="10:10" ht="35.450000000000003" hidden="1" customHeight="1">
      <c r="J1839" s="28">
        <f>IFERROR(VLOOKUP(TEXT(B1839,"0"),STOCK!A:H,7,0),1)</f>
        <v>1</v>
      </c>
    </row>
    <row r="1840" spans="10:10" ht="35.450000000000003" hidden="1" customHeight="1">
      <c r="J1840" s="28">
        <f>IFERROR(VLOOKUP(TEXT(B1840,"0"),STOCK!A:H,7,0),1)</f>
        <v>1</v>
      </c>
    </row>
    <row r="1841" spans="10:10" ht="35.450000000000003" hidden="1" customHeight="1">
      <c r="J1841" s="28">
        <f>IFERROR(VLOOKUP(TEXT(B1841,"0"),STOCK!A:H,7,0),1)</f>
        <v>1</v>
      </c>
    </row>
    <row r="1842" spans="10:10" ht="35.450000000000003" hidden="1" customHeight="1">
      <c r="J1842" s="28">
        <f>IFERROR(VLOOKUP(TEXT(B1842,"0"),STOCK!A:H,7,0),1)</f>
        <v>1</v>
      </c>
    </row>
    <row r="1843" spans="10:10" ht="35.450000000000003" hidden="1" customHeight="1">
      <c r="J1843" s="28">
        <f>IFERROR(VLOOKUP(TEXT(B1843,"0"),STOCK!A:H,7,0),1)</f>
        <v>1</v>
      </c>
    </row>
    <row r="1844" spans="10:10" ht="35.450000000000003" hidden="1" customHeight="1">
      <c r="J1844" s="28">
        <f>IFERROR(VLOOKUP(TEXT(B1844,"0"),STOCK!A:H,7,0),1)</f>
        <v>1</v>
      </c>
    </row>
    <row r="1845" spans="10:10" ht="35.450000000000003" hidden="1" customHeight="1">
      <c r="J1845" s="28">
        <f>IFERROR(VLOOKUP(TEXT(B1845,"0"),STOCK!A:H,7,0),1)</f>
        <v>1</v>
      </c>
    </row>
    <row r="1846" spans="10:10" ht="35.450000000000003" hidden="1" customHeight="1">
      <c r="J1846" s="28">
        <f>IFERROR(VLOOKUP(TEXT(B1846,"0"),STOCK!A:H,7,0),1)</f>
        <v>1</v>
      </c>
    </row>
    <row r="1847" spans="10:10" ht="35.450000000000003" hidden="1" customHeight="1">
      <c r="J1847" s="28">
        <f>IFERROR(VLOOKUP(TEXT(B1847,"0"),STOCK!A:H,7,0),1)</f>
        <v>1</v>
      </c>
    </row>
    <row r="1848" spans="10:10" ht="35.450000000000003" hidden="1" customHeight="1">
      <c r="J1848" s="28">
        <f>IFERROR(VLOOKUP(TEXT(B1848,"0"),STOCK!A:H,7,0),1)</f>
        <v>1</v>
      </c>
    </row>
    <row r="1849" spans="10:10" ht="35.450000000000003" hidden="1" customHeight="1">
      <c r="J1849" s="28">
        <f>IFERROR(VLOOKUP(TEXT(B1849,"0"),STOCK!A:H,7,0),1)</f>
        <v>1</v>
      </c>
    </row>
    <row r="1850" spans="10:10" ht="35.450000000000003" hidden="1" customHeight="1">
      <c r="J1850" s="28">
        <f>IFERROR(VLOOKUP(TEXT(B1850,"0"),STOCK!A:H,7,0),1)</f>
        <v>1</v>
      </c>
    </row>
    <row r="1851" spans="10:10" ht="35.450000000000003" hidden="1" customHeight="1">
      <c r="J1851" s="28">
        <f>IFERROR(VLOOKUP(TEXT(B1851,"0"),STOCK!A:H,7,0),1)</f>
        <v>1</v>
      </c>
    </row>
    <row r="1852" spans="10:10" ht="35.450000000000003" hidden="1" customHeight="1">
      <c r="J1852" s="28">
        <f>IFERROR(VLOOKUP(TEXT(B1852,"0"),STOCK!A:H,7,0),1)</f>
        <v>1</v>
      </c>
    </row>
    <row r="1853" spans="10:10" ht="35.450000000000003" hidden="1" customHeight="1">
      <c r="J1853" s="28">
        <f>IFERROR(VLOOKUP(TEXT(B1853,"0"),STOCK!A:H,7,0),1)</f>
        <v>1</v>
      </c>
    </row>
    <row r="1854" spans="10:10" ht="35.450000000000003" hidden="1" customHeight="1">
      <c r="J1854" s="28">
        <f>IFERROR(VLOOKUP(TEXT(B1854,"0"),STOCK!A:H,7,0),1)</f>
        <v>1</v>
      </c>
    </row>
    <row r="1855" spans="10:10" ht="35.450000000000003" hidden="1" customHeight="1">
      <c r="J1855" s="28">
        <f>IFERROR(VLOOKUP(TEXT(B1855,"0"),STOCK!A:H,7,0),1)</f>
        <v>1</v>
      </c>
    </row>
    <row r="1856" spans="10:10" ht="35.450000000000003" hidden="1" customHeight="1">
      <c r="J1856" s="28">
        <f>IFERROR(VLOOKUP(TEXT(B1856,"0"),STOCK!A:H,7,0),1)</f>
        <v>1</v>
      </c>
    </row>
    <row r="1857" spans="10:10" ht="35.450000000000003" hidden="1" customHeight="1">
      <c r="J1857" s="28">
        <f>IFERROR(VLOOKUP(TEXT(B1857,"0"),STOCK!A:H,7,0),1)</f>
        <v>1</v>
      </c>
    </row>
    <row r="1858" spans="10:10" ht="35.450000000000003" hidden="1" customHeight="1">
      <c r="J1858" s="28">
        <f>IFERROR(VLOOKUP(TEXT(B1858,"0"),STOCK!A:H,7,0),1)</f>
        <v>1</v>
      </c>
    </row>
    <row r="1859" spans="10:10" ht="35.450000000000003" hidden="1" customHeight="1">
      <c r="J1859" s="28">
        <f>IFERROR(VLOOKUP(TEXT(B1859,"0"),STOCK!A:H,7,0),1)</f>
        <v>1</v>
      </c>
    </row>
    <row r="1860" spans="10:10" ht="35.450000000000003" hidden="1" customHeight="1">
      <c r="J1860" s="28">
        <f>IFERROR(VLOOKUP(TEXT(B1860,"0"),STOCK!A:H,7,0),1)</f>
        <v>1</v>
      </c>
    </row>
    <row r="1861" spans="10:10" ht="35.450000000000003" hidden="1" customHeight="1">
      <c r="J1861" s="28">
        <f>IFERROR(VLOOKUP(TEXT(B1861,"0"),STOCK!A:H,7,0),1)</f>
        <v>1</v>
      </c>
    </row>
    <row r="1862" spans="10:10" ht="35.450000000000003" hidden="1" customHeight="1">
      <c r="J1862" s="28">
        <f>IFERROR(VLOOKUP(TEXT(B1862,"0"),STOCK!A:H,7,0),1)</f>
        <v>1</v>
      </c>
    </row>
    <row r="1863" spans="10:10" ht="35.450000000000003" hidden="1" customHeight="1">
      <c r="J1863" s="28">
        <f>IFERROR(VLOOKUP(TEXT(B1863,"0"),STOCK!A:H,7,0),1)</f>
        <v>1</v>
      </c>
    </row>
    <row r="1864" spans="10:10" ht="35.450000000000003" hidden="1" customHeight="1">
      <c r="J1864" s="28">
        <f>IFERROR(VLOOKUP(TEXT(B1864,"0"),STOCK!A:H,7,0),1)</f>
        <v>1</v>
      </c>
    </row>
    <row r="1865" spans="10:10" ht="35.450000000000003" hidden="1" customHeight="1">
      <c r="J1865" s="28">
        <f>IFERROR(VLOOKUP(TEXT(B1865,"0"),STOCK!A:H,7,0),1)</f>
        <v>1</v>
      </c>
    </row>
    <row r="1866" spans="10:10" ht="35.450000000000003" hidden="1" customHeight="1">
      <c r="J1866" s="28">
        <f>IFERROR(VLOOKUP(TEXT(B1866,"0"),STOCK!A:H,7,0),1)</f>
        <v>1</v>
      </c>
    </row>
    <row r="1867" spans="10:10" ht="35.450000000000003" hidden="1" customHeight="1">
      <c r="J1867" s="28">
        <f>IFERROR(VLOOKUP(TEXT(B1867,"0"),STOCK!A:H,7,0),1)</f>
        <v>1</v>
      </c>
    </row>
    <row r="1868" spans="10:10" ht="35.450000000000003" hidden="1" customHeight="1">
      <c r="J1868" s="28">
        <f>IFERROR(VLOOKUP(TEXT(B1868,"0"),STOCK!A:H,7,0),1)</f>
        <v>1</v>
      </c>
    </row>
    <row r="1869" spans="10:10" ht="35.450000000000003" hidden="1" customHeight="1">
      <c r="J1869" s="28">
        <f>IFERROR(VLOOKUP(TEXT(B1869,"0"),STOCK!A:H,7,0),1)</f>
        <v>1</v>
      </c>
    </row>
    <row r="1870" spans="10:10" ht="35.450000000000003" hidden="1" customHeight="1">
      <c r="J1870" s="28">
        <f>IFERROR(VLOOKUP(TEXT(B1870,"0"),STOCK!A:H,7,0),1)</f>
        <v>1</v>
      </c>
    </row>
    <row r="1871" spans="10:10" ht="35.450000000000003" hidden="1" customHeight="1">
      <c r="J1871" s="28">
        <f>IFERROR(VLOOKUP(TEXT(B1871,"0"),STOCK!A:H,7,0),1)</f>
        <v>1</v>
      </c>
    </row>
    <row r="1872" spans="10:10" ht="35.450000000000003" hidden="1" customHeight="1">
      <c r="J1872" s="28">
        <f>IFERROR(VLOOKUP(TEXT(B1872,"0"),STOCK!A:H,7,0),1)</f>
        <v>1</v>
      </c>
    </row>
    <row r="1873" spans="10:10" ht="35.450000000000003" hidden="1" customHeight="1">
      <c r="J1873" s="28">
        <f>IFERROR(VLOOKUP(TEXT(B1873,"0"),STOCK!A:H,7,0),1)</f>
        <v>1</v>
      </c>
    </row>
    <row r="1874" spans="10:10" ht="35.450000000000003" hidden="1" customHeight="1">
      <c r="J1874" s="28">
        <f>IFERROR(VLOOKUP(TEXT(B1874,"0"),STOCK!A:H,7,0),1)</f>
        <v>1</v>
      </c>
    </row>
    <row r="1875" spans="10:10" ht="35.450000000000003" hidden="1" customHeight="1">
      <c r="J1875" s="28">
        <f>IFERROR(VLOOKUP(TEXT(B1875,"0"),STOCK!A:H,7,0),1)</f>
        <v>1</v>
      </c>
    </row>
    <row r="1876" spans="10:10" ht="35.450000000000003" hidden="1" customHeight="1">
      <c r="J1876" s="28">
        <f>IFERROR(VLOOKUP(TEXT(B1876,"0"),STOCK!A:H,7,0),1)</f>
        <v>1</v>
      </c>
    </row>
    <row r="1877" spans="10:10" ht="35.450000000000003" hidden="1" customHeight="1">
      <c r="J1877" s="28">
        <f>IFERROR(VLOOKUP(TEXT(B1877,"0"),STOCK!A:H,7,0),1)</f>
        <v>1</v>
      </c>
    </row>
    <row r="1878" spans="10:10" ht="35.450000000000003" hidden="1" customHeight="1">
      <c r="J1878" s="28">
        <f>IFERROR(VLOOKUP(TEXT(B1878,"0"),STOCK!A:H,7,0),1)</f>
        <v>1</v>
      </c>
    </row>
    <row r="1879" spans="10:10" ht="35.450000000000003" hidden="1" customHeight="1">
      <c r="J1879" s="28">
        <f>IFERROR(VLOOKUP(TEXT(B1879,"0"),STOCK!A:H,7,0),1)</f>
        <v>1</v>
      </c>
    </row>
    <row r="1880" spans="10:10" ht="35.450000000000003" hidden="1" customHeight="1">
      <c r="J1880" s="28">
        <f>IFERROR(VLOOKUP(TEXT(B1880,"0"),STOCK!A:H,7,0),1)</f>
        <v>1</v>
      </c>
    </row>
    <row r="1881" spans="10:10" ht="35.450000000000003" hidden="1" customHeight="1">
      <c r="J1881" s="28">
        <f>IFERROR(VLOOKUP(TEXT(B1881,"0"),STOCK!A:H,7,0),1)</f>
        <v>1</v>
      </c>
    </row>
    <row r="1882" spans="10:10" ht="35.450000000000003" hidden="1" customHeight="1">
      <c r="J1882" s="28">
        <f>IFERROR(VLOOKUP(TEXT(B1882,"0"),STOCK!A:H,7,0),1)</f>
        <v>1</v>
      </c>
    </row>
    <row r="1883" spans="10:10" ht="35.450000000000003" hidden="1" customHeight="1">
      <c r="J1883" s="28">
        <f>IFERROR(VLOOKUP(TEXT(B1883,"0"),STOCK!A:H,7,0),1)</f>
        <v>1</v>
      </c>
    </row>
    <row r="1884" spans="10:10" ht="35.450000000000003" hidden="1" customHeight="1">
      <c r="J1884" s="28">
        <f>IFERROR(VLOOKUP(TEXT(B1884,"0"),STOCK!A:H,7,0),1)</f>
        <v>1</v>
      </c>
    </row>
    <row r="1885" spans="10:10" ht="35.450000000000003" hidden="1" customHeight="1">
      <c r="J1885" s="28">
        <f>IFERROR(VLOOKUP(TEXT(B1885,"0"),STOCK!A:H,7,0),1)</f>
        <v>1</v>
      </c>
    </row>
    <row r="1886" spans="10:10" ht="35.450000000000003" hidden="1" customHeight="1">
      <c r="J1886" s="28">
        <f>IFERROR(VLOOKUP(TEXT(B1886,"0"),STOCK!A:H,7,0),1)</f>
        <v>1</v>
      </c>
    </row>
    <row r="1887" spans="10:10" ht="35.450000000000003" hidden="1" customHeight="1">
      <c r="J1887" s="28">
        <f>IFERROR(VLOOKUP(TEXT(B1887,"0"),STOCK!A:H,7,0),1)</f>
        <v>1</v>
      </c>
    </row>
    <row r="1888" spans="10:10" ht="35.450000000000003" hidden="1" customHeight="1">
      <c r="J1888" s="28">
        <f>IFERROR(VLOOKUP(TEXT(B1888,"0"),STOCK!A:H,7,0),1)</f>
        <v>1</v>
      </c>
    </row>
    <row r="1889" spans="10:10" ht="35.450000000000003" hidden="1" customHeight="1">
      <c r="J1889" s="28">
        <f>IFERROR(VLOOKUP(TEXT(B1889,"0"),STOCK!A:H,7,0),1)</f>
        <v>1</v>
      </c>
    </row>
    <row r="1890" spans="10:10" ht="35.450000000000003" hidden="1" customHeight="1">
      <c r="J1890" s="28">
        <f>IFERROR(VLOOKUP(TEXT(B1890,"0"),STOCK!A:H,7,0),1)</f>
        <v>1</v>
      </c>
    </row>
    <row r="1891" spans="10:10" ht="35.450000000000003" hidden="1" customHeight="1">
      <c r="J1891" s="28">
        <f>IFERROR(VLOOKUP(TEXT(B1891,"0"),STOCK!A:H,7,0),1)</f>
        <v>1</v>
      </c>
    </row>
    <row r="1892" spans="10:10" ht="35.450000000000003" hidden="1" customHeight="1">
      <c r="J1892" s="28">
        <f>IFERROR(VLOOKUP(TEXT(B1892,"0"),STOCK!A:H,7,0),1)</f>
        <v>1</v>
      </c>
    </row>
    <row r="1893" spans="10:10" ht="35.450000000000003" hidden="1" customHeight="1">
      <c r="J1893" s="28">
        <f>IFERROR(VLOOKUP(TEXT(B1893,"0"),STOCK!A:H,7,0),1)</f>
        <v>1</v>
      </c>
    </row>
    <row r="1894" spans="10:10" ht="35.450000000000003" hidden="1" customHeight="1">
      <c r="J1894" s="28">
        <f>IFERROR(VLOOKUP(TEXT(B1894,"0"),STOCK!A:H,7,0),1)</f>
        <v>1</v>
      </c>
    </row>
    <row r="1895" spans="10:10" ht="35.450000000000003" hidden="1" customHeight="1">
      <c r="J1895" s="28">
        <f>IFERROR(VLOOKUP(TEXT(B1895,"0"),STOCK!A:H,7,0),1)</f>
        <v>1</v>
      </c>
    </row>
    <row r="1896" spans="10:10" ht="35.450000000000003" hidden="1" customHeight="1">
      <c r="J1896" s="28">
        <f>IFERROR(VLOOKUP(TEXT(B1896,"0"),STOCK!A:H,7,0),1)</f>
        <v>1</v>
      </c>
    </row>
    <row r="1897" spans="10:10" ht="35.450000000000003" hidden="1" customHeight="1">
      <c r="J1897" s="28">
        <f>IFERROR(VLOOKUP(TEXT(B1897,"0"),STOCK!A:H,7,0),1)</f>
        <v>1</v>
      </c>
    </row>
    <row r="1898" spans="10:10" ht="35.450000000000003" hidden="1" customHeight="1">
      <c r="J1898" s="28">
        <f>IFERROR(VLOOKUP(TEXT(B1898,"0"),STOCK!A:H,7,0),1)</f>
        <v>1</v>
      </c>
    </row>
    <row r="1899" spans="10:10" ht="35.450000000000003" hidden="1" customHeight="1">
      <c r="J1899" s="28">
        <f>IFERROR(VLOOKUP(TEXT(B1899,"0"),STOCK!A:H,7,0),1)</f>
        <v>1</v>
      </c>
    </row>
    <row r="1900" spans="10:10" ht="35.450000000000003" hidden="1" customHeight="1">
      <c r="J1900" s="28">
        <f>IFERROR(VLOOKUP(TEXT(B1900,"0"),STOCK!A:H,7,0),1)</f>
        <v>1</v>
      </c>
    </row>
    <row r="1901" spans="10:10" ht="35.450000000000003" hidden="1" customHeight="1">
      <c r="J1901" s="28">
        <f>IFERROR(VLOOKUP(TEXT(B1901,"0"),STOCK!A:H,7,0),1)</f>
        <v>1</v>
      </c>
    </row>
    <row r="1902" spans="10:10" ht="35.450000000000003" hidden="1" customHeight="1">
      <c r="J1902" s="28">
        <f>IFERROR(VLOOKUP(TEXT(B1902,"0"),STOCK!A:H,7,0),1)</f>
        <v>1</v>
      </c>
    </row>
    <row r="1903" spans="10:10" ht="35.450000000000003" hidden="1" customHeight="1">
      <c r="J1903" s="28">
        <f>IFERROR(VLOOKUP(TEXT(B1903,"0"),STOCK!A:H,7,0),1)</f>
        <v>1</v>
      </c>
    </row>
    <row r="1904" spans="10:10" ht="35.450000000000003" hidden="1" customHeight="1">
      <c r="J1904" s="28">
        <f>IFERROR(VLOOKUP(TEXT(B1904,"0"),STOCK!A:H,7,0),1)</f>
        <v>1</v>
      </c>
    </row>
    <row r="1905" spans="10:10" ht="35.450000000000003" hidden="1" customHeight="1">
      <c r="J1905" s="28">
        <f>IFERROR(VLOOKUP(TEXT(B1905,"0"),STOCK!A:H,7,0),1)</f>
        <v>1</v>
      </c>
    </row>
    <row r="1906" spans="10:10" ht="35.450000000000003" hidden="1" customHeight="1">
      <c r="J1906" s="28">
        <f>IFERROR(VLOOKUP(TEXT(B1906,"0"),STOCK!A:H,7,0),1)</f>
        <v>1</v>
      </c>
    </row>
    <row r="1907" spans="10:10" ht="35.450000000000003" hidden="1" customHeight="1">
      <c r="J1907" s="28">
        <f>IFERROR(VLOOKUP(TEXT(B1907,"0"),STOCK!A:H,7,0),1)</f>
        <v>1</v>
      </c>
    </row>
    <row r="1908" spans="10:10" ht="35.450000000000003" hidden="1" customHeight="1">
      <c r="J1908" s="28">
        <f>IFERROR(VLOOKUP(TEXT(B1908,"0"),STOCK!A:H,7,0),1)</f>
        <v>1</v>
      </c>
    </row>
    <row r="1909" spans="10:10" ht="35.450000000000003" hidden="1" customHeight="1">
      <c r="J1909" s="28">
        <f>IFERROR(VLOOKUP(TEXT(B1909,"0"),STOCK!A:H,7,0),1)</f>
        <v>1</v>
      </c>
    </row>
    <row r="1910" spans="10:10" ht="35.450000000000003" hidden="1" customHeight="1">
      <c r="J1910" s="28">
        <f>IFERROR(VLOOKUP(TEXT(B1910,"0"),STOCK!A:H,7,0),1)</f>
        <v>1</v>
      </c>
    </row>
    <row r="1911" spans="10:10" ht="35.450000000000003" hidden="1" customHeight="1">
      <c r="J1911" s="28">
        <f>IFERROR(VLOOKUP(TEXT(B1911,"0"),STOCK!A:H,7,0),1)</f>
        <v>1</v>
      </c>
    </row>
    <row r="1912" spans="10:10" ht="35.450000000000003" hidden="1" customHeight="1">
      <c r="J1912" s="28">
        <f>IFERROR(VLOOKUP(TEXT(B1912,"0"),STOCK!A:H,7,0),1)</f>
        <v>1</v>
      </c>
    </row>
    <row r="1913" spans="10:10" ht="35.450000000000003" hidden="1" customHeight="1">
      <c r="J1913" s="28">
        <f>IFERROR(VLOOKUP(TEXT(B1913,"0"),STOCK!A:H,7,0),1)</f>
        <v>1</v>
      </c>
    </row>
    <row r="1914" spans="10:10" ht="35.450000000000003" hidden="1" customHeight="1">
      <c r="J1914" s="28">
        <f>IFERROR(VLOOKUP(TEXT(B1914,"0"),STOCK!A:H,7,0),1)</f>
        <v>1</v>
      </c>
    </row>
    <row r="1915" spans="10:10" ht="35.450000000000003" hidden="1" customHeight="1">
      <c r="J1915" s="28">
        <f>IFERROR(VLOOKUP(TEXT(B1915,"0"),STOCK!A:H,7,0),1)</f>
        <v>1</v>
      </c>
    </row>
    <row r="1916" spans="10:10" ht="35.450000000000003" hidden="1" customHeight="1">
      <c r="J1916" s="28">
        <f>IFERROR(VLOOKUP(TEXT(B1916,"0"),STOCK!A:H,7,0),1)</f>
        <v>1</v>
      </c>
    </row>
    <row r="1917" spans="10:10" ht="35.450000000000003" hidden="1" customHeight="1">
      <c r="J1917" s="28">
        <f>IFERROR(VLOOKUP(TEXT(B1917,"0"),STOCK!A:H,7,0),1)</f>
        <v>1</v>
      </c>
    </row>
    <row r="1918" spans="10:10" ht="35.450000000000003" hidden="1" customHeight="1">
      <c r="J1918" s="28">
        <f>IFERROR(VLOOKUP(TEXT(B1918,"0"),STOCK!A:H,7,0),1)</f>
        <v>1</v>
      </c>
    </row>
    <row r="1919" spans="10:10" ht="35.450000000000003" hidden="1" customHeight="1">
      <c r="J1919" s="28">
        <f>IFERROR(VLOOKUP(TEXT(B1919,"0"),STOCK!A:H,7,0),1)</f>
        <v>1</v>
      </c>
    </row>
    <row r="1920" spans="10:10" ht="35.450000000000003" hidden="1" customHeight="1">
      <c r="J1920" s="28">
        <f>IFERROR(VLOOKUP(TEXT(B1920,"0"),STOCK!A:H,7,0),1)</f>
        <v>1</v>
      </c>
    </row>
    <row r="1921" spans="10:10" ht="35.450000000000003" hidden="1" customHeight="1">
      <c r="J1921" s="28">
        <f>IFERROR(VLOOKUP(TEXT(B1921,"0"),STOCK!A:H,7,0),1)</f>
        <v>1</v>
      </c>
    </row>
    <row r="1922" spans="10:10" ht="35.450000000000003" hidden="1" customHeight="1">
      <c r="J1922" s="28">
        <f>IFERROR(VLOOKUP(TEXT(B1922,"0"),STOCK!A:H,7,0),1)</f>
        <v>1</v>
      </c>
    </row>
    <row r="1923" spans="10:10" ht="35.450000000000003" hidden="1" customHeight="1">
      <c r="J1923" s="28">
        <f>IFERROR(VLOOKUP(TEXT(B1923,"0"),STOCK!A:H,7,0),1)</f>
        <v>1</v>
      </c>
    </row>
    <row r="1924" spans="10:10" ht="35.450000000000003" hidden="1" customHeight="1">
      <c r="J1924" s="28">
        <f>IFERROR(VLOOKUP(TEXT(B1924,"0"),STOCK!A:H,7,0),1)</f>
        <v>1</v>
      </c>
    </row>
    <row r="1925" spans="10:10" ht="35.450000000000003" hidden="1" customHeight="1">
      <c r="J1925" s="28">
        <f>IFERROR(VLOOKUP(TEXT(B1925,"0"),STOCK!A:H,7,0),1)</f>
        <v>1</v>
      </c>
    </row>
    <row r="1926" spans="10:10" ht="35.450000000000003" hidden="1" customHeight="1">
      <c r="J1926" s="28">
        <f>IFERROR(VLOOKUP(TEXT(B1926,"0"),STOCK!A:H,7,0),1)</f>
        <v>1</v>
      </c>
    </row>
    <row r="1927" spans="10:10" ht="35.450000000000003" hidden="1" customHeight="1">
      <c r="J1927" s="28">
        <f>IFERROR(VLOOKUP(TEXT(B1927,"0"),STOCK!A:H,7,0),1)</f>
        <v>1</v>
      </c>
    </row>
    <row r="1928" spans="10:10" ht="35.450000000000003" hidden="1" customHeight="1">
      <c r="J1928" s="28">
        <f>IFERROR(VLOOKUP(TEXT(B1928,"0"),STOCK!A:H,7,0),1)</f>
        <v>1</v>
      </c>
    </row>
    <row r="1929" spans="10:10" ht="35.450000000000003" hidden="1" customHeight="1">
      <c r="J1929" s="28">
        <f>IFERROR(VLOOKUP(TEXT(B1929,"0"),STOCK!A:H,7,0),1)</f>
        <v>1</v>
      </c>
    </row>
    <row r="1930" spans="10:10" ht="35.450000000000003" hidden="1" customHeight="1">
      <c r="J1930" s="28">
        <f>IFERROR(VLOOKUP(TEXT(B1930,"0"),STOCK!A:H,7,0),1)</f>
        <v>1</v>
      </c>
    </row>
    <row r="1931" spans="10:10" ht="35.450000000000003" hidden="1" customHeight="1">
      <c r="J1931" s="28">
        <f>IFERROR(VLOOKUP(TEXT(B1931,"0"),STOCK!A:H,7,0),1)</f>
        <v>1</v>
      </c>
    </row>
    <row r="1932" spans="10:10" ht="35.450000000000003" hidden="1" customHeight="1">
      <c r="J1932" s="28">
        <f>IFERROR(VLOOKUP(TEXT(B1932,"0"),STOCK!A:H,7,0),1)</f>
        <v>1</v>
      </c>
    </row>
    <row r="1933" spans="10:10" ht="35.450000000000003" hidden="1" customHeight="1">
      <c r="J1933" s="28">
        <f>IFERROR(VLOOKUP(TEXT(B1933,"0"),STOCK!A:H,7,0),1)</f>
        <v>1</v>
      </c>
    </row>
    <row r="1934" spans="10:10" ht="35.450000000000003" hidden="1" customHeight="1">
      <c r="J1934" s="28">
        <f>IFERROR(VLOOKUP(TEXT(B1934,"0"),STOCK!A:H,7,0),1)</f>
        <v>1</v>
      </c>
    </row>
    <row r="1935" spans="10:10" ht="35.450000000000003" hidden="1" customHeight="1">
      <c r="J1935" s="28">
        <f>IFERROR(VLOOKUP(TEXT(B1935,"0"),STOCK!A:H,7,0),1)</f>
        <v>1</v>
      </c>
    </row>
    <row r="1936" spans="10:10" ht="35.450000000000003" hidden="1" customHeight="1">
      <c r="J1936" s="28">
        <f>IFERROR(VLOOKUP(TEXT(B1936,"0"),STOCK!A:H,7,0),1)</f>
        <v>1</v>
      </c>
    </row>
    <row r="1937" spans="10:10" ht="35.450000000000003" hidden="1" customHeight="1">
      <c r="J1937" s="28">
        <f>IFERROR(VLOOKUP(TEXT(B1937,"0"),STOCK!A:H,7,0),1)</f>
        <v>1</v>
      </c>
    </row>
    <row r="1938" spans="10:10" ht="35.450000000000003" hidden="1" customHeight="1">
      <c r="J1938" s="28">
        <f>IFERROR(VLOOKUP(TEXT(B1938,"0"),STOCK!A:H,7,0),1)</f>
        <v>1</v>
      </c>
    </row>
    <row r="1939" spans="10:10" ht="35.450000000000003" hidden="1" customHeight="1">
      <c r="J1939" s="28">
        <f>IFERROR(VLOOKUP(TEXT(B1939,"0"),STOCK!A:H,7,0),1)</f>
        <v>1</v>
      </c>
    </row>
    <row r="1940" spans="10:10" ht="35.450000000000003" hidden="1" customHeight="1">
      <c r="J1940" s="28">
        <f>IFERROR(VLOOKUP(TEXT(B1940,"0"),STOCK!A:H,7,0),1)</f>
        <v>1</v>
      </c>
    </row>
    <row r="1941" spans="10:10" ht="35.450000000000003" hidden="1" customHeight="1">
      <c r="J1941" s="28">
        <f>IFERROR(VLOOKUP(TEXT(B1941,"0"),STOCK!A:H,7,0),1)</f>
        <v>1</v>
      </c>
    </row>
    <row r="1942" spans="10:10" ht="35.450000000000003" hidden="1" customHeight="1">
      <c r="J1942" s="28">
        <f>IFERROR(VLOOKUP(TEXT(B1942,"0"),STOCK!A:H,7,0),1)</f>
        <v>1</v>
      </c>
    </row>
    <row r="1943" spans="10:10" ht="35.450000000000003" hidden="1" customHeight="1">
      <c r="J1943" s="28">
        <f>IFERROR(VLOOKUP(TEXT(B1943,"0"),STOCK!A:H,7,0),1)</f>
        <v>1</v>
      </c>
    </row>
    <row r="1944" spans="10:10" ht="35.450000000000003" hidden="1" customHeight="1">
      <c r="J1944" s="28">
        <f>IFERROR(VLOOKUP(TEXT(B1944,"0"),STOCK!A:H,7,0),1)</f>
        <v>1</v>
      </c>
    </row>
    <row r="1945" spans="10:10" ht="35.450000000000003" hidden="1" customHeight="1">
      <c r="J1945" s="28">
        <f>IFERROR(VLOOKUP(TEXT(B1945,"0"),STOCK!A:H,7,0),1)</f>
        <v>1</v>
      </c>
    </row>
    <row r="1946" spans="10:10" ht="35.450000000000003" hidden="1" customHeight="1">
      <c r="J1946" s="28">
        <f>IFERROR(VLOOKUP(TEXT(B1946,"0"),STOCK!A:H,7,0),1)</f>
        <v>1</v>
      </c>
    </row>
    <row r="1947" spans="10:10" ht="35.450000000000003" hidden="1" customHeight="1">
      <c r="J1947" s="28">
        <f>IFERROR(VLOOKUP(TEXT(B1947,"0"),STOCK!A:H,7,0),1)</f>
        <v>1</v>
      </c>
    </row>
    <row r="1948" spans="10:10" ht="35.450000000000003" hidden="1" customHeight="1">
      <c r="J1948" s="28">
        <f>IFERROR(VLOOKUP(TEXT(B1948,"0"),STOCK!A:H,7,0),1)</f>
        <v>1</v>
      </c>
    </row>
    <row r="1949" spans="10:10" ht="35.450000000000003" hidden="1" customHeight="1">
      <c r="J1949" s="28">
        <f>IFERROR(VLOOKUP(TEXT(B1949,"0"),STOCK!A:H,7,0),1)</f>
        <v>1</v>
      </c>
    </row>
    <row r="1950" spans="10:10" ht="35.450000000000003" hidden="1" customHeight="1">
      <c r="J1950" s="28">
        <f>IFERROR(VLOOKUP(TEXT(B1950,"0"),STOCK!A:H,7,0),1)</f>
        <v>1</v>
      </c>
    </row>
    <row r="1951" spans="10:10" ht="35.450000000000003" hidden="1" customHeight="1">
      <c r="J1951" s="28">
        <f>IFERROR(VLOOKUP(TEXT(B1951,"0"),STOCK!A:H,7,0),1)</f>
        <v>1</v>
      </c>
    </row>
    <row r="1952" spans="10:10" ht="35.450000000000003" hidden="1" customHeight="1">
      <c r="J1952" s="28">
        <f>IFERROR(VLOOKUP(TEXT(B1952,"0"),STOCK!A:H,7,0),1)</f>
        <v>1</v>
      </c>
    </row>
    <row r="1953" spans="10:10" ht="35.450000000000003" hidden="1" customHeight="1">
      <c r="J1953" s="28">
        <f>IFERROR(VLOOKUP(TEXT(B1953,"0"),STOCK!A:H,7,0),1)</f>
        <v>1</v>
      </c>
    </row>
    <row r="1954" spans="10:10" ht="35.450000000000003" hidden="1" customHeight="1">
      <c r="J1954" s="28">
        <f>IFERROR(VLOOKUP(TEXT(B1954,"0"),STOCK!A:H,7,0),1)</f>
        <v>1</v>
      </c>
    </row>
    <row r="1955" spans="10:10" ht="35.450000000000003" hidden="1" customHeight="1">
      <c r="J1955" s="28">
        <f>IFERROR(VLOOKUP(TEXT(B1955,"0"),STOCK!A:H,7,0),1)</f>
        <v>1</v>
      </c>
    </row>
    <row r="1956" spans="10:10" ht="35.450000000000003" hidden="1" customHeight="1">
      <c r="J1956" s="28">
        <f>IFERROR(VLOOKUP(TEXT(B1956,"0"),STOCK!A:H,7,0),1)</f>
        <v>1</v>
      </c>
    </row>
    <row r="1957" spans="10:10" ht="35.450000000000003" hidden="1" customHeight="1">
      <c r="J1957" s="28">
        <f>IFERROR(VLOOKUP(TEXT(B1957,"0"),STOCK!A:H,7,0),1)</f>
        <v>1</v>
      </c>
    </row>
    <row r="1958" spans="10:10" ht="35.450000000000003" hidden="1" customHeight="1">
      <c r="J1958" s="28">
        <f>IFERROR(VLOOKUP(TEXT(B1958,"0"),STOCK!A:H,7,0),1)</f>
        <v>1</v>
      </c>
    </row>
    <row r="1959" spans="10:10" ht="35.450000000000003" hidden="1" customHeight="1">
      <c r="J1959" s="28">
        <f>IFERROR(VLOOKUP(TEXT(B1959,"0"),STOCK!A:H,7,0),1)</f>
        <v>1</v>
      </c>
    </row>
    <row r="1960" spans="10:10" ht="35.450000000000003" hidden="1" customHeight="1">
      <c r="J1960" s="28">
        <f>IFERROR(VLOOKUP(TEXT(B1960,"0"),STOCK!A:H,7,0),1)</f>
        <v>1</v>
      </c>
    </row>
    <row r="1961" spans="10:10" ht="35.450000000000003" hidden="1" customHeight="1">
      <c r="J1961" s="28">
        <f>IFERROR(VLOOKUP(TEXT(B1961,"0"),STOCK!A:H,7,0),1)</f>
        <v>1</v>
      </c>
    </row>
    <row r="1962" spans="10:10" ht="35.450000000000003" hidden="1" customHeight="1">
      <c r="J1962" s="28">
        <f>IFERROR(VLOOKUP(TEXT(B1962,"0"),STOCK!A:H,7,0),1)</f>
        <v>1</v>
      </c>
    </row>
    <row r="1963" spans="10:10" ht="35.450000000000003" hidden="1" customHeight="1">
      <c r="J1963" s="28">
        <f>IFERROR(VLOOKUP(TEXT(B1963,"0"),STOCK!A:H,7,0),1)</f>
        <v>1</v>
      </c>
    </row>
    <row r="1964" spans="10:10" ht="35.450000000000003" hidden="1" customHeight="1">
      <c r="J1964" s="28">
        <f>IFERROR(VLOOKUP(TEXT(B1964,"0"),STOCK!A:H,7,0),1)</f>
        <v>1</v>
      </c>
    </row>
    <row r="1965" spans="10:10" ht="35.450000000000003" hidden="1" customHeight="1">
      <c r="J1965" s="28">
        <f>IFERROR(VLOOKUP(TEXT(B1965,"0"),STOCK!A:H,7,0),1)</f>
        <v>1</v>
      </c>
    </row>
    <row r="1966" spans="10:10" ht="35.450000000000003" hidden="1" customHeight="1">
      <c r="J1966" s="28">
        <f>IFERROR(VLOOKUP(TEXT(B1966,"0"),STOCK!A:H,7,0),1)</f>
        <v>1</v>
      </c>
    </row>
    <row r="1967" spans="10:10" ht="35.450000000000003" hidden="1" customHeight="1">
      <c r="J1967" s="28">
        <f>IFERROR(VLOOKUP(TEXT(B1967,"0"),STOCK!A:H,7,0),1)</f>
        <v>1</v>
      </c>
    </row>
    <row r="1968" spans="10:10" ht="35.450000000000003" hidden="1" customHeight="1">
      <c r="J1968" s="28">
        <f>IFERROR(VLOOKUP(TEXT(B1968,"0"),STOCK!A:H,7,0),1)</f>
        <v>1</v>
      </c>
    </row>
    <row r="1969" spans="10:10" ht="35.450000000000003" hidden="1" customHeight="1">
      <c r="J1969" s="28">
        <f>IFERROR(VLOOKUP(TEXT(B1969,"0"),STOCK!A:H,7,0),1)</f>
        <v>1</v>
      </c>
    </row>
    <row r="1970" spans="10:10" ht="35.450000000000003" hidden="1" customHeight="1">
      <c r="J1970" s="28">
        <f>IFERROR(VLOOKUP(TEXT(B1970,"0"),STOCK!A:H,7,0),1)</f>
        <v>1</v>
      </c>
    </row>
    <row r="1971" spans="10:10" ht="35.450000000000003" hidden="1" customHeight="1">
      <c r="J1971" s="28">
        <f>IFERROR(VLOOKUP(TEXT(B1971,"0"),STOCK!A:H,7,0),1)</f>
        <v>1</v>
      </c>
    </row>
    <row r="1972" spans="10:10" ht="35.450000000000003" hidden="1" customHeight="1">
      <c r="J1972" s="28">
        <f>IFERROR(VLOOKUP(TEXT(B1972,"0"),STOCK!A:H,7,0),1)</f>
        <v>1</v>
      </c>
    </row>
    <row r="1973" spans="10:10" ht="35.450000000000003" hidden="1" customHeight="1">
      <c r="J1973" s="28">
        <f>IFERROR(VLOOKUP(TEXT(B1973,"0"),STOCK!A:H,7,0),1)</f>
        <v>1</v>
      </c>
    </row>
    <row r="1974" spans="10:10" ht="35.450000000000003" hidden="1" customHeight="1">
      <c r="J1974" s="28">
        <f>IFERROR(VLOOKUP(TEXT(B1974,"0"),STOCK!A:H,7,0),1)</f>
        <v>1</v>
      </c>
    </row>
    <row r="1975" spans="10:10" ht="35.450000000000003" hidden="1" customHeight="1">
      <c r="J1975" s="28">
        <f>IFERROR(VLOOKUP(TEXT(B1975,"0"),STOCK!A:H,7,0),1)</f>
        <v>1</v>
      </c>
    </row>
    <row r="1976" spans="10:10" ht="35.450000000000003" hidden="1" customHeight="1">
      <c r="J1976" s="28">
        <f>IFERROR(VLOOKUP(TEXT(B1976,"0"),STOCK!A:H,7,0),1)</f>
        <v>1</v>
      </c>
    </row>
    <row r="1977" spans="10:10" ht="35.450000000000003" hidden="1" customHeight="1">
      <c r="J1977" s="28">
        <f>IFERROR(VLOOKUP(TEXT(B1977,"0"),STOCK!A:H,7,0),1)</f>
        <v>1</v>
      </c>
    </row>
    <row r="1978" spans="10:10" ht="35.450000000000003" hidden="1" customHeight="1">
      <c r="J1978" s="28">
        <f>IFERROR(VLOOKUP(TEXT(B1978,"0"),STOCK!A:H,7,0),1)</f>
        <v>1</v>
      </c>
    </row>
    <row r="1979" spans="10:10" ht="35.450000000000003" hidden="1" customHeight="1">
      <c r="J1979" s="28">
        <f>IFERROR(VLOOKUP(TEXT(B1979,"0"),STOCK!A:H,7,0),1)</f>
        <v>1</v>
      </c>
    </row>
    <row r="1980" spans="10:10" ht="35.450000000000003" hidden="1" customHeight="1">
      <c r="J1980" s="28">
        <f>IFERROR(VLOOKUP(TEXT(B1980,"0"),STOCK!A:H,7,0),1)</f>
        <v>1</v>
      </c>
    </row>
    <row r="1981" spans="10:10" ht="35.450000000000003" hidden="1" customHeight="1">
      <c r="J1981" s="28">
        <f>IFERROR(VLOOKUP(TEXT(B1981,"0"),STOCK!A:H,7,0),1)</f>
        <v>1</v>
      </c>
    </row>
    <row r="1982" spans="10:10" ht="35.450000000000003" hidden="1" customHeight="1">
      <c r="J1982" s="28">
        <f>IFERROR(VLOOKUP(TEXT(B1982,"0"),STOCK!A:H,7,0),1)</f>
        <v>1</v>
      </c>
    </row>
    <row r="1983" spans="10:10" ht="35.450000000000003" hidden="1" customHeight="1">
      <c r="J1983" s="28">
        <f>IFERROR(VLOOKUP(TEXT(B1983,"0"),STOCK!A:H,7,0),1)</f>
        <v>1</v>
      </c>
    </row>
    <row r="1984" spans="10:10" ht="35.450000000000003" hidden="1" customHeight="1">
      <c r="J1984" s="28">
        <f>IFERROR(VLOOKUP(TEXT(B1984,"0"),STOCK!A:H,7,0),1)</f>
        <v>1</v>
      </c>
    </row>
    <row r="1985" spans="10:10" ht="35.450000000000003" hidden="1" customHeight="1">
      <c r="J1985" s="28">
        <f>IFERROR(VLOOKUP(TEXT(B1985,"0"),STOCK!A:H,7,0),1)</f>
        <v>1</v>
      </c>
    </row>
    <row r="1986" spans="10:10" ht="35.450000000000003" hidden="1" customHeight="1">
      <c r="J1986" s="28">
        <f>IFERROR(VLOOKUP(TEXT(B1986,"0"),STOCK!A:H,7,0),1)</f>
        <v>1</v>
      </c>
    </row>
    <row r="1987" spans="10:10" ht="35.450000000000003" hidden="1" customHeight="1">
      <c r="J1987" s="28">
        <f>IFERROR(VLOOKUP(TEXT(B1987,"0"),STOCK!A:H,7,0),1)</f>
        <v>1</v>
      </c>
    </row>
    <row r="1988" spans="10:10" ht="35.450000000000003" hidden="1" customHeight="1">
      <c r="J1988" s="28">
        <f>IFERROR(VLOOKUP(TEXT(B1988,"0"),STOCK!A:H,7,0),1)</f>
        <v>1</v>
      </c>
    </row>
    <row r="1989" spans="10:10" ht="35.450000000000003" hidden="1" customHeight="1">
      <c r="J1989" s="28">
        <f>IFERROR(VLOOKUP(TEXT(B1989,"0"),STOCK!A:H,7,0),1)</f>
        <v>1</v>
      </c>
    </row>
    <row r="1990" spans="10:10" ht="35.450000000000003" hidden="1" customHeight="1">
      <c r="J1990" s="28">
        <f>IFERROR(VLOOKUP(TEXT(B1990,"0"),STOCK!A:H,7,0),1)</f>
        <v>1</v>
      </c>
    </row>
    <row r="1991" spans="10:10" ht="35.450000000000003" hidden="1" customHeight="1">
      <c r="J1991" s="28">
        <f>IFERROR(VLOOKUP(TEXT(B1991,"0"),STOCK!A:H,7,0),1)</f>
        <v>1</v>
      </c>
    </row>
    <row r="1992" spans="10:10" ht="35.450000000000003" hidden="1" customHeight="1">
      <c r="J1992" s="28">
        <f>IFERROR(VLOOKUP(TEXT(B1992,"0"),STOCK!A:H,7,0),1)</f>
        <v>1</v>
      </c>
    </row>
    <row r="1993" spans="10:10" ht="35.450000000000003" hidden="1" customHeight="1">
      <c r="J1993" s="28">
        <f>IFERROR(VLOOKUP(TEXT(B1993,"0"),STOCK!A:H,7,0),1)</f>
        <v>1</v>
      </c>
    </row>
    <row r="1994" spans="10:10" ht="35.450000000000003" hidden="1" customHeight="1">
      <c r="J1994" s="28">
        <f>IFERROR(VLOOKUP(TEXT(B1994,"0"),STOCK!A:H,7,0),1)</f>
        <v>1</v>
      </c>
    </row>
    <row r="1995" spans="10:10" ht="35.450000000000003" hidden="1" customHeight="1">
      <c r="J1995" s="28">
        <f>IFERROR(VLOOKUP(TEXT(B1995,"0"),STOCK!A:H,7,0),1)</f>
        <v>1</v>
      </c>
    </row>
    <row r="1996" spans="10:10" ht="35.450000000000003" hidden="1" customHeight="1">
      <c r="J1996" s="28">
        <f>IFERROR(VLOOKUP(TEXT(B1996,"0"),STOCK!A:H,7,0),1)</f>
        <v>1</v>
      </c>
    </row>
    <row r="1997" spans="10:10" ht="35.450000000000003" hidden="1" customHeight="1">
      <c r="J1997" s="28">
        <f>IFERROR(VLOOKUP(TEXT(B1997,"0"),STOCK!A:H,7,0),1)</f>
        <v>1</v>
      </c>
    </row>
    <row r="1998" spans="10:10" ht="35.450000000000003" hidden="1" customHeight="1">
      <c r="J1998" s="28">
        <f>IFERROR(VLOOKUP(TEXT(B1998,"0"),STOCK!A:H,7,0),1)</f>
        <v>1</v>
      </c>
    </row>
    <row r="1999" spans="10:10" ht="35.450000000000003" hidden="1" customHeight="1">
      <c r="J1999" s="28">
        <f>IFERROR(VLOOKUP(TEXT(B1999,"0"),STOCK!A:H,7,0),1)</f>
        <v>1</v>
      </c>
    </row>
    <row r="2000" spans="10:10" ht="35.450000000000003" hidden="1" customHeight="1">
      <c r="J2000" s="28">
        <f>IFERROR(VLOOKUP(TEXT(B2000,"0"),STOCK!A:H,7,0),1)</f>
        <v>1</v>
      </c>
    </row>
    <row r="2001" spans="10:10" ht="35.450000000000003" hidden="1" customHeight="1">
      <c r="J2001" s="28">
        <f>IFERROR(VLOOKUP(TEXT(B2001,"0"),STOCK!A:H,7,0),1)</f>
        <v>1</v>
      </c>
    </row>
    <row r="2002" spans="10:10" ht="35.450000000000003" hidden="1" customHeight="1">
      <c r="J2002" s="28">
        <f>IFERROR(VLOOKUP(TEXT(B2002,"0"),STOCK!A:H,7,0),1)</f>
        <v>1</v>
      </c>
    </row>
    <row r="2003" spans="10:10" ht="35.450000000000003" hidden="1" customHeight="1">
      <c r="J2003" s="28">
        <f>IFERROR(VLOOKUP(TEXT(B2003,"0"),STOCK!A:H,7,0),1)</f>
        <v>1</v>
      </c>
    </row>
    <row r="2004" spans="10:10" ht="35.450000000000003" hidden="1" customHeight="1">
      <c r="J2004" s="28">
        <f>IFERROR(VLOOKUP(TEXT(B2004,"0"),STOCK!A:H,7,0),1)</f>
        <v>1</v>
      </c>
    </row>
    <row r="2005" spans="10:10" ht="35.450000000000003" hidden="1" customHeight="1">
      <c r="J2005" s="28">
        <f>IFERROR(VLOOKUP(TEXT(B2005,"0"),STOCK!A:H,7,0),1)</f>
        <v>1</v>
      </c>
    </row>
    <row r="2006" spans="10:10" ht="35.450000000000003" hidden="1" customHeight="1">
      <c r="J2006" s="28">
        <f>IFERROR(VLOOKUP(TEXT(B2006,"0"),STOCK!A:H,7,0),1)</f>
        <v>1</v>
      </c>
    </row>
    <row r="2007" spans="10:10" ht="35.450000000000003" hidden="1" customHeight="1">
      <c r="J2007" s="28">
        <f>IFERROR(VLOOKUP(TEXT(B2007,"0"),STOCK!A:H,7,0),1)</f>
        <v>1</v>
      </c>
    </row>
    <row r="2008" spans="10:10" ht="35.450000000000003" hidden="1" customHeight="1">
      <c r="J2008" s="28">
        <f>IFERROR(VLOOKUP(TEXT(B2008,"0"),STOCK!A:H,7,0),1)</f>
        <v>1</v>
      </c>
    </row>
    <row r="2009" spans="10:10" ht="35.450000000000003" hidden="1" customHeight="1">
      <c r="J2009" s="28">
        <f>IFERROR(VLOOKUP(TEXT(B2009,"0"),STOCK!A:H,7,0),1)</f>
        <v>1</v>
      </c>
    </row>
    <row r="2010" spans="10:10" ht="35.450000000000003" hidden="1" customHeight="1">
      <c r="J2010" s="28">
        <f>IFERROR(VLOOKUP(TEXT(B2010,"0"),STOCK!A:H,7,0),1)</f>
        <v>1</v>
      </c>
    </row>
    <row r="2011" spans="10:10" ht="35.450000000000003" hidden="1" customHeight="1">
      <c r="J2011" s="28">
        <f>IFERROR(VLOOKUP(TEXT(B2011,"0"),STOCK!A:H,7,0),1)</f>
        <v>1</v>
      </c>
    </row>
    <row r="2012" spans="10:10" ht="35.450000000000003" hidden="1" customHeight="1">
      <c r="J2012" s="28">
        <f>IFERROR(VLOOKUP(TEXT(B2012,"0"),STOCK!A:H,7,0),1)</f>
        <v>1</v>
      </c>
    </row>
    <row r="2013" spans="10:10" ht="35.450000000000003" hidden="1" customHeight="1">
      <c r="J2013" s="28">
        <f>IFERROR(VLOOKUP(TEXT(B2013,"0"),STOCK!A:H,7,0),1)</f>
        <v>1</v>
      </c>
    </row>
    <row r="2014" spans="10:10" ht="35.450000000000003" hidden="1" customHeight="1">
      <c r="J2014" s="28">
        <f>IFERROR(VLOOKUP(TEXT(B2014,"0"),STOCK!A:H,7,0),1)</f>
        <v>1</v>
      </c>
    </row>
    <row r="2015" spans="10:10" ht="35.450000000000003" hidden="1" customHeight="1">
      <c r="J2015" s="28">
        <f>IFERROR(VLOOKUP(TEXT(B2015,"0"),STOCK!A:H,7,0),1)</f>
        <v>1</v>
      </c>
    </row>
    <row r="2016" spans="10:10" ht="35.450000000000003" hidden="1" customHeight="1">
      <c r="J2016" s="28">
        <f>IFERROR(VLOOKUP(TEXT(B2016,"0"),STOCK!A:H,7,0),1)</f>
        <v>1</v>
      </c>
    </row>
    <row r="2017" spans="10:10" ht="35.450000000000003" hidden="1" customHeight="1">
      <c r="J2017" s="28">
        <f>IFERROR(VLOOKUP(TEXT(B2017,"0"),STOCK!A:H,7,0),1)</f>
        <v>1</v>
      </c>
    </row>
    <row r="2018" spans="10:10" ht="35.450000000000003" hidden="1" customHeight="1">
      <c r="J2018" s="28">
        <f>IFERROR(VLOOKUP(TEXT(B2018,"0"),STOCK!A:H,7,0),1)</f>
        <v>1</v>
      </c>
    </row>
    <row r="2019" spans="10:10" ht="35.450000000000003" hidden="1" customHeight="1">
      <c r="J2019" s="28">
        <f>IFERROR(VLOOKUP(TEXT(B2019,"0"),STOCK!A:H,7,0),1)</f>
        <v>1</v>
      </c>
    </row>
    <row r="2020" spans="10:10" ht="35.450000000000003" hidden="1" customHeight="1">
      <c r="J2020" s="28">
        <f>IFERROR(VLOOKUP(TEXT(B2020,"0"),STOCK!A:H,7,0),1)</f>
        <v>1</v>
      </c>
    </row>
    <row r="2021" spans="10:10" ht="35.450000000000003" hidden="1" customHeight="1">
      <c r="J2021" s="28">
        <f>IFERROR(VLOOKUP(TEXT(B2021,"0"),STOCK!A:H,7,0),1)</f>
        <v>1</v>
      </c>
    </row>
    <row r="2022" spans="10:10" ht="35.450000000000003" hidden="1" customHeight="1">
      <c r="J2022" s="28">
        <f>IFERROR(VLOOKUP(TEXT(B2022,"0"),STOCK!A:H,7,0),1)</f>
        <v>1</v>
      </c>
    </row>
    <row r="2023" spans="10:10" ht="35.450000000000003" hidden="1" customHeight="1">
      <c r="J2023" s="28">
        <f>IFERROR(VLOOKUP(TEXT(B2023,"0"),STOCK!A:H,7,0),1)</f>
        <v>1</v>
      </c>
    </row>
    <row r="2024" spans="10:10" ht="35.450000000000003" hidden="1" customHeight="1">
      <c r="J2024" s="28">
        <f>IFERROR(VLOOKUP(TEXT(B2024,"0"),STOCK!A:H,7,0),1)</f>
        <v>1</v>
      </c>
    </row>
    <row r="2025" spans="10:10" ht="35.450000000000003" hidden="1" customHeight="1">
      <c r="J2025" s="28">
        <f>IFERROR(VLOOKUP(TEXT(B2025,"0"),STOCK!A:H,7,0),1)</f>
        <v>1</v>
      </c>
    </row>
    <row r="2026" spans="10:10" ht="35.450000000000003" hidden="1" customHeight="1">
      <c r="J2026" s="28">
        <f>IFERROR(VLOOKUP(TEXT(B2026,"0"),STOCK!A:H,7,0),1)</f>
        <v>1</v>
      </c>
    </row>
    <row r="2027" spans="10:10" ht="35.450000000000003" hidden="1" customHeight="1">
      <c r="J2027" s="28">
        <f>IFERROR(VLOOKUP(TEXT(B2027,"0"),STOCK!A:H,7,0),1)</f>
        <v>1</v>
      </c>
    </row>
    <row r="2028" spans="10:10" ht="35.450000000000003" hidden="1" customHeight="1">
      <c r="J2028" s="28">
        <f>IFERROR(VLOOKUP(TEXT(B2028,"0"),STOCK!A:H,7,0),1)</f>
        <v>1</v>
      </c>
    </row>
    <row r="2029" spans="10:10" ht="35.450000000000003" hidden="1" customHeight="1">
      <c r="J2029" s="28">
        <f>IFERROR(VLOOKUP(TEXT(B2029,"0"),STOCK!A:H,7,0),1)</f>
        <v>1</v>
      </c>
    </row>
    <row r="2030" spans="10:10" ht="35.450000000000003" hidden="1" customHeight="1">
      <c r="J2030" s="28">
        <f>IFERROR(VLOOKUP(TEXT(B2030,"0"),STOCK!A:H,7,0),1)</f>
        <v>1</v>
      </c>
    </row>
    <row r="2031" spans="10:10" ht="35.450000000000003" hidden="1" customHeight="1">
      <c r="J2031" s="28">
        <f>IFERROR(VLOOKUP(TEXT(B2031,"0"),STOCK!A:H,7,0),1)</f>
        <v>1</v>
      </c>
    </row>
    <row r="2032" spans="10:10" ht="35.450000000000003" hidden="1" customHeight="1">
      <c r="J2032" s="28">
        <f>IFERROR(VLOOKUP(TEXT(B2032,"0"),STOCK!A:H,7,0),1)</f>
        <v>1</v>
      </c>
    </row>
    <row r="2033" spans="10:10" ht="35.450000000000003" hidden="1" customHeight="1">
      <c r="J2033" s="28">
        <f>IFERROR(VLOOKUP(TEXT(B2033,"0"),STOCK!A:H,7,0),1)</f>
        <v>1</v>
      </c>
    </row>
    <row r="2034" spans="10:10" ht="35.450000000000003" hidden="1" customHeight="1">
      <c r="J2034" s="28">
        <f>IFERROR(VLOOKUP(TEXT(B2034,"0"),STOCK!A:H,7,0),1)</f>
        <v>1</v>
      </c>
    </row>
    <row r="2035" spans="10:10" ht="35.450000000000003" hidden="1" customHeight="1">
      <c r="J2035" s="28">
        <f>IFERROR(VLOOKUP(TEXT(B2035,"0"),STOCK!A:H,7,0),1)</f>
        <v>1</v>
      </c>
    </row>
    <row r="2036" spans="10:10" ht="35.450000000000003" hidden="1" customHeight="1">
      <c r="J2036" s="28">
        <f>IFERROR(VLOOKUP(TEXT(B2036,"0"),STOCK!A:H,7,0),1)</f>
        <v>1</v>
      </c>
    </row>
    <row r="2037" spans="10:10" ht="35.450000000000003" hidden="1" customHeight="1">
      <c r="J2037" s="28">
        <f>IFERROR(VLOOKUP(TEXT(B2037,"0"),STOCK!A:H,7,0),1)</f>
        <v>1</v>
      </c>
    </row>
    <row r="2038" spans="10:10" ht="35.450000000000003" hidden="1" customHeight="1">
      <c r="J2038" s="28">
        <f>IFERROR(VLOOKUP(TEXT(B2038,"0"),STOCK!A:H,7,0),1)</f>
        <v>1</v>
      </c>
    </row>
    <row r="2039" spans="10:10" ht="35.450000000000003" hidden="1" customHeight="1">
      <c r="J2039" s="28">
        <f>IFERROR(VLOOKUP(TEXT(B2039,"0"),STOCK!A:H,7,0),1)</f>
        <v>1</v>
      </c>
    </row>
    <row r="2040" spans="10:10" ht="35.450000000000003" hidden="1" customHeight="1">
      <c r="J2040" s="28">
        <f>IFERROR(VLOOKUP(TEXT(B2040,"0"),STOCK!A:H,7,0),1)</f>
        <v>1</v>
      </c>
    </row>
    <row r="2041" spans="10:10" ht="35.450000000000003" hidden="1" customHeight="1">
      <c r="J2041" s="28">
        <f>IFERROR(VLOOKUP(TEXT(B2041,"0"),STOCK!A:H,7,0),1)</f>
        <v>1</v>
      </c>
    </row>
    <row r="2042" spans="10:10" ht="35.450000000000003" hidden="1" customHeight="1">
      <c r="J2042" s="28">
        <f>IFERROR(VLOOKUP(TEXT(B2042,"0"),STOCK!A:H,7,0),1)</f>
        <v>1</v>
      </c>
    </row>
    <row r="2043" spans="10:10" ht="35.450000000000003" hidden="1" customHeight="1">
      <c r="J2043" s="28">
        <f>IFERROR(VLOOKUP(TEXT(B2043,"0"),STOCK!A:H,7,0),1)</f>
        <v>1</v>
      </c>
    </row>
    <row r="2044" spans="10:10" ht="35.450000000000003" hidden="1" customHeight="1">
      <c r="J2044" s="28">
        <f>IFERROR(VLOOKUP(TEXT(B2044,"0"),STOCK!A:H,7,0),1)</f>
        <v>1</v>
      </c>
    </row>
    <row r="2045" spans="10:10" ht="35.450000000000003" hidden="1" customHeight="1">
      <c r="J2045" s="28">
        <f>IFERROR(VLOOKUP(TEXT(B2045,"0"),STOCK!A:H,7,0),1)</f>
        <v>1</v>
      </c>
    </row>
    <row r="2046" spans="10:10" ht="35.450000000000003" hidden="1" customHeight="1">
      <c r="J2046" s="28">
        <f>IFERROR(VLOOKUP(TEXT(B2046,"0"),STOCK!A:H,7,0),1)</f>
        <v>1</v>
      </c>
    </row>
    <row r="2047" spans="10:10" ht="35.450000000000003" hidden="1" customHeight="1">
      <c r="J2047" s="28">
        <f>IFERROR(VLOOKUP(TEXT(B2047,"0"),STOCK!A:H,7,0),1)</f>
        <v>1</v>
      </c>
    </row>
    <row r="2048" spans="10:10" ht="35.450000000000003" hidden="1" customHeight="1">
      <c r="J2048" s="28">
        <f>IFERROR(VLOOKUP(TEXT(B2048,"0"),STOCK!A:H,7,0),1)</f>
        <v>1</v>
      </c>
    </row>
    <row r="2049" spans="10:10" ht="35.450000000000003" hidden="1" customHeight="1">
      <c r="J2049" s="28">
        <f>IFERROR(VLOOKUP(TEXT(B2049,"0"),STOCK!A:H,7,0),1)</f>
        <v>1</v>
      </c>
    </row>
    <row r="2050" spans="10:10" ht="35.450000000000003" hidden="1" customHeight="1">
      <c r="J2050" s="28">
        <f>IFERROR(VLOOKUP(TEXT(B2050,"0"),STOCK!A:H,7,0),1)</f>
        <v>1</v>
      </c>
    </row>
    <row r="2051" spans="10:10" ht="35.450000000000003" hidden="1" customHeight="1">
      <c r="J2051" s="28">
        <f>IFERROR(VLOOKUP(TEXT(B2051,"0"),STOCK!A:H,7,0),1)</f>
        <v>1</v>
      </c>
    </row>
    <row r="2052" spans="10:10" ht="35.450000000000003" hidden="1" customHeight="1">
      <c r="J2052" s="28">
        <f>IFERROR(VLOOKUP(TEXT(B2052,"0"),STOCK!A:H,7,0),1)</f>
        <v>1</v>
      </c>
    </row>
    <row r="2053" spans="10:10" ht="35.450000000000003" hidden="1" customHeight="1">
      <c r="J2053" s="28">
        <f>IFERROR(VLOOKUP(TEXT(B2053,"0"),STOCK!A:H,7,0),1)</f>
        <v>1</v>
      </c>
    </row>
    <row r="2054" spans="10:10" ht="35.450000000000003" hidden="1" customHeight="1">
      <c r="J2054" s="28">
        <f>IFERROR(VLOOKUP(TEXT(B2054,"0"),STOCK!A:H,7,0),1)</f>
        <v>1</v>
      </c>
    </row>
    <row r="2055" spans="10:10" ht="35.450000000000003" hidden="1" customHeight="1">
      <c r="J2055" s="28">
        <f>IFERROR(VLOOKUP(TEXT(B2055,"0"),STOCK!A:H,7,0),1)</f>
        <v>1</v>
      </c>
    </row>
    <row r="2056" spans="10:10" ht="35.450000000000003" hidden="1" customHeight="1">
      <c r="J2056" s="28">
        <f>IFERROR(VLOOKUP(TEXT(B2056,"0"),STOCK!A:H,7,0),1)</f>
        <v>1</v>
      </c>
    </row>
    <row r="2057" spans="10:10" ht="35.450000000000003" hidden="1" customHeight="1">
      <c r="J2057" s="28">
        <f>IFERROR(VLOOKUP(TEXT(B2057,"0"),STOCK!A:H,7,0),1)</f>
        <v>1</v>
      </c>
    </row>
    <row r="2058" spans="10:10" ht="35.450000000000003" hidden="1" customHeight="1">
      <c r="J2058" s="28">
        <f>IFERROR(VLOOKUP(TEXT(B2058,"0"),STOCK!A:H,7,0),1)</f>
        <v>1</v>
      </c>
    </row>
    <row r="2059" spans="10:10" ht="35.450000000000003" hidden="1" customHeight="1">
      <c r="J2059" s="28">
        <f>IFERROR(VLOOKUP(TEXT(B2059,"0"),STOCK!A:H,7,0),1)</f>
        <v>1</v>
      </c>
    </row>
    <row r="2060" spans="10:10" ht="35.450000000000003" hidden="1" customHeight="1">
      <c r="J2060" s="28">
        <f>IFERROR(VLOOKUP(TEXT(B2060,"0"),STOCK!A:H,7,0),1)</f>
        <v>1</v>
      </c>
    </row>
    <row r="2061" spans="10:10" ht="35.450000000000003" hidden="1" customHeight="1">
      <c r="J2061" s="28">
        <f>IFERROR(VLOOKUP(TEXT(B2061,"0"),STOCK!A:H,7,0),1)</f>
        <v>1</v>
      </c>
    </row>
    <row r="2062" spans="10:10" ht="35.450000000000003" hidden="1" customHeight="1">
      <c r="J2062" s="28">
        <f>IFERROR(VLOOKUP(TEXT(B2062,"0"),STOCK!A:H,7,0),1)</f>
        <v>1</v>
      </c>
    </row>
    <row r="2063" spans="10:10" ht="35.450000000000003" hidden="1" customHeight="1">
      <c r="J2063" s="28">
        <f>IFERROR(VLOOKUP(TEXT(B2063,"0"),STOCK!A:H,7,0),1)</f>
        <v>1</v>
      </c>
    </row>
    <row r="2064" spans="10:10" ht="35.450000000000003" hidden="1" customHeight="1">
      <c r="J2064" s="28">
        <f>IFERROR(VLOOKUP(TEXT(B2064,"0"),STOCK!A:H,7,0),1)</f>
        <v>1</v>
      </c>
    </row>
    <row r="2065" spans="10:10" ht="35.450000000000003" hidden="1" customHeight="1">
      <c r="J2065" s="28">
        <f>IFERROR(VLOOKUP(TEXT(B2065,"0"),STOCK!A:H,7,0),1)</f>
        <v>1</v>
      </c>
    </row>
    <row r="2066" spans="10:10" ht="35.450000000000003" hidden="1" customHeight="1">
      <c r="J2066" s="28">
        <f>IFERROR(VLOOKUP(TEXT(B2066,"0"),STOCK!A:H,7,0),1)</f>
        <v>1</v>
      </c>
    </row>
    <row r="2067" spans="10:10" ht="35.450000000000003" hidden="1" customHeight="1">
      <c r="J2067" s="28">
        <f>IFERROR(VLOOKUP(TEXT(B2067,"0"),STOCK!A:H,7,0),1)</f>
        <v>1</v>
      </c>
    </row>
    <row r="2068" spans="10:10" ht="35.450000000000003" hidden="1" customHeight="1">
      <c r="J2068" s="28">
        <f>IFERROR(VLOOKUP(TEXT(B2068,"0"),STOCK!A:H,7,0),1)</f>
        <v>1</v>
      </c>
    </row>
    <row r="2069" spans="10:10" ht="35.450000000000003" hidden="1" customHeight="1">
      <c r="J2069" s="28">
        <f>IFERROR(VLOOKUP(TEXT(B2069,"0"),STOCK!A:H,7,0),1)</f>
        <v>1</v>
      </c>
    </row>
    <row r="2070" spans="10:10" ht="35.450000000000003" hidden="1" customHeight="1">
      <c r="J2070" s="28">
        <f>IFERROR(VLOOKUP(TEXT(B2070,"0"),STOCK!A:H,7,0),1)</f>
        <v>1</v>
      </c>
    </row>
    <row r="2071" spans="10:10" ht="35.450000000000003" hidden="1" customHeight="1">
      <c r="J2071" s="28">
        <f>IFERROR(VLOOKUP(TEXT(B2071,"0"),STOCK!A:H,7,0),1)</f>
        <v>1</v>
      </c>
    </row>
    <row r="2072" spans="10:10" ht="35.450000000000003" hidden="1" customHeight="1">
      <c r="J2072" s="28">
        <f>IFERROR(VLOOKUP(TEXT(B2072,"0"),STOCK!A:H,7,0),1)</f>
        <v>1</v>
      </c>
    </row>
    <row r="2073" spans="10:10" ht="35.450000000000003" hidden="1" customHeight="1">
      <c r="J2073" s="28">
        <f>IFERROR(VLOOKUP(TEXT(B2073,"0"),STOCK!A:H,7,0),1)</f>
        <v>1</v>
      </c>
    </row>
    <row r="2074" spans="10:10" ht="35.450000000000003" hidden="1" customHeight="1">
      <c r="J2074" s="28">
        <f>IFERROR(VLOOKUP(TEXT(B2074,"0"),STOCK!A:H,7,0),1)</f>
        <v>1</v>
      </c>
    </row>
    <row r="2075" spans="10:10" ht="35.450000000000003" hidden="1" customHeight="1">
      <c r="J2075" s="28">
        <f>IFERROR(VLOOKUP(TEXT(B2075,"0"),STOCK!A:H,7,0),1)</f>
        <v>1</v>
      </c>
    </row>
    <row r="2076" spans="10:10" ht="35.450000000000003" hidden="1" customHeight="1">
      <c r="J2076" s="28">
        <f>IFERROR(VLOOKUP(TEXT(B2076,"0"),STOCK!A:H,7,0),1)</f>
        <v>1</v>
      </c>
    </row>
    <row r="2077" spans="10:10" ht="35.450000000000003" hidden="1" customHeight="1">
      <c r="J2077" s="28">
        <f>IFERROR(VLOOKUP(TEXT(B2077,"0"),STOCK!A:H,7,0),1)</f>
        <v>1</v>
      </c>
    </row>
    <row r="2078" spans="10:10" ht="35.450000000000003" hidden="1" customHeight="1">
      <c r="J2078" s="28">
        <f>IFERROR(VLOOKUP(TEXT(B2078,"0"),STOCK!A:H,7,0),1)</f>
        <v>1</v>
      </c>
    </row>
    <row r="2079" spans="10:10" ht="35.450000000000003" hidden="1" customHeight="1">
      <c r="J2079" s="28">
        <f>IFERROR(VLOOKUP(TEXT(B2079,"0"),STOCK!A:H,7,0),1)</f>
        <v>1</v>
      </c>
    </row>
    <row r="2080" spans="10:10" ht="35.450000000000003" hidden="1" customHeight="1">
      <c r="J2080" s="28">
        <f>IFERROR(VLOOKUP(TEXT(B2080,"0"),STOCK!A:H,7,0),1)</f>
        <v>1</v>
      </c>
    </row>
    <row r="2081" spans="10:10" ht="35.450000000000003" hidden="1" customHeight="1">
      <c r="J2081" s="28">
        <f>IFERROR(VLOOKUP(TEXT(B2081,"0"),STOCK!A:H,7,0),1)</f>
        <v>1</v>
      </c>
    </row>
    <row r="2082" spans="10:10" ht="35.450000000000003" hidden="1" customHeight="1">
      <c r="J2082" s="28">
        <f>IFERROR(VLOOKUP(TEXT(B2082,"0"),STOCK!A:H,7,0),1)</f>
        <v>1</v>
      </c>
    </row>
    <row r="2083" spans="10:10" ht="35.450000000000003" hidden="1" customHeight="1">
      <c r="J2083" s="28">
        <f>IFERROR(VLOOKUP(TEXT(B2083,"0"),STOCK!A:H,7,0),1)</f>
        <v>1</v>
      </c>
    </row>
    <row r="2084" spans="10:10" ht="35.450000000000003" hidden="1" customHeight="1">
      <c r="J2084" s="28">
        <f>IFERROR(VLOOKUP(TEXT(B2084,"0"),STOCK!A:H,7,0),1)</f>
        <v>1</v>
      </c>
    </row>
    <row r="2085" spans="10:10" ht="35.450000000000003" hidden="1" customHeight="1">
      <c r="J2085" s="28">
        <f>IFERROR(VLOOKUP(TEXT(B2085,"0"),STOCK!A:H,7,0),1)</f>
        <v>1</v>
      </c>
    </row>
    <row r="2086" spans="10:10" ht="35.450000000000003" hidden="1" customHeight="1">
      <c r="J2086" s="28">
        <f>IFERROR(VLOOKUP(TEXT(B2086,"0"),STOCK!A:H,7,0),1)</f>
        <v>1</v>
      </c>
    </row>
    <row r="2087" spans="10:10" ht="35.450000000000003" hidden="1" customHeight="1">
      <c r="J2087" s="28">
        <f>IFERROR(VLOOKUP(TEXT(B2087,"0"),STOCK!A:H,7,0),1)</f>
        <v>1</v>
      </c>
    </row>
    <row r="2088" spans="10:10" ht="35.450000000000003" hidden="1" customHeight="1">
      <c r="J2088" s="28">
        <f>IFERROR(VLOOKUP(TEXT(B2088,"0"),STOCK!A:H,7,0),1)</f>
        <v>1</v>
      </c>
    </row>
    <row r="2089" spans="10:10" ht="35.450000000000003" hidden="1" customHeight="1">
      <c r="J2089" s="28">
        <f>IFERROR(VLOOKUP(TEXT(B2089,"0"),STOCK!A:H,7,0),1)</f>
        <v>1</v>
      </c>
    </row>
    <row r="2090" spans="10:10" ht="35.450000000000003" hidden="1" customHeight="1">
      <c r="J2090" s="28">
        <f>IFERROR(VLOOKUP(TEXT(B2090,"0"),STOCK!A:H,7,0),1)</f>
        <v>1</v>
      </c>
    </row>
    <row r="2091" spans="10:10" ht="35.450000000000003" hidden="1" customHeight="1">
      <c r="J2091" s="28">
        <f>IFERROR(VLOOKUP(TEXT(B2091,"0"),STOCK!A:H,7,0),1)</f>
        <v>1</v>
      </c>
    </row>
    <row r="2092" spans="10:10" ht="35.450000000000003" hidden="1" customHeight="1">
      <c r="J2092" s="28">
        <f>IFERROR(VLOOKUP(TEXT(B2092,"0"),STOCK!A:H,7,0),1)</f>
        <v>1</v>
      </c>
    </row>
    <row r="2093" spans="10:10" ht="35.450000000000003" hidden="1" customHeight="1">
      <c r="J2093" s="28">
        <f>IFERROR(VLOOKUP(TEXT(B2093,"0"),STOCK!A:H,7,0),1)</f>
        <v>1</v>
      </c>
    </row>
    <row r="2094" spans="10:10" ht="35.450000000000003" hidden="1" customHeight="1">
      <c r="J2094" s="28">
        <f>IFERROR(VLOOKUP(TEXT(B2094,"0"),STOCK!A:H,7,0),1)</f>
        <v>1</v>
      </c>
    </row>
    <row r="2095" spans="10:10" ht="35.450000000000003" hidden="1" customHeight="1">
      <c r="J2095" s="28">
        <f>IFERROR(VLOOKUP(TEXT(B2095,"0"),STOCK!A:H,7,0),1)</f>
        <v>1</v>
      </c>
    </row>
    <row r="2096" spans="10:10" ht="35.450000000000003" hidden="1" customHeight="1">
      <c r="J2096" s="28">
        <f>IFERROR(VLOOKUP(TEXT(B2096,"0"),STOCK!A:H,7,0),1)</f>
        <v>1</v>
      </c>
    </row>
    <row r="2097" spans="10:10" ht="35.450000000000003" hidden="1" customHeight="1">
      <c r="J2097" s="28">
        <f>IFERROR(VLOOKUP(TEXT(B2097,"0"),STOCK!A:H,7,0),1)</f>
        <v>1</v>
      </c>
    </row>
    <row r="2098" spans="10:10" ht="35.450000000000003" hidden="1" customHeight="1">
      <c r="J2098" s="28">
        <f>IFERROR(VLOOKUP(TEXT(B2098,"0"),STOCK!A:H,7,0),1)</f>
        <v>1</v>
      </c>
    </row>
    <row r="2099" spans="10:10" ht="35.450000000000003" hidden="1" customHeight="1">
      <c r="J2099" s="28">
        <f>IFERROR(VLOOKUP(TEXT(B2099,"0"),STOCK!A:H,7,0),1)</f>
        <v>1</v>
      </c>
    </row>
    <row r="2100" spans="10:10" ht="35.450000000000003" hidden="1" customHeight="1">
      <c r="J2100" s="28">
        <f>IFERROR(VLOOKUP(TEXT(B2100,"0"),STOCK!A:H,7,0),1)</f>
        <v>1</v>
      </c>
    </row>
    <row r="2101" spans="10:10" ht="35.450000000000003" hidden="1" customHeight="1">
      <c r="J2101" s="28">
        <f>IFERROR(VLOOKUP(TEXT(B2101,"0"),STOCK!A:H,7,0),1)</f>
        <v>1</v>
      </c>
    </row>
    <row r="2102" spans="10:10" ht="35.450000000000003" hidden="1" customHeight="1">
      <c r="J2102" s="28">
        <f>IFERROR(VLOOKUP(TEXT(B2102,"0"),STOCK!A:H,7,0),1)</f>
        <v>1</v>
      </c>
    </row>
    <row r="2103" spans="10:10" ht="35.450000000000003" hidden="1" customHeight="1">
      <c r="J2103" s="28">
        <f>IFERROR(VLOOKUP(TEXT(B2103,"0"),STOCK!A:H,7,0),1)</f>
        <v>1</v>
      </c>
    </row>
    <row r="2104" spans="10:10" ht="35.450000000000003" hidden="1" customHeight="1">
      <c r="J2104" s="28">
        <f>IFERROR(VLOOKUP(TEXT(B2104,"0"),STOCK!A:H,7,0),1)</f>
        <v>1</v>
      </c>
    </row>
    <row r="2105" spans="10:10" ht="35.450000000000003" hidden="1" customHeight="1">
      <c r="J2105" s="28">
        <f>IFERROR(VLOOKUP(TEXT(B2105,"0"),STOCK!A:H,7,0),1)</f>
        <v>1</v>
      </c>
    </row>
    <row r="2106" spans="10:10" ht="35.450000000000003" hidden="1" customHeight="1">
      <c r="J2106" s="28">
        <f>IFERROR(VLOOKUP(TEXT(B2106,"0"),STOCK!A:H,7,0),1)</f>
        <v>1</v>
      </c>
    </row>
    <row r="2107" spans="10:10" ht="35.450000000000003" hidden="1" customHeight="1">
      <c r="J2107" s="28">
        <f>IFERROR(VLOOKUP(TEXT(B2107,"0"),STOCK!A:H,7,0),1)</f>
        <v>1</v>
      </c>
    </row>
    <row r="2108" spans="10:10" ht="35.450000000000003" hidden="1" customHeight="1">
      <c r="J2108" s="28">
        <f>IFERROR(VLOOKUP(TEXT(B2108,"0"),STOCK!A:H,7,0),1)</f>
        <v>1</v>
      </c>
    </row>
    <row r="2109" spans="10:10" ht="35.450000000000003" hidden="1" customHeight="1">
      <c r="J2109" s="28">
        <f>IFERROR(VLOOKUP(TEXT(B2109,"0"),STOCK!A:H,7,0),1)</f>
        <v>1</v>
      </c>
    </row>
    <row r="2110" spans="10:10" ht="35.450000000000003" hidden="1" customHeight="1">
      <c r="J2110" s="28">
        <f>IFERROR(VLOOKUP(TEXT(B2110,"0"),STOCK!A:H,7,0),1)</f>
        <v>1</v>
      </c>
    </row>
    <row r="2111" spans="10:10" ht="35.450000000000003" hidden="1" customHeight="1">
      <c r="J2111" s="28">
        <f>IFERROR(VLOOKUP(TEXT(B2111,"0"),STOCK!A:H,7,0),1)</f>
        <v>1</v>
      </c>
    </row>
    <row r="2112" spans="10:10" ht="35.450000000000003" hidden="1" customHeight="1">
      <c r="J2112" s="28">
        <f>IFERROR(VLOOKUP(TEXT(B2112,"0"),STOCK!A:H,7,0),1)</f>
        <v>1</v>
      </c>
    </row>
    <row r="2113" spans="10:10" ht="35.450000000000003" hidden="1" customHeight="1">
      <c r="J2113" s="28">
        <f>IFERROR(VLOOKUP(TEXT(B2113,"0"),STOCK!A:H,7,0),1)</f>
        <v>1</v>
      </c>
    </row>
    <row r="2114" spans="10:10" ht="35.450000000000003" hidden="1" customHeight="1">
      <c r="J2114" s="28">
        <f>IFERROR(VLOOKUP(TEXT(B2114,"0"),STOCK!A:H,7,0),1)</f>
        <v>1</v>
      </c>
    </row>
    <row r="2115" spans="10:10" ht="35.450000000000003" hidden="1" customHeight="1">
      <c r="J2115" s="28">
        <f>IFERROR(VLOOKUP(TEXT(B2115,"0"),STOCK!A:H,7,0),1)</f>
        <v>1</v>
      </c>
    </row>
    <row r="2116" spans="10:10" ht="35.450000000000003" hidden="1" customHeight="1">
      <c r="J2116" s="28">
        <f>IFERROR(VLOOKUP(TEXT(B2116,"0"),STOCK!A:H,7,0),1)</f>
        <v>1</v>
      </c>
    </row>
    <row r="2117" spans="10:10" ht="35.450000000000003" hidden="1" customHeight="1">
      <c r="J2117" s="28">
        <f>IFERROR(VLOOKUP(TEXT(B2117,"0"),STOCK!A:H,7,0),1)</f>
        <v>1</v>
      </c>
    </row>
    <row r="2118" spans="10:10" ht="35.450000000000003" hidden="1" customHeight="1">
      <c r="J2118" s="28">
        <f>IFERROR(VLOOKUP(TEXT(B2118,"0"),STOCK!A:H,7,0),1)</f>
        <v>1</v>
      </c>
    </row>
    <row r="2119" spans="10:10" ht="35.450000000000003" hidden="1" customHeight="1">
      <c r="J2119" s="28">
        <f>IFERROR(VLOOKUP(TEXT(B2119,"0"),STOCK!A:H,7,0),1)</f>
        <v>1</v>
      </c>
    </row>
    <row r="2120" spans="10:10" ht="35.450000000000003" hidden="1" customHeight="1">
      <c r="J2120" s="28">
        <f>IFERROR(VLOOKUP(TEXT(B2120,"0"),STOCK!A:H,7,0),1)</f>
        <v>1</v>
      </c>
    </row>
    <row r="2121" spans="10:10" ht="35.450000000000003" hidden="1" customHeight="1">
      <c r="J2121" s="28">
        <f>IFERROR(VLOOKUP(TEXT(B2121,"0"),STOCK!A:H,7,0),1)</f>
        <v>1</v>
      </c>
    </row>
    <row r="2122" spans="10:10" ht="35.450000000000003" hidden="1" customHeight="1">
      <c r="J2122" s="28">
        <f>IFERROR(VLOOKUP(TEXT(B2122,"0"),STOCK!A:H,7,0),1)</f>
        <v>1</v>
      </c>
    </row>
    <row r="2123" spans="10:10" ht="35.450000000000003" hidden="1" customHeight="1">
      <c r="J2123" s="28">
        <f>IFERROR(VLOOKUP(TEXT(B2123,"0"),STOCK!A:H,7,0),1)</f>
        <v>1</v>
      </c>
    </row>
    <row r="2124" spans="10:10" ht="35.450000000000003" hidden="1" customHeight="1">
      <c r="J2124" s="28">
        <f>IFERROR(VLOOKUP(TEXT(B2124,"0"),STOCK!A:H,7,0),1)</f>
        <v>1</v>
      </c>
    </row>
    <row r="2125" spans="10:10" ht="35.450000000000003" hidden="1" customHeight="1">
      <c r="J2125" s="28">
        <f>IFERROR(VLOOKUP(TEXT(B2125,"0"),STOCK!A:H,7,0),1)</f>
        <v>1</v>
      </c>
    </row>
    <row r="2126" spans="10:10" ht="35.450000000000003" hidden="1" customHeight="1">
      <c r="J2126" s="28">
        <f>IFERROR(VLOOKUP(TEXT(B2126,"0"),STOCK!A:H,7,0),1)</f>
        <v>1</v>
      </c>
    </row>
    <row r="2127" spans="10:10" ht="35.450000000000003" hidden="1" customHeight="1">
      <c r="J2127" s="28">
        <f>IFERROR(VLOOKUP(TEXT(B2127,"0"),STOCK!A:H,7,0),1)</f>
        <v>1</v>
      </c>
    </row>
    <row r="2128" spans="10:10" ht="35.450000000000003" hidden="1" customHeight="1">
      <c r="J2128" s="28">
        <f>IFERROR(VLOOKUP(TEXT(B2128,"0"),STOCK!A:H,7,0),1)</f>
        <v>1</v>
      </c>
    </row>
    <row r="2129" spans="10:10" ht="35.450000000000003" hidden="1" customHeight="1">
      <c r="J2129" s="28">
        <f>IFERROR(VLOOKUP(TEXT(B2129,"0"),STOCK!A:H,7,0),1)</f>
        <v>1</v>
      </c>
    </row>
    <row r="2130" spans="10:10" ht="35.450000000000003" hidden="1" customHeight="1">
      <c r="J2130" s="28">
        <f>IFERROR(VLOOKUP(TEXT(B2130,"0"),STOCK!A:H,7,0),1)</f>
        <v>1</v>
      </c>
    </row>
    <row r="2131" spans="10:10" ht="35.450000000000003" hidden="1" customHeight="1">
      <c r="J2131" s="28">
        <f>IFERROR(VLOOKUP(TEXT(B2131,"0"),STOCK!A:H,7,0),1)</f>
        <v>1</v>
      </c>
    </row>
    <row r="2132" spans="10:10" ht="35.450000000000003" hidden="1" customHeight="1">
      <c r="J2132" s="28">
        <f>IFERROR(VLOOKUP(TEXT(B2132,"0"),STOCK!A:H,7,0),1)</f>
        <v>1</v>
      </c>
    </row>
    <row r="2133" spans="10:10" ht="35.450000000000003" hidden="1" customHeight="1">
      <c r="J2133" s="28">
        <f>IFERROR(VLOOKUP(TEXT(B2133,"0"),STOCK!A:H,7,0),1)</f>
        <v>1</v>
      </c>
    </row>
    <row r="2134" spans="10:10" ht="35.450000000000003" hidden="1" customHeight="1">
      <c r="J2134" s="28">
        <f>IFERROR(VLOOKUP(TEXT(B2134,"0"),STOCK!A:H,7,0),1)</f>
        <v>1</v>
      </c>
    </row>
    <row r="2135" spans="10:10" ht="35.450000000000003" hidden="1" customHeight="1">
      <c r="J2135" s="28">
        <f>IFERROR(VLOOKUP(TEXT(B2135,"0"),STOCK!A:H,7,0),1)</f>
        <v>1</v>
      </c>
    </row>
    <row r="2136" spans="10:10" ht="35.450000000000003" hidden="1" customHeight="1">
      <c r="J2136" s="28">
        <f>IFERROR(VLOOKUP(TEXT(B2136,"0"),STOCK!A:H,7,0),1)</f>
        <v>1</v>
      </c>
    </row>
    <row r="2137" spans="10:10" ht="35.450000000000003" hidden="1" customHeight="1">
      <c r="J2137" s="28">
        <f>IFERROR(VLOOKUP(TEXT(B2137,"0"),STOCK!A:H,7,0),1)</f>
        <v>1</v>
      </c>
    </row>
    <row r="2138" spans="10:10" ht="35.450000000000003" hidden="1" customHeight="1">
      <c r="J2138" s="28">
        <f>IFERROR(VLOOKUP(TEXT(B2138,"0"),STOCK!A:H,7,0),1)</f>
        <v>1</v>
      </c>
    </row>
    <row r="2139" spans="10:10" ht="35.450000000000003" hidden="1" customHeight="1">
      <c r="J2139" s="28">
        <f>IFERROR(VLOOKUP(TEXT(B2139,"0"),STOCK!A:H,7,0),1)</f>
        <v>1</v>
      </c>
    </row>
    <row r="2140" spans="10:10" ht="35.450000000000003" hidden="1" customHeight="1">
      <c r="J2140" s="28">
        <f>IFERROR(VLOOKUP(TEXT(B2140,"0"),STOCK!A:H,7,0),1)</f>
        <v>1</v>
      </c>
    </row>
    <row r="2141" spans="10:10" ht="35.450000000000003" hidden="1" customHeight="1">
      <c r="J2141" s="28">
        <f>IFERROR(VLOOKUP(TEXT(B2141,"0"),STOCK!A:H,7,0),1)</f>
        <v>1</v>
      </c>
    </row>
    <row r="2142" spans="10:10" ht="35.450000000000003" hidden="1" customHeight="1">
      <c r="J2142" s="28">
        <f>IFERROR(VLOOKUP(TEXT(B2142,"0"),STOCK!A:H,7,0),1)</f>
        <v>1</v>
      </c>
    </row>
    <row r="2143" spans="10:10" ht="35.450000000000003" hidden="1" customHeight="1">
      <c r="J2143" s="28">
        <f>IFERROR(VLOOKUP(TEXT(B2143,"0"),STOCK!A:H,7,0),1)</f>
        <v>1</v>
      </c>
    </row>
    <row r="2144" spans="10:10" ht="35.450000000000003" hidden="1" customHeight="1">
      <c r="J2144" s="28">
        <f>IFERROR(VLOOKUP(TEXT(B2144,"0"),STOCK!A:H,7,0),1)</f>
        <v>1</v>
      </c>
    </row>
    <row r="2145" spans="10:10" ht="35.450000000000003" hidden="1" customHeight="1">
      <c r="J2145" s="28">
        <f>IFERROR(VLOOKUP(TEXT(B2145,"0"),STOCK!A:H,7,0),1)</f>
        <v>1</v>
      </c>
    </row>
    <row r="2146" spans="10:10" ht="35.450000000000003" hidden="1" customHeight="1">
      <c r="J2146" s="28">
        <f>IFERROR(VLOOKUP(TEXT(B2146,"0"),STOCK!A:H,7,0),1)</f>
        <v>1</v>
      </c>
    </row>
    <row r="2147" spans="10:10" ht="35.450000000000003" hidden="1" customHeight="1">
      <c r="J2147" s="28">
        <f>IFERROR(VLOOKUP(TEXT(B2147,"0"),STOCK!A:H,7,0),1)</f>
        <v>1</v>
      </c>
    </row>
    <row r="2148" spans="10:10" ht="35.450000000000003" hidden="1" customHeight="1">
      <c r="J2148" s="28">
        <f>IFERROR(VLOOKUP(TEXT(B2148,"0"),STOCK!A:H,7,0),1)</f>
        <v>1</v>
      </c>
    </row>
    <row r="2149" spans="10:10" ht="35.450000000000003" hidden="1" customHeight="1">
      <c r="J2149" s="28">
        <f>IFERROR(VLOOKUP(TEXT(B2149,"0"),STOCK!A:H,7,0),1)</f>
        <v>1</v>
      </c>
    </row>
    <row r="2150" spans="10:10" ht="35.450000000000003" hidden="1" customHeight="1">
      <c r="J2150" s="28">
        <f>IFERROR(VLOOKUP(TEXT(B2150,"0"),STOCK!A:H,7,0),1)</f>
        <v>1</v>
      </c>
    </row>
    <row r="2151" spans="10:10" ht="35.450000000000003" hidden="1" customHeight="1">
      <c r="J2151" s="28">
        <f>IFERROR(VLOOKUP(TEXT(B2151,"0"),STOCK!A:H,7,0),1)</f>
        <v>1</v>
      </c>
    </row>
    <row r="2152" spans="10:10" ht="35.450000000000003" hidden="1" customHeight="1">
      <c r="J2152" s="28">
        <f>IFERROR(VLOOKUP(TEXT(B2152,"0"),STOCK!A:H,7,0),1)</f>
        <v>1</v>
      </c>
    </row>
    <row r="2153" spans="10:10" ht="35.450000000000003" hidden="1" customHeight="1">
      <c r="J2153" s="28">
        <f>IFERROR(VLOOKUP(TEXT(B2153,"0"),STOCK!A:H,7,0),1)</f>
        <v>1</v>
      </c>
    </row>
    <row r="2154" spans="10:10" ht="35.450000000000003" hidden="1" customHeight="1">
      <c r="J2154" s="28">
        <f>IFERROR(VLOOKUP(TEXT(B2154,"0"),STOCK!A:H,7,0),1)</f>
        <v>1</v>
      </c>
    </row>
    <row r="2155" spans="10:10" ht="35.450000000000003" hidden="1" customHeight="1">
      <c r="J2155" s="28">
        <f>IFERROR(VLOOKUP(TEXT(B2155,"0"),STOCK!A:H,7,0),1)</f>
        <v>1</v>
      </c>
    </row>
    <row r="2156" spans="10:10" ht="35.450000000000003" hidden="1" customHeight="1">
      <c r="J2156" s="28">
        <f>IFERROR(VLOOKUP(TEXT(B2156,"0"),STOCK!A:H,7,0),1)</f>
        <v>1</v>
      </c>
    </row>
    <row r="2157" spans="10:10" ht="35.450000000000003" hidden="1" customHeight="1">
      <c r="J2157" s="28">
        <f>IFERROR(VLOOKUP(TEXT(B2157,"0"),STOCK!A:H,7,0),1)</f>
        <v>1</v>
      </c>
    </row>
    <row r="2158" spans="10:10" ht="35.450000000000003" hidden="1" customHeight="1">
      <c r="J2158" s="28">
        <f>IFERROR(VLOOKUP(TEXT(B2158,"0"),STOCK!A:H,7,0),1)</f>
        <v>1</v>
      </c>
    </row>
    <row r="2159" spans="10:10" ht="35.450000000000003" hidden="1" customHeight="1">
      <c r="J2159" s="28">
        <f>IFERROR(VLOOKUP(TEXT(B2159,"0"),STOCK!A:H,7,0),1)</f>
        <v>1</v>
      </c>
    </row>
    <row r="2160" spans="10:10" ht="35.450000000000003" hidden="1" customHeight="1">
      <c r="J2160" s="28">
        <f>IFERROR(VLOOKUP(TEXT(B2160,"0"),STOCK!A:H,7,0),1)</f>
        <v>1</v>
      </c>
    </row>
    <row r="2161" spans="10:10" ht="35.450000000000003" hidden="1" customHeight="1">
      <c r="J2161" s="28">
        <f>IFERROR(VLOOKUP(TEXT(B2161,"0"),STOCK!A:H,7,0),1)</f>
        <v>1</v>
      </c>
    </row>
    <row r="2162" spans="10:10" ht="35.450000000000003" hidden="1" customHeight="1">
      <c r="J2162" s="28">
        <f>IFERROR(VLOOKUP(TEXT(B2162,"0"),STOCK!A:H,7,0),1)</f>
        <v>1</v>
      </c>
    </row>
    <row r="2163" spans="10:10" ht="35.450000000000003" hidden="1" customHeight="1">
      <c r="J2163" s="28">
        <f>IFERROR(VLOOKUP(TEXT(B2163,"0"),STOCK!A:H,7,0),1)</f>
        <v>1</v>
      </c>
    </row>
    <row r="2164" spans="10:10" ht="35.450000000000003" hidden="1" customHeight="1">
      <c r="J2164" s="28">
        <f>IFERROR(VLOOKUP(TEXT(B2164,"0"),STOCK!A:H,7,0),1)</f>
        <v>1</v>
      </c>
    </row>
    <row r="2165" spans="10:10" ht="35.450000000000003" hidden="1" customHeight="1">
      <c r="J2165" s="28">
        <f>IFERROR(VLOOKUP(TEXT(B2165,"0"),STOCK!A:H,7,0),1)</f>
        <v>1</v>
      </c>
    </row>
    <row r="2166" spans="10:10" ht="35.450000000000003" hidden="1" customHeight="1">
      <c r="J2166" s="28">
        <f>IFERROR(VLOOKUP(TEXT(B2166,"0"),STOCK!A:H,7,0),1)</f>
        <v>1</v>
      </c>
    </row>
    <row r="2167" spans="10:10" ht="35.450000000000003" hidden="1" customHeight="1">
      <c r="J2167" s="28">
        <f>IFERROR(VLOOKUP(TEXT(B2167,"0"),STOCK!A:H,7,0),1)</f>
        <v>1</v>
      </c>
    </row>
    <row r="2168" spans="10:10" ht="35.450000000000003" hidden="1" customHeight="1">
      <c r="J2168" s="28">
        <f>IFERROR(VLOOKUP(TEXT(B2168,"0"),STOCK!A:H,7,0),1)</f>
        <v>1</v>
      </c>
    </row>
    <row r="2169" spans="10:10" ht="35.450000000000003" hidden="1" customHeight="1">
      <c r="J2169" s="28">
        <f>IFERROR(VLOOKUP(TEXT(B2169,"0"),STOCK!A:H,7,0),1)</f>
        <v>1</v>
      </c>
    </row>
    <row r="2170" spans="10:10" ht="35.450000000000003" hidden="1" customHeight="1">
      <c r="J2170" s="28">
        <f>IFERROR(VLOOKUP(TEXT(B2170,"0"),STOCK!A:H,7,0),1)</f>
        <v>1</v>
      </c>
    </row>
    <row r="2171" spans="10:10" ht="35.450000000000003" hidden="1" customHeight="1">
      <c r="J2171" s="28">
        <f>IFERROR(VLOOKUP(TEXT(B2171,"0"),STOCK!A:H,7,0),1)</f>
        <v>1</v>
      </c>
    </row>
    <row r="2172" spans="10:10" ht="35.450000000000003" hidden="1" customHeight="1">
      <c r="J2172" s="28">
        <f>IFERROR(VLOOKUP(TEXT(B2172,"0"),STOCK!A:H,7,0),1)</f>
        <v>1</v>
      </c>
    </row>
    <row r="2173" spans="10:10" ht="35.450000000000003" hidden="1" customHeight="1">
      <c r="J2173" s="28">
        <f>IFERROR(VLOOKUP(TEXT(B2173,"0"),STOCK!A:H,7,0),1)</f>
        <v>1</v>
      </c>
    </row>
    <row r="2174" spans="10:10" ht="35.450000000000003" hidden="1" customHeight="1">
      <c r="J2174" s="28">
        <f>IFERROR(VLOOKUP(TEXT(B2174,"0"),STOCK!A:H,7,0),1)</f>
        <v>1</v>
      </c>
    </row>
    <row r="2175" spans="10:10" ht="35.450000000000003" hidden="1" customHeight="1">
      <c r="J2175" s="28">
        <f>IFERROR(VLOOKUP(TEXT(B2175,"0"),STOCK!A:H,7,0),1)</f>
        <v>1</v>
      </c>
    </row>
    <row r="2176" spans="10:10" ht="35.450000000000003" hidden="1" customHeight="1">
      <c r="J2176" s="28">
        <f>IFERROR(VLOOKUP(TEXT(B2176,"0"),STOCK!A:H,7,0),1)</f>
        <v>1</v>
      </c>
    </row>
    <row r="2177" spans="10:10" ht="35.450000000000003" hidden="1" customHeight="1">
      <c r="J2177" s="28">
        <f>IFERROR(VLOOKUP(TEXT(B2177,"0"),STOCK!A:H,7,0),1)</f>
        <v>1</v>
      </c>
    </row>
    <row r="2178" spans="10:10" ht="35.450000000000003" hidden="1" customHeight="1">
      <c r="J2178" s="28">
        <f>IFERROR(VLOOKUP(TEXT(B2178,"0"),STOCK!A:H,7,0),1)</f>
        <v>1</v>
      </c>
    </row>
    <row r="2179" spans="10:10" ht="35.450000000000003" hidden="1" customHeight="1">
      <c r="J2179" s="28">
        <f>IFERROR(VLOOKUP(TEXT(B2179,"0"),STOCK!A:H,7,0),1)</f>
        <v>1</v>
      </c>
    </row>
    <row r="2180" spans="10:10" ht="35.450000000000003" hidden="1" customHeight="1">
      <c r="J2180" s="28">
        <f>IFERROR(VLOOKUP(TEXT(B2180,"0"),STOCK!A:H,7,0),1)</f>
        <v>1</v>
      </c>
    </row>
    <row r="2181" spans="10:10" ht="35.450000000000003" hidden="1" customHeight="1">
      <c r="J2181" s="28">
        <f>IFERROR(VLOOKUP(TEXT(B2181,"0"),STOCK!A:H,7,0),1)</f>
        <v>1</v>
      </c>
    </row>
    <row r="2182" spans="10:10" ht="35.450000000000003" hidden="1" customHeight="1">
      <c r="J2182" s="28">
        <f>IFERROR(VLOOKUP(TEXT(B2182,"0"),STOCK!A:H,7,0),1)</f>
        <v>1</v>
      </c>
    </row>
    <row r="2183" spans="10:10" ht="35.450000000000003" hidden="1" customHeight="1">
      <c r="J2183" s="28">
        <f>IFERROR(VLOOKUP(TEXT(B2183,"0"),STOCK!A:H,7,0),1)</f>
        <v>1</v>
      </c>
    </row>
    <row r="2184" spans="10:10" ht="35.450000000000003" hidden="1" customHeight="1">
      <c r="J2184" s="28">
        <f>IFERROR(VLOOKUP(TEXT(B2184,"0"),STOCK!A:H,7,0),1)</f>
        <v>1</v>
      </c>
    </row>
    <row r="2185" spans="10:10" ht="35.450000000000003" hidden="1" customHeight="1">
      <c r="J2185" s="28">
        <f>IFERROR(VLOOKUP(TEXT(B2185,"0"),STOCK!A:H,7,0),1)</f>
        <v>1</v>
      </c>
    </row>
    <row r="2186" spans="10:10" ht="35.450000000000003" hidden="1" customHeight="1">
      <c r="J2186" s="28">
        <f>IFERROR(VLOOKUP(TEXT(B2186,"0"),STOCK!A:H,7,0),1)</f>
        <v>1</v>
      </c>
    </row>
    <row r="2187" spans="10:10" ht="35.450000000000003" hidden="1" customHeight="1">
      <c r="J2187" s="28">
        <f>IFERROR(VLOOKUP(TEXT(B2187,"0"),STOCK!A:H,7,0),1)</f>
        <v>1</v>
      </c>
    </row>
    <row r="2188" spans="10:10" ht="35.450000000000003" hidden="1" customHeight="1">
      <c r="J2188" s="28">
        <f>IFERROR(VLOOKUP(TEXT(B2188,"0"),STOCK!A:H,7,0),1)</f>
        <v>1</v>
      </c>
    </row>
    <row r="2189" spans="10:10" ht="35.450000000000003" hidden="1" customHeight="1">
      <c r="J2189" s="28">
        <f>IFERROR(VLOOKUP(TEXT(B2189,"0"),STOCK!A:H,7,0),1)</f>
        <v>1</v>
      </c>
    </row>
    <row r="2190" spans="10:10" ht="35.450000000000003" hidden="1" customHeight="1">
      <c r="J2190" s="28">
        <f>IFERROR(VLOOKUP(TEXT(B2190,"0"),STOCK!A:H,7,0),1)</f>
        <v>1</v>
      </c>
    </row>
    <row r="2191" spans="10:10" ht="35.450000000000003" hidden="1" customHeight="1">
      <c r="J2191" s="28">
        <f>IFERROR(VLOOKUP(TEXT(B2191,"0"),STOCK!A:H,7,0),1)</f>
        <v>1</v>
      </c>
    </row>
    <row r="2192" spans="10:10" ht="35.450000000000003" hidden="1" customHeight="1">
      <c r="J2192" s="28">
        <f>IFERROR(VLOOKUP(TEXT(B2192,"0"),STOCK!A:H,7,0),1)</f>
        <v>1</v>
      </c>
    </row>
    <row r="2193" spans="10:10" ht="35.450000000000003" hidden="1" customHeight="1">
      <c r="J2193" s="28">
        <f>IFERROR(VLOOKUP(TEXT(B2193,"0"),STOCK!A:H,7,0),1)</f>
        <v>1</v>
      </c>
    </row>
    <row r="2194" spans="10:10" ht="35.450000000000003" hidden="1" customHeight="1">
      <c r="J2194" s="28">
        <f>IFERROR(VLOOKUP(TEXT(B2194,"0"),STOCK!A:H,7,0),1)</f>
        <v>1</v>
      </c>
    </row>
    <row r="2195" spans="10:10" ht="35.450000000000003" hidden="1" customHeight="1">
      <c r="J2195" s="28">
        <f>IFERROR(VLOOKUP(TEXT(B2195,"0"),STOCK!A:H,7,0),1)</f>
        <v>1</v>
      </c>
    </row>
    <row r="2196" spans="10:10" ht="35.450000000000003" hidden="1" customHeight="1">
      <c r="J2196" s="28">
        <f>IFERROR(VLOOKUP(TEXT(B2196,"0"),STOCK!A:H,7,0),1)</f>
        <v>1</v>
      </c>
    </row>
    <row r="2197" spans="10:10" ht="35.450000000000003" hidden="1" customHeight="1">
      <c r="J2197" s="28">
        <f>IFERROR(VLOOKUP(TEXT(B2197,"0"),STOCK!A:H,7,0),1)</f>
        <v>1</v>
      </c>
    </row>
    <row r="2198" spans="10:10" ht="35.450000000000003" hidden="1" customHeight="1">
      <c r="J2198" s="28">
        <f>IFERROR(VLOOKUP(TEXT(B2198,"0"),STOCK!A:H,7,0),1)</f>
        <v>1</v>
      </c>
    </row>
    <row r="2199" spans="10:10" ht="35.450000000000003" hidden="1" customHeight="1">
      <c r="J2199" s="28">
        <f>IFERROR(VLOOKUP(TEXT(B2199,"0"),STOCK!A:H,7,0),1)</f>
        <v>1</v>
      </c>
    </row>
    <row r="2200" spans="10:10" ht="35.450000000000003" hidden="1" customHeight="1">
      <c r="J2200" s="28">
        <f>IFERROR(VLOOKUP(TEXT(B2200,"0"),STOCK!A:H,7,0),1)</f>
        <v>1</v>
      </c>
    </row>
    <row r="2201" spans="10:10" ht="35.450000000000003" hidden="1" customHeight="1">
      <c r="J2201" s="28">
        <f>IFERROR(VLOOKUP(TEXT(B2201,"0"),STOCK!A:H,7,0),1)</f>
        <v>1</v>
      </c>
    </row>
    <row r="2202" spans="10:10" ht="35.450000000000003" hidden="1" customHeight="1">
      <c r="J2202" s="28">
        <f>IFERROR(VLOOKUP(TEXT(B2202,"0"),STOCK!A:H,7,0),1)</f>
        <v>1</v>
      </c>
    </row>
    <row r="2203" spans="10:10" ht="35.450000000000003" hidden="1" customHeight="1">
      <c r="J2203" s="28">
        <f>IFERROR(VLOOKUP(TEXT(B2203,"0"),STOCK!A:H,7,0),1)</f>
        <v>1</v>
      </c>
    </row>
    <row r="2204" spans="10:10" ht="35.450000000000003" hidden="1" customHeight="1">
      <c r="J2204" s="28">
        <f>IFERROR(VLOOKUP(TEXT(B2204,"0"),STOCK!A:H,7,0),1)</f>
        <v>1</v>
      </c>
    </row>
    <row r="2205" spans="10:10" ht="35.450000000000003" hidden="1" customHeight="1">
      <c r="J2205" s="28">
        <f>IFERROR(VLOOKUP(TEXT(B2205,"0"),STOCK!A:H,7,0),1)</f>
        <v>1</v>
      </c>
    </row>
    <row r="2206" spans="10:10" ht="35.450000000000003" hidden="1" customHeight="1">
      <c r="J2206" s="28">
        <f>IFERROR(VLOOKUP(TEXT(B2206,"0"),STOCK!A:H,7,0),1)</f>
        <v>1</v>
      </c>
    </row>
    <row r="2207" spans="10:10" ht="35.450000000000003" hidden="1" customHeight="1">
      <c r="J2207" s="28">
        <f>IFERROR(VLOOKUP(TEXT(B2207,"0"),STOCK!A:H,7,0),1)</f>
        <v>1</v>
      </c>
    </row>
    <row r="2208" spans="10:10" ht="35.450000000000003" hidden="1" customHeight="1">
      <c r="J2208" s="28">
        <f>IFERROR(VLOOKUP(TEXT(B2208,"0"),STOCK!A:H,7,0),1)</f>
        <v>1</v>
      </c>
    </row>
    <row r="2209" spans="10:10" ht="35.450000000000003" hidden="1" customHeight="1">
      <c r="J2209" s="28">
        <f>IFERROR(VLOOKUP(TEXT(B2209,"0"),STOCK!A:H,7,0),1)</f>
        <v>1</v>
      </c>
    </row>
    <row r="2210" spans="10:10" ht="35.450000000000003" hidden="1" customHeight="1">
      <c r="J2210" s="28">
        <f>IFERROR(VLOOKUP(TEXT(B2210,"0"),STOCK!A:H,7,0),1)</f>
        <v>1</v>
      </c>
    </row>
    <row r="2211" spans="10:10" ht="35.450000000000003" hidden="1" customHeight="1">
      <c r="J2211" s="28">
        <f>IFERROR(VLOOKUP(TEXT(B2211,"0"),STOCK!A:H,7,0),1)</f>
        <v>1</v>
      </c>
    </row>
    <row r="2212" spans="10:10" ht="35.450000000000003" hidden="1" customHeight="1">
      <c r="J2212" s="28">
        <f>IFERROR(VLOOKUP(TEXT(B2212,"0"),STOCK!A:H,7,0),1)</f>
        <v>1</v>
      </c>
    </row>
    <row r="2213" spans="10:10" ht="35.450000000000003" hidden="1" customHeight="1">
      <c r="J2213" s="28">
        <f>IFERROR(VLOOKUP(TEXT(B2213,"0"),STOCK!A:H,7,0),1)</f>
        <v>1</v>
      </c>
    </row>
    <row r="2214" spans="10:10" ht="35.450000000000003" hidden="1" customHeight="1">
      <c r="J2214" s="28">
        <f>IFERROR(VLOOKUP(TEXT(B2214,"0"),STOCK!A:H,7,0),1)</f>
        <v>1</v>
      </c>
    </row>
    <row r="2215" spans="10:10" ht="35.450000000000003" hidden="1" customHeight="1">
      <c r="J2215" s="28">
        <f>IFERROR(VLOOKUP(TEXT(B2215,"0"),STOCK!A:H,7,0),1)</f>
        <v>1</v>
      </c>
    </row>
    <row r="2216" spans="10:10" ht="35.450000000000003" hidden="1" customHeight="1">
      <c r="J2216" s="28">
        <f>IFERROR(VLOOKUP(TEXT(B2216,"0"),STOCK!A:H,7,0),1)</f>
        <v>1</v>
      </c>
    </row>
    <row r="2217" spans="10:10" ht="35.450000000000003" hidden="1" customHeight="1">
      <c r="J2217" s="28">
        <f>IFERROR(VLOOKUP(TEXT(B2217,"0"),STOCK!A:H,7,0),1)</f>
        <v>1</v>
      </c>
    </row>
    <row r="2218" spans="10:10" ht="35.450000000000003" hidden="1" customHeight="1">
      <c r="J2218" s="28">
        <f>IFERROR(VLOOKUP(TEXT(B2218,"0"),STOCK!A:H,7,0),1)</f>
        <v>1</v>
      </c>
    </row>
    <row r="2219" spans="10:10" ht="35.450000000000003" hidden="1" customHeight="1">
      <c r="J2219" s="28">
        <f>IFERROR(VLOOKUP(TEXT(B2219,"0"),STOCK!A:H,7,0),1)</f>
        <v>1</v>
      </c>
    </row>
    <row r="2220" spans="10:10" ht="35.450000000000003" hidden="1" customHeight="1">
      <c r="J2220" s="28">
        <f>IFERROR(VLOOKUP(TEXT(B2220,"0"),STOCK!A:H,7,0),1)</f>
        <v>1</v>
      </c>
    </row>
    <row r="2221" spans="10:10" ht="35.450000000000003" hidden="1" customHeight="1">
      <c r="J2221" s="28">
        <f>IFERROR(VLOOKUP(TEXT(B2221,"0"),STOCK!A:H,7,0),1)</f>
        <v>1</v>
      </c>
    </row>
    <row r="2222" spans="10:10" ht="35.450000000000003" hidden="1" customHeight="1">
      <c r="J2222" s="28">
        <f>IFERROR(VLOOKUP(TEXT(B2222,"0"),STOCK!A:H,7,0),1)</f>
        <v>1</v>
      </c>
    </row>
    <row r="2223" spans="10:10" ht="35.450000000000003" hidden="1" customHeight="1">
      <c r="J2223" s="28">
        <f>IFERROR(VLOOKUP(TEXT(B2223,"0"),STOCK!A:H,7,0),1)</f>
        <v>1</v>
      </c>
    </row>
    <row r="2224" spans="10:10" ht="35.450000000000003" hidden="1" customHeight="1">
      <c r="J2224" s="28">
        <f>IFERROR(VLOOKUP(TEXT(B2224,"0"),STOCK!A:H,7,0),1)</f>
        <v>1</v>
      </c>
    </row>
    <row r="2225" spans="10:10" ht="35.450000000000003" hidden="1" customHeight="1">
      <c r="J2225" s="28">
        <f>IFERROR(VLOOKUP(TEXT(B2225,"0"),STOCK!A:H,7,0),1)</f>
        <v>1</v>
      </c>
    </row>
    <row r="2226" spans="10:10" ht="35.450000000000003" hidden="1" customHeight="1">
      <c r="J2226" s="28">
        <f>IFERROR(VLOOKUP(TEXT(B2226,"0"),STOCK!A:H,7,0),1)</f>
        <v>1</v>
      </c>
    </row>
    <row r="2227" spans="10:10" ht="35.450000000000003" hidden="1" customHeight="1">
      <c r="J2227" s="28">
        <f>IFERROR(VLOOKUP(TEXT(B2227,"0"),STOCK!A:H,7,0),1)</f>
        <v>1</v>
      </c>
    </row>
    <row r="2228" spans="10:10" ht="35.450000000000003" hidden="1" customHeight="1">
      <c r="J2228" s="28">
        <f>IFERROR(VLOOKUP(TEXT(B2228,"0"),STOCK!A:H,7,0),1)</f>
        <v>1</v>
      </c>
    </row>
    <row r="2229" spans="10:10" ht="35.450000000000003" hidden="1" customHeight="1">
      <c r="J2229" s="28">
        <f>IFERROR(VLOOKUP(TEXT(B2229,"0"),STOCK!A:H,7,0),1)</f>
        <v>1</v>
      </c>
    </row>
    <row r="2230" spans="10:10" ht="35.450000000000003" hidden="1" customHeight="1">
      <c r="J2230" s="28">
        <f>IFERROR(VLOOKUP(TEXT(B2230,"0"),STOCK!A:H,7,0),1)</f>
        <v>1</v>
      </c>
    </row>
    <row r="2231" spans="10:10" ht="35.450000000000003" hidden="1" customHeight="1">
      <c r="J2231" s="28">
        <f>IFERROR(VLOOKUP(TEXT(B2231,"0"),STOCK!A:H,7,0),1)</f>
        <v>1</v>
      </c>
    </row>
    <row r="2232" spans="10:10" ht="35.450000000000003" hidden="1" customHeight="1">
      <c r="J2232" s="28">
        <f>IFERROR(VLOOKUP(TEXT(B2232,"0"),STOCK!A:H,7,0),1)</f>
        <v>1</v>
      </c>
    </row>
    <row r="2233" spans="10:10" ht="35.450000000000003" hidden="1" customHeight="1">
      <c r="J2233" s="28">
        <f>IFERROR(VLOOKUP(TEXT(B2233,"0"),STOCK!A:H,7,0),1)</f>
        <v>1</v>
      </c>
    </row>
    <row r="2234" spans="10:10" ht="35.450000000000003" hidden="1" customHeight="1">
      <c r="J2234" s="28">
        <f>IFERROR(VLOOKUP(TEXT(B2234,"0"),STOCK!A:H,7,0),1)</f>
        <v>1</v>
      </c>
    </row>
    <row r="2235" spans="10:10" ht="35.450000000000003" hidden="1" customHeight="1">
      <c r="J2235" s="28">
        <f>IFERROR(VLOOKUP(TEXT(B2235,"0"),STOCK!A:H,7,0),1)</f>
        <v>1</v>
      </c>
    </row>
    <row r="2236" spans="10:10" ht="35.450000000000003" hidden="1" customHeight="1">
      <c r="J2236" s="28">
        <f>IFERROR(VLOOKUP(TEXT(B2236,"0"),STOCK!A:H,7,0),1)</f>
        <v>1</v>
      </c>
    </row>
    <row r="2237" spans="10:10" ht="35.450000000000003" hidden="1" customHeight="1">
      <c r="J2237" s="28">
        <f>IFERROR(VLOOKUP(TEXT(B2237,"0"),STOCK!A:H,7,0),1)</f>
        <v>1</v>
      </c>
    </row>
    <row r="2238" spans="10:10" ht="35.450000000000003" hidden="1" customHeight="1">
      <c r="J2238" s="28">
        <f>IFERROR(VLOOKUP(TEXT(B2238,"0"),STOCK!A:H,7,0),1)</f>
        <v>1</v>
      </c>
    </row>
    <row r="2239" spans="10:10" ht="35.450000000000003" hidden="1" customHeight="1">
      <c r="J2239" s="28">
        <f>IFERROR(VLOOKUP(TEXT(B2239,"0"),STOCK!A:H,7,0),1)</f>
        <v>1</v>
      </c>
    </row>
    <row r="2240" spans="10:10" ht="35.450000000000003" hidden="1" customHeight="1">
      <c r="J2240" s="28">
        <f>IFERROR(VLOOKUP(TEXT(B2240,"0"),STOCK!A:H,7,0),1)</f>
        <v>1</v>
      </c>
    </row>
    <row r="2241" spans="10:10" ht="35.450000000000003" hidden="1" customHeight="1">
      <c r="J2241" s="28">
        <f>IFERROR(VLOOKUP(TEXT(B2241,"0"),STOCK!A:H,7,0),1)</f>
        <v>1</v>
      </c>
    </row>
    <row r="2242" spans="10:10" ht="35.450000000000003" hidden="1" customHeight="1">
      <c r="J2242" s="28">
        <f>IFERROR(VLOOKUP(TEXT(B2242,"0"),STOCK!A:H,7,0),1)</f>
        <v>1</v>
      </c>
    </row>
    <row r="2243" spans="10:10" ht="35.450000000000003" hidden="1" customHeight="1">
      <c r="J2243" s="28">
        <f>IFERROR(VLOOKUP(TEXT(B2243,"0"),STOCK!A:H,7,0),1)</f>
        <v>1</v>
      </c>
    </row>
    <row r="2244" spans="10:10" ht="35.450000000000003" hidden="1" customHeight="1">
      <c r="J2244" s="28">
        <f>IFERROR(VLOOKUP(TEXT(B2244,"0"),STOCK!A:H,7,0),1)</f>
        <v>1</v>
      </c>
    </row>
    <row r="2245" spans="10:10" ht="35.450000000000003" hidden="1" customHeight="1">
      <c r="J2245" s="28">
        <f>IFERROR(VLOOKUP(TEXT(B2245,"0"),STOCK!A:H,7,0),1)</f>
        <v>1</v>
      </c>
    </row>
    <row r="2246" spans="10:10" ht="35.450000000000003" hidden="1" customHeight="1">
      <c r="J2246" s="28">
        <f>IFERROR(VLOOKUP(TEXT(B2246,"0"),STOCK!A:H,7,0),1)</f>
        <v>1</v>
      </c>
    </row>
    <row r="2247" spans="10:10" ht="35.450000000000003" hidden="1" customHeight="1">
      <c r="J2247" s="28">
        <f>IFERROR(VLOOKUP(TEXT(B2247,"0"),STOCK!A:H,7,0),1)</f>
        <v>1</v>
      </c>
    </row>
    <row r="2248" spans="10:10" ht="35.450000000000003" hidden="1" customHeight="1">
      <c r="J2248" s="28">
        <f>IFERROR(VLOOKUP(TEXT(B2248,"0"),STOCK!A:H,7,0),1)</f>
        <v>1</v>
      </c>
    </row>
    <row r="2249" spans="10:10" ht="35.450000000000003" hidden="1" customHeight="1">
      <c r="J2249" s="28">
        <f>IFERROR(VLOOKUP(TEXT(B2249,"0"),STOCK!A:H,7,0),1)</f>
        <v>1</v>
      </c>
    </row>
    <row r="2250" spans="10:10" ht="35.450000000000003" hidden="1" customHeight="1">
      <c r="J2250" s="28">
        <f>IFERROR(VLOOKUP(TEXT(B2250,"0"),STOCK!A:H,7,0),1)</f>
        <v>1</v>
      </c>
    </row>
    <row r="2251" spans="10:10" ht="35.450000000000003" hidden="1" customHeight="1">
      <c r="J2251" s="28">
        <f>IFERROR(VLOOKUP(TEXT(B2251,"0"),STOCK!A:H,7,0),1)</f>
        <v>1</v>
      </c>
    </row>
    <row r="2252" spans="10:10" ht="35.450000000000003" hidden="1" customHeight="1">
      <c r="J2252" s="28">
        <f>IFERROR(VLOOKUP(TEXT(B2252,"0"),STOCK!A:H,7,0),1)</f>
        <v>1</v>
      </c>
    </row>
    <row r="2253" spans="10:10" ht="35.450000000000003" hidden="1" customHeight="1">
      <c r="J2253" s="28">
        <f>IFERROR(VLOOKUP(TEXT(B2253,"0"),STOCK!A:H,7,0),1)</f>
        <v>1</v>
      </c>
    </row>
    <row r="2254" spans="10:10" ht="35.450000000000003" hidden="1" customHeight="1">
      <c r="J2254" s="28">
        <f>IFERROR(VLOOKUP(TEXT(B2254,"0"),STOCK!A:H,7,0),1)</f>
        <v>1</v>
      </c>
    </row>
    <row r="2255" spans="10:10" ht="35.450000000000003" hidden="1" customHeight="1">
      <c r="J2255" s="28">
        <f>IFERROR(VLOOKUP(TEXT(B2255,"0"),STOCK!A:H,7,0),1)</f>
        <v>1</v>
      </c>
    </row>
    <row r="2256" spans="10:10" ht="35.450000000000003" hidden="1" customHeight="1">
      <c r="J2256" s="28">
        <f>IFERROR(VLOOKUP(TEXT(B2256,"0"),STOCK!A:H,7,0),1)</f>
        <v>1</v>
      </c>
    </row>
    <row r="2257" spans="10:10" ht="35.450000000000003" hidden="1" customHeight="1">
      <c r="J2257" s="28">
        <f>IFERROR(VLOOKUP(TEXT(B2257,"0"),STOCK!A:H,7,0),1)</f>
        <v>1</v>
      </c>
    </row>
    <row r="2258" spans="10:10" ht="35.450000000000003" hidden="1" customHeight="1">
      <c r="J2258" s="28">
        <f>IFERROR(VLOOKUP(TEXT(B2258,"0"),STOCK!A:H,7,0),1)</f>
        <v>1</v>
      </c>
    </row>
    <row r="2259" spans="10:10" ht="35.450000000000003" hidden="1" customHeight="1">
      <c r="J2259" s="28">
        <f>IFERROR(VLOOKUP(TEXT(B2259,"0"),STOCK!A:H,7,0),1)</f>
        <v>1</v>
      </c>
    </row>
    <row r="2260" spans="10:10" ht="35.450000000000003" hidden="1" customHeight="1">
      <c r="J2260" s="28">
        <f>IFERROR(VLOOKUP(TEXT(B2260,"0"),STOCK!A:H,7,0),1)</f>
        <v>1</v>
      </c>
    </row>
    <row r="2261" spans="10:10" ht="35.450000000000003" hidden="1" customHeight="1">
      <c r="J2261" s="28">
        <f>IFERROR(VLOOKUP(TEXT(B2261,"0"),STOCK!A:H,7,0),1)</f>
        <v>1</v>
      </c>
    </row>
    <row r="2262" spans="10:10" ht="35.450000000000003" hidden="1" customHeight="1">
      <c r="J2262" s="28">
        <f>IFERROR(VLOOKUP(TEXT(B2262,"0"),STOCK!A:H,7,0),1)</f>
        <v>1</v>
      </c>
    </row>
    <row r="2263" spans="10:10" ht="35.450000000000003" hidden="1" customHeight="1">
      <c r="J2263" s="28">
        <f>IFERROR(VLOOKUP(TEXT(B2263,"0"),STOCK!A:H,7,0),1)</f>
        <v>1</v>
      </c>
    </row>
    <row r="2264" spans="10:10" ht="35.450000000000003" hidden="1" customHeight="1">
      <c r="J2264" s="28">
        <f>IFERROR(VLOOKUP(TEXT(B2264,"0"),STOCK!A:H,7,0),1)</f>
        <v>1</v>
      </c>
    </row>
    <row r="2265" spans="10:10" ht="35.450000000000003" hidden="1" customHeight="1">
      <c r="J2265" s="28">
        <f>IFERROR(VLOOKUP(TEXT(B2265,"0"),STOCK!A:H,7,0),1)</f>
        <v>1</v>
      </c>
    </row>
    <row r="2266" spans="10:10" ht="35.450000000000003" hidden="1" customHeight="1">
      <c r="J2266" s="28">
        <f>IFERROR(VLOOKUP(TEXT(B2266,"0"),STOCK!A:H,7,0),1)</f>
        <v>1</v>
      </c>
    </row>
    <row r="2267" spans="10:10" ht="35.450000000000003" hidden="1" customHeight="1">
      <c r="J2267" s="28">
        <f>IFERROR(VLOOKUP(TEXT(B2267,"0"),STOCK!A:H,7,0),1)</f>
        <v>1</v>
      </c>
    </row>
    <row r="2268" spans="10:10" ht="35.450000000000003" hidden="1" customHeight="1">
      <c r="J2268" s="28">
        <f>IFERROR(VLOOKUP(TEXT(B2268,"0"),STOCK!A:H,7,0),1)</f>
        <v>1</v>
      </c>
    </row>
    <row r="2269" spans="10:10" ht="35.450000000000003" hidden="1" customHeight="1">
      <c r="J2269" s="28">
        <f>IFERROR(VLOOKUP(TEXT(B2269,"0"),STOCK!A:H,7,0),1)</f>
        <v>1</v>
      </c>
    </row>
    <row r="2270" spans="10:10" ht="35.450000000000003" hidden="1" customHeight="1">
      <c r="J2270" s="28">
        <f>IFERROR(VLOOKUP(TEXT(B2270,"0"),STOCK!A:H,7,0),1)</f>
        <v>1</v>
      </c>
    </row>
    <row r="2271" spans="10:10" ht="35.450000000000003" hidden="1" customHeight="1">
      <c r="J2271" s="28">
        <f>IFERROR(VLOOKUP(TEXT(B2271,"0"),STOCK!A:H,7,0),1)</f>
        <v>1</v>
      </c>
    </row>
    <row r="2272" spans="10:10" ht="35.450000000000003" hidden="1" customHeight="1">
      <c r="J2272" s="28">
        <f>IFERROR(VLOOKUP(TEXT(B2272,"0"),STOCK!A:H,7,0),1)</f>
        <v>1</v>
      </c>
    </row>
    <row r="2273" spans="10:10" ht="35.450000000000003" hidden="1" customHeight="1">
      <c r="J2273" s="28">
        <f>IFERROR(VLOOKUP(TEXT(B2273,"0"),STOCK!A:H,7,0),1)</f>
        <v>1</v>
      </c>
    </row>
    <row r="2274" spans="10:10" ht="35.450000000000003" hidden="1" customHeight="1">
      <c r="J2274" s="28">
        <f>IFERROR(VLOOKUP(TEXT(B2274,"0"),STOCK!A:H,7,0),1)</f>
        <v>1</v>
      </c>
    </row>
    <row r="2275" spans="10:10" ht="35.450000000000003" hidden="1" customHeight="1">
      <c r="J2275" s="28">
        <f>IFERROR(VLOOKUP(TEXT(B2275,"0"),STOCK!A:H,7,0),1)</f>
        <v>1</v>
      </c>
    </row>
    <row r="2276" spans="10:10" ht="35.450000000000003" hidden="1" customHeight="1">
      <c r="J2276" s="28">
        <f>IFERROR(VLOOKUP(TEXT(B2276,"0"),STOCK!A:H,7,0),1)</f>
        <v>1</v>
      </c>
    </row>
    <row r="2277" spans="10:10" ht="35.450000000000003" hidden="1" customHeight="1">
      <c r="J2277" s="28">
        <f>IFERROR(VLOOKUP(TEXT(B2277,"0"),STOCK!A:H,7,0),1)</f>
        <v>1</v>
      </c>
    </row>
    <row r="2278" spans="10:10" ht="35.450000000000003" hidden="1" customHeight="1">
      <c r="J2278" s="28">
        <f>IFERROR(VLOOKUP(TEXT(B2278,"0"),STOCK!A:H,7,0),1)</f>
        <v>1</v>
      </c>
    </row>
    <row r="2279" spans="10:10" ht="35.450000000000003" hidden="1" customHeight="1">
      <c r="J2279" s="28">
        <f>IFERROR(VLOOKUP(TEXT(B2279,"0"),STOCK!A:H,7,0),1)</f>
        <v>1</v>
      </c>
    </row>
    <row r="2280" spans="10:10" ht="35.450000000000003" hidden="1" customHeight="1">
      <c r="J2280" s="28">
        <f>IFERROR(VLOOKUP(TEXT(B2280,"0"),STOCK!A:H,7,0),1)</f>
        <v>1</v>
      </c>
    </row>
    <row r="2281" spans="10:10" ht="35.450000000000003" hidden="1" customHeight="1">
      <c r="J2281" s="28">
        <f>IFERROR(VLOOKUP(TEXT(B2281,"0"),STOCK!A:H,7,0),1)</f>
        <v>1</v>
      </c>
    </row>
    <row r="2282" spans="10:10" ht="35.450000000000003" hidden="1" customHeight="1">
      <c r="J2282" s="28">
        <f>IFERROR(VLOOKUP(TEXT(B2282,"0"),STOCK!A:H,7,0),1)</f>
        <v>1</v>
      </c>
    </row>
    <row r="2283" spans="10:10" ht="35.450000000000003" hidden="1" customHeight="1">
      <c r="J2283" s="28">
        <f>IFERROR(VLOOKUP(TEXT(B2283,"0"),STOCK!A:H,7,0),1)</f>
        <v>1</v>
      </c>
    </row>
    <row r="2284" spans="10:10" ht="35.450000000000003" hidden="1" customHeight="1">
      <c r="J2284" s="28">
        <f>IFERROR(VLOOKUP(TEXT(B2284,"0"),STOCK!A:H,7,0),1)</f>
        <v>1</v>
      </c>
    </row>
    <row r="2285" spans="10:10" ht="35.450000000000003" hidden="1" customHeight="1">
      <c r="J2285" s="28">
        <f>IFERROR(VLOOKUP(TEXT(B2285,"0"),STOCK!A:H,7,0),1)</f>
        <v>1</v>
      </c>
    </row>
    <row r="2286" spans="10:10" ht="35.450000000000003" hidden="1" customHeight="1">
      <c r="J2286" s="28">
        <f>IFERROR(VLOOKUP(TEXT(B2286,"0"),STOCK!A:H,7,0),1)</f>
        <v>1</v>
      </c>
    </row>
    <row r="2287" spans="10:10" ht="35.450000000000003" hidden="1" customHeight="1">
      <c r="J2287" s="28">
        <f>IFERROR(VLOOKUP(TEXT(B2287,"0"),STOCK!A:H,7,0),1)</f>
        <v>1</v>
      </c>
    </row>
    <row r="2288" spans="10:10" ht="35.450000000000003" hidden="1" customHeight="1">
      <c r="J2288" s="28">
        <f>IFERROR(VLOOKUP(TEXT(B2288,"0"),STOCK!A:H,7,0),1)</f>
        <v>1</v>
      </c>
    </row>
    <row r="2289" spans="10:10" ht="35.450000000000003" hidden="1" customHeight="1">
      <c r="J2289" s="28">
        <f>IFERROR(VLOOKUP(TEXT(B2289,"0"),STOCK!A:H,7,0),1)</f>
        <v>1</v>
      </c>
    </row>
    <row r="2290" spans="10:10" ht="35.450000000000003" hidden="1" customHeight="1">
      <c r="J2290" s="28">
        <f>IFERROR(VLOOKUP(TEXT(B2290,"0"),STOCK!A:H,7,0),1)</f>
        <v>1</v>
      </c>
    </row>
    <row r="2291" spans="10:10" ht="35.450000000000003" hidden="1" customHeight="1">
      <c r="J2291" s="28">
        <f>IFERROR(VLOOKUP(TEXT(B2291,"0"),STOCK!A:H,7,0),1)</f>
        <v>1</v>
      </c>
    </row>
    <row r="2292" spans="10:10" ht="35.450000000000003" hidden="1" customHeight="1">
      <c r="J2292" s="28">
        <f>IFERROR(VLOOKUP(TEXT(B2292,"0"),STOCK!A:H,7,0),1)</f>
        <v>1</v>
      </c>
    </row>
    <row r="2293" spans="10:10" ht="35.450000000000003" hidden="1" customHeight="1">
      <c r="J2293" s="28">
        <f>IFERROR(VLOOKUP(TEXT(B2293,"0"),STOCK!A:H,7,0),1)</f>
        <v>1</v>
      </c>
    </row>
    <row r="2294" spans="10:10" ht="35.450000000000003" hidden="1" customHeight="1">
      <c r="J2294" s="28">
        <f>IFERROR(VLOOKUP(TEXT(B2294,"0"),STOCK!A:H,7,0),1)</f>
        <v>1</v>
      </c>
    </row>
    <row r="2295" spans="10:10" ht="35.450000000000003" hidden="1" customHeight="1">
      <c r="J2295" s="28">
        <f>IFERROR(VLOOKUP(TEXT(B2295,"0"),STOCK!A:H,7,0),1)</f>
        <v>1</v>
      </c>
    </row>
    <row r="2296" spans="10:10" ht="35.450000000000003" hidden="1" customHeight="1">
      <c r="J2296" s="28">
        <f>IFERROR(VLOOKUP(TEXT(B2296,"0"),STOCK!A:H,7,0),1)</f>
        <v>1</v>
      </c>
    </row>
    <row r="2297" spans="10:10" ht="35.450000000000003" hidden="1" customHeight="1">
      <c r="J2297" s="28">
        <f>IFERROR(VLOOKUP(TEXT(B2297,"0"),STOCK!A:H,7,0),1)</f>
        <v>1</v>
      </c>
    </row>
    <row r="2298" spans="10:10" ht="35.450000000000003" hidden="1" customHeight="1">
      <c r="J2298" s="28">
        <f>IFERROR(VLOOKUP(TEXT(B2298,"0"),STOCK!A:H,7,0),1)</f>
        <v>1</v>
      </c>
    </row>
    <row r="2299" spans="10:10" ht="35.450000000000003" hidden="1" customHeight="1">
      <c r="J2299" s="28">
        <f>IFERROR(VLOOKUP(TEXT(B2299,"0"),STOCK!A:H,7,0),1)</f>
        <v>1</v>
      </c>
    </row>
    <row r="2300" spans="10:10" ht="35.450000000000003" hidden="1" customHeight="1">
      <c r="J2300" s="28">
        <f>IFERROR(VLOOKUP(TEXT(B2300,"0"),STOCK!A:H,7,0),1)</f>
        <v>1</v>
      </c>
    </row>
    <row r="2301" spans="10:10" ht="35.450000000000003" hidden="1" customHeight="1">
      <c r="J2301" s="28">
        <f>IFERROR(VLOOKUP(TEXT(B2301,"0"),STOCK!A:H,7,0),1)</f>
        <v>1</v>
      </c>
    </row>
    <row r="2302" spans="10:10" ht="35.450000000000003" hidden="1" customHeight="1">
      <c r="J2302" s="28">
        <f>IFERROR(VLOOKUP(TEXT(B2302,"0"),STOCK!A:H,7,0),1)</f>
        <v>1</v>
      </c>
    </row>
    <row r="2303" spans="10:10" ht="35.450000000000003" hidden="1" customHeight="1">
      <c r="J2303" s="28">
        <f>IFERROR(VLOOKUP(TEXT(B2303,"0"),STOCK!A:H,7,0),1)</f>
        <v>1</v>
      </c>
    </row>
    <row r="2304" spans="10:10" ht="35.450000000000003" hidden="1" customHeight="1">
      <c r="J2304" s="28">
        <f>IFERROR(VLOOKUP(TEXT(B2304,"0"),STOCK!A:H,7,0),1)</f>
        <v>1</v>
      </c>
    </row>
    <row r="2305" spans="10:10" ht="35.450000000000003" hidden="1" customHeight="1">
      <c r="J2305" s="28">
        <f>IFERROR(VLOOKUP(TEXT(B2305,"0"),STOCK!A:H,7,0),1)</f>
        <v>1</v>
      </c>
    </row>
    <row r="2306" spans="10:10" ht="35.450000000000003" hidden="1" customHeight="1">
      <c r="J2306" s="28">
        <f>IFERROR(VLOOKUP(TEXT(B2306,"0"),STOCK!A:H,7,0),1)</f>
        <v>1</v>
      </c>
    </row>
    <row r="2307" spans="10:10" ht="35.450000000000003" hidden="1" customHeight="1">
      <c r="J2307" s="28">
        <f>IFERROR(VLOOKUP(TEXT(B2307,"0"),STOCK!A:H,7,0),1)</f>
        <v>1</v>
      </c>
    </row>
    <row r="2308" spans="10:10" ht="35.450000000000003" hidden="1" customHeight="1">
      <c r="J2308" s="28">
        <f>IFERROR(VLOOKUP(TEXT(B2308,"0"),STOCK!A:H,7,0),1)</f>
        <v>1</v>
      </c>
    </row>
    <row r="2309" spans="10:10" ht="35.450000000000003" hidden="1" customHeight="1">
      <c r="J2309" s="28">
        <f>IFERROR(VLOOKUP(TEXT(B2309,"0"),STOCK!A:H,7,0),1)</f>
        <v>1</v>
      </c>
    </row>
    <row r="2310" spans="10:10" ht="35.450000000000003" hidden="1" customHeight="1">
      <c r="J2310" s="28">
        <f>IFERROR(VLOOKUP(TEXT(B2310,"0"),STOCK!A:H,7,0),1)</f>
        <v>1</v>
      </c>
    </row>
    <row r="2311" spans="10:10" ht="35.450000000000003" hidden="1" customHeight="1">
      <c r="J2311" s="28">
        <f>IFERROR(VLOOKUP(TEXT(B2311,"0"),STOCK!A:H,7,0),1)</f>
        <v>1</v>
      </c>
    </row>
    <row r="2312" spans="10:10" ht="35.450000000000003" hidden="1" customHeight="1">
      <c r="J2312" s="28">
        <f>IFERROR(VLOOKUP(TEXT(B2312,"0"),STOCK!A:H,7,0),1)</f>
        <v>1</v>
      </c>
    </row>
    <row r="2313" spans="10:10" ht="35.450000000000003" hidden="1" customHeight="1">
      <c r="J2313" s="28">
        <f>IFERROR(VLOOKUP(TEXT(B2313,"0"),STOCK!A:H,7,0),1)</f>
        <v>1</v>
      </c>
    </row>
    <row r="2314" spans="10:10" ht="35.450000000000003" hidden="1" customHeight="1">
      <c r="J2314" s="28">
        <f>IFERROR(VLOOKUP(TEXT(B2314,"0"),STOCK!A:H,7,0),1)</f>
        <v>1</v>
      </c>
    </row>
    <row r="2315" spans="10:10" ht="35.450000000000003" hidden="1" customHeight="1">
      <c r="J2315" s="28">
        <f>IFERROR(VLOOKUP(TEXT(B2315,"0"),STOCK!A:H,7,0),1)</f>
        <v>1</v>
      </c>
    </row>
    <row r="2316" spans="10:10" ht="35.450000000000003" hidden="1" customHeight="1">
      <c r="J2316" s="28">
        <f>IFERROR(VLOOKUP(TEXT(B2316,"0"),STOCK!A:H,7,0),1)</f>
        <v>1</v>
      </c>
    </row>
    <row r="2317" spans="10:10" ht="35.450000000000003" hidden="1" customHeight="1">
      <c r="J2317" s="28">
        <f>IFERROR(VLOOKUP(TEXT(B2317,"0"),STOCK!A:H,7,0),1)</f>
        <v>1</v>
      </c>
    </row>
    <row r="2318" spans="10:10" ht="35.450000000000003" hidden="1" customHeight="1">
      <c r="J2318" s="28">
        <f>IFERROR(VLOOKUP(TEXT(B2318,"0"),STOCK!A:H,7,0),1)</f>
        <v>1</v>
      </c>
    </row>
    <row r="2319" spans="10:10" ht="35.450000000000003" hidden="1" customHeight="1">
      <c r="J2319" s="28">
        <f>IFERROR(VLOOKUP(TEXT(B2319,"0"),STOCK!A:H,7,0),1)</f>
        <v>1</v>
      </c>
    </row>
    <row r="2320" spans="10:10" ht="35.450000000000003" hidden="1" customHeight="1">
      <c r="J2320" s="28">
        <f>IFERROR(VLOOKUP(TEXT(B2320,"0"),STOCK!A:H,7,0),1)</f>
        <v>1</v>
      </c>
    </row>
    <row r="2321" spans="10:10" ht="35.450000000000003" hidden="1" customHeight="1">
      <c r="J2321" s="28">
        <f>IFERROR(VLOOKUP(TEXT(B2321,"0"),STOCK!A:H,7,0),1)</f>
        <v>1</v>
      </c>
    </row>
    <row r="2322" spans="10:10" ht="35.450000000000003" hidden="1" customHeight="1">
      <c r="J2322" s="28">
        <f>IFERROR(VLOOKUP(TEXT(B2322,"0"),STOCK!A:H,7,0),1)</f>
        <v>1</v>
      </c>
    </row>
    <row r="2323" spans="10:10" ht="35.450000000000003" hidden="1" customHeight="1">
      <c r="J2323" s="28">
        <f>IFERROR(VLOOKUP(TEXT(B2323,"0"),STOCK!A:H,7,0),1)</f>
        <v>1</v>
      </c>
    </row>
    <row r="2324" spans="10:10" ht="35.450000000000003" hidden="1" customHeight="1">
      <c r="J2324" s="28">
        <f>IFERROR(VLOOKUP(TEXT(B2324,"0"),STOCK!A:H,7,0),1)</f>
        <v>1</v>
      </c>
    </row>
    <row r="2325" spans="10:10" ht="35.450000000000003" hidden="1" customHeight="1">
      <c r="J2325" s="28">
        <f>IFERROR(VLOOKUP(TEXT(B2325,"0"),STOCK!A:H,7,0),1)</f>
        <v>1</v>
      </c>
    </row>
    <row r="2326" spans="10:10" ht="35.450000000000003" hidden="1" customHeight="1">
      <c r="J2326" s="28">
        <f>IFERROR(VLOOKUP(TEXT(B2326,"0"),STOCK!A:H,7,0),1)</f>
        <v>1</v>
      </c>
    </row>
    <row r="2327" spans="10:10" ht="35.450000000000003" hidden="1" customHeight="1">
      <c r="J2327" s="28">
        <f>IFERROR(VLOOKUP(TEXT(B2327,"0"),STOCK!A:H,7,0),1)</f>
        <v>1</v>
      </c>
    </row>
    <row r="2328" spans="10:10" ht="35.450000000000003" hidden="1" customHeight="1">
      <c r="J2328" s="28">
        <f>IFERROR(VLOOKUP(TEXT(B2328,"0"),STOCK!A:H,7,0),1)</f>
        <v>1</v>
      </c>
    </row>
    <row r="2329" spans="10:10" ht="35.450000000000003" hidden="1" customHeight="1">
      <c r="J2329" s="28">
        <f>IFERROR(VLOOKUP(TEXT(B2329,"0"),STOCK!A:H,7,0),1)</f>
        <v>1</v>
      </c>
    </row>
    <row r="2330" spans="10:10" ht="35.450000000000003" hidden="1" customHeight="1">
      <c r="J2330" s="28">
        <f>IFERROR(VLOOKUP(TEXT(B2330,"0"),STOCK!A:H,7,0),1)</f>
        <v>1</v>
      </c>
    </row>
    <row r="2331" spans="10:10" ht="35.450000000000003" hidden="1" customHeight="1">
      <c r="J2331" s="28">
        <f>IFERROR(VLOOKUP(TEXT(B2331,"0"),STOCK!A:H,7,0),1)</f>
        <v>1</v>
      </c>
    </row>
    <row r="2332" spans="10:10" ht="35.450000000000003" hidden="1" customHeight="1">
      <c r="J2332" s="28">
        <f>IFERROR(VLOOKUP(TEXT(B2332,"0"),STOCK!A:H,7,0),1)</f>
        <v>1</v>
      </c>
    </row>
    <row r="2333" spans="10:10" ht="35.450000000000003" hidden="1" customHeight="1">
      <c r="J2333" s="28">
        <f>IFERROR(VLOOKUP(TEXT(B2333,"0"),STOCK!A:H,7,0),1)</f>
        <v>1</v>
      </c>
    </row>
    <row r="2334" spans="10:10" ht="35.450000000000003" hidden="1" customHeight="1">
      <c r="J2334" s="28">
        <f>IFERROR(VLOOKUP(TEXT(B2334,"0"),STOCK!A:H,7,0),1)</f>
        <v>1</v>
      </c>
    </row>
    <row r="2335" spans="10:10" ht="35.450000000000003" hidden="1" customHeight="1">
      <c r="J2335" s="28">
        <f>IFERROR(VLOOKUP(TEXT(B2335,"0"),STOCK!A:H,7,0),1)</f>
        <v>1</v>
      </c>
    </row>
    <row r="2336" spans="10:10" ht="35.450000000000003" hidden="1" customHeight="1">
      <c r="J2336" s="28">
        <f>IFERROR(VLOOKUP(TEXT(B2336,"0"),STOCK!A:H,7,0),1)</f>
        <v>1</v>
      </c>
    </row>
    <row r="2337" spans="10:10" ht="35.450000000000003" hidden="1" customHeight="1">
      <c r="J2337" s="28">
        <f>IFERROR(VLOOKUP(TEXT(B2337,"0"),STOCK!A:H,7,0),1)</f>
        <v>1</v>
      </c>
    </row>
    <row r="2338" spans="10:10" ht="35.450000000000003" hidden="1" customHeight="1">
      <c r="J2338" s="28">
        <f>IFERROR(VLOOKUP(TEXT(B2338,"0"),STOCK!A:H,7,0),1)</f>
        <v>1</v>
      </c>
    </row>
    <row r="2339" spans="10:10" ht="35.450000000000003" hidden="1" customHeight="1">
      <c r="J2339" s="28">
        <f>IFERROR(VLOOKUP(TEXT(B2339,"0"),STOCK!A:H,7,0),1)</f>
        <v>1</v>
      </c>
    </row>
    <row r="2340" spans="10:10" ht="35.450000000000003" hidden="1" customHeight="1">
      <c r="J2340" s="28">
        <f>IFERROR(VLOOKUP(TEXT(B2340,"0"),STOCK!A:H,7,0),1)</f>
        <v>1</v>
      </c>
    </row>
    <row r="2341" spans="10:10" ht="35.450000000000003" hidden="1" customHeight="1">
      <c r="J2341" s="28">
        <f>IFERROR(VLOOKUP(TEXT(B2341,"0"),STOCK!A:H,7,0),1)</f>
        <v>1</v>
      </c>
    </row>
    <row r="2342" spans="10:10" ht="35.450000000000003" hidden="1" customHeight="1">
      <c r="J2342" s="28">
        <f>IFERROR(VLOOKUP(TEXT(B2342,"0"),STOCK!A:H,7,0),1)</f>
        <v>1</v>
      </c>
    </row>
    <row r="2343" spans="10:10" ht="35.450000000000003" hidden="1" customHeight="1">
      <c r="J2343" s="28">
        <f>IFERROR(VLOOKUP(TEXT(B2343,"0"),STOCK!A:H,7,0),1)</f>
        <v>1</v>
      </c>
    </row>
    <row r="2344" spans="10:10" ht="35.450000000000003" hidden="1" customHeight="1">
      <c r="J2344" s="28">
        <f>IFERROR(VLOOKUP(TEXT(B2344,"0"),STOCK!A:H,7,0),1)</f>
        <v>1</v>
      </c>
    </row>
    <row r="2345" spans="10:10" ht="35.450000000000003" hidden="1" customHeight="1">
      <c r="J2345" s="28">
        <f>IFERROR(VLOOKUP(TEXT(B2345,"0"),STOCK!A:H,7,0),1)</f>
        <v>1</v>
      </c>
    </row>
    <row r="2346" spans="10:10" ht="35.450000000000003" hidden="1" customHeight="1">
      <c r="J2346" s="28">
        <f>IFERROR(VLOOKUP(TEXT(B2346,"0"),STOCK!A:H,7,0),1)</f>
        <v>1</v>
      </c>
    </row>
    <row r="2347" spans="10:10" ht="35.450000000000003" hidden="1" customHeight="1">
      <c r="J2347" s="28">
        <f>IFERROR(VLOOKUP(TEXT(B2347,"0"),STOCK!A:H,7,0),1)</f>
        <v>1</v>
      </c>
    </row>
    <row r="2348" spans="10:10" ht="35.450000000000003" hidden="1" customHeight="1">
      <c r="J2348" s="28">
        <f>IFERROR(VLOOKUP(TEXT(B2348,"0"),STOCK!A:H,7,0),1)</f>
        <v>1</v>
      </c>
    </row>
    <row r="2349" spans="10:10" ht="35.450000000000003" hidden="1" customHeight="1">
      <c r="J2349" s="28">
        <f>IFERROR(VLOOKUP(TEXT(B2349,"0"),STOCK!A:H,7,0),1)</f>
        <v>1</v>
      </c>
    </row>
    <row r="2350" spans="10:10" ht="35.450000000000003" hidden="1" customHeight="1">
      <c r="J2350" s="28">
        <f>IFERROR(VLOOKUP(TEXT(B2350,"0"),STOCK!A:H,7,0),1)</f>
        <v>1</v>
      </c>
    </row>
    <row r="2351" spans="10:10" ht="35.450000000000003" hidden="1" customHeight="1">
      <c r="J2351" s="28">
        <f>IFERROR(VLOOKUP(TEXT(B2351,"0"),STOCK!A:H,7,0),1)</f>
        <v>1</v>
      </c>
    </row>
    <row r="2352" spans="10:10" ht="35.450000000000003" hidden="1" customHeight="1">
      <c r="J2352" s="28">
        <f>IFERROR(VLOOKUP(TEXT(B2352,"0"),STOCK!A:H,7,0),1)</f>
        <v>1</v>
      </c>
    </row>
    <row r="2353" spans="10:10" ht="35.450000000000003" hidden="1" customHeight="1">
      <c r="J2353" s="28">
        <f>IFERROR(VLOOKUP(TEXT(B2353,"0"),STOCK!A:H,7,0),1)</f>
        <v>1</v>
      </c>
    </row>
    <row r="2354" spans="10:10" ht="35.450000000000003" hidden="1" customHeight="1">
      <c r="J2354" s="28">
        <f>IFERROR(VLOOKUP(TEXT(B2354,"0"),STOCK!A:H,7,0),1)</f>
        <v>1</v>
      </c>
    </row>
    <row r="2355" spans="10:10" ht="35.450000000000003" hidden="1" customHeight="1">
      <c r="J2355" s="28">
        <f>IFERROR(VLOOKUP(TEXT(B2355,"0"),STOCK!A:H,7,0),1)</f>
        <v>1</v>
      </c>
    </row>
    <row r="2356" spans="10:10" ht="35.450000000000003" hidden="1" customHeight="1">
      <c r="J2356" s="28">
        <f>IFERROR(VLOOKUP(TEXT(B2356,"0"),STOCK!A:H,7,0),1)</f>
        <v>1</v>
      </c>
    </row>
    <row r="2357" spans="10:10" ht="35.450000000000003" hidden="1" customHeight="1">
      <c r="J2357" s="28">
        <f>IFERROR(VLOOKUP(TEXT(B2357,"0"),STOCK!A:H,7,0),1)</f>
        <v>1</v>
      </c>
    </row>
    <row r="2358" spans="10:10" ht="35.450000000000003" hidden="1" customHeight="1">
      <c r="J2358" s="28">
        <f>IFERROR(VLOOKUP(TEXT(B2358,"0"),STOCK!A:H,7,0),1)</f>
        <v>1</v>
      </c>
    </row>
    <row r="2359" spans="10:10" ht="35.450000000000003" hidden="1" customHeight="1">
      <c r="J2359" s="28">
        <f>IFERROR(VLOOKUP(TEXT(B2359,"0"),STOCK!A:H,7,0),1)</f>
        <v>1</v>
      </c>
    </row>
    <row r="2360" spans="10:10" ht="35.450000000000003" hidden="1" customHeight="1">
      <c r="J2360" s="28">
        <f>IFERROR(VLOOKUP(TEXT(B2360,"0"),STOCK!A:H,7,0),1)</f>
        <v>1</v>
      </c>
    </row>
    <row r="2361" spans="10:10" ht="35.450000000000003" hidden="1" customHeight="1">
      <c r="J2361" s="28">
        <f>IFERROR(VLOOKUP(TEXT(B2361,"0"),STOCK!A:H,7,0),1)</f>
        <v>1</v>
      </c>
    </row>
    <row r="2362" spans="10:10" ht="35.450000000000003" hidden="1" customHeight="1">
      <c r="J2362" s="28">
        <f>IFERROR(VLOOKUP(TEXT(B2362,"0"),STOCK!A:H,7,0),1)</f>
        <v>1</v>
      </c>
    </row>
    <row r="2363" spans="10:10" ht="35.450000000000003" hidden="1" customHeight="1">
      <c r="J2363" s="28">
        <f>IFERROR(VLOOKUP(TEXT(B2363,"0"),STOCK!A:H,7,0),1)</f>
        <v>1</v>
      </c>
    </row>
    <row r="2364" spans="10:10" ht="35.450000000000003" hidden="1" customHeight="1">
      <c r="J2364" s="28">
        <f>IFERROR(VLOOKUP(TEXT(B2364,"0"),STOCK!A:H,7,0),1)</f>
        <v>1</v>
      </c>
    </row>
    <row r="2365" spans="10:10" ht="35.450000000000003" hidden="1" customHeight="1">
      <c r="J2365" s="28">
        <f>IFERROR(VLOOKUP(TEXT(B2365,"0"),STOCK!A:H,7,0),1)</f>
        <v>1</v>
      </c>
    </row>
    <row r="2366" spans="10:10" ht="35.450000000000003" hidden="1" customHeight="1">
      <c r="J2366" s="28">
        <f>IFERROR(VLOOKUP(TEXT(B2366,"0"),STOCK!A:H,7,0),1)</f>
        <v>1</v>
      </c>
    </row>
    <row r="2367" spans="10:10" ht="35.450000000000003" hidden="1" customHeight="1">
      <c r="J2367" s="28">
        <f>IFERROR(VLOOKUP(TEXT(B2367,"0"),STOCK!A:H,7,0),1)</f>
        <v>1</v>
      </c>
    </row>
    <row r="2368" spans="10:10" ht="35.450000000000003" hidden="1" customHeight="1">
      <c r="J2368" s="28">
        <f>IFERROR(VLOOKUP(TEXT(B2368,"0"),STOCK!A:H,7,0),1)</f>
        <v>1</v>
      </c>
    </row>
    <row r="2369" spans="10:10" ht="35.450000000000003" hidden="1" customHeight="1">
      <c r="J2369" s="28">
        <f>IFERROR(VLOOKUP(TEXT(B2369,"0"),STOCK!A:H,7,0),1)</f>
        <v>1</v>
      </c>
    </row>
    <row r="2370" spans="10:10" ht="35.450000000000003" hidden="1" customHeight="1">
      <c r="J2370" s="28">
        <f>IFERROR(VLOOKUP(TEXT(B2370,"0"),STOCK!A:H,7,0),1)</f>
        <v>1</v>
      </c>
    </row>
    <row r="2371" spans="10:10" ht="35.450000000000003" hidden="1" customHeight="1">
      <c r="J2371" s="28">
        <f>IFERROR(VLOOKUP(TEXT(B2371,"0"),STOCK!A:H,7,0),1)</f>
        <v>1</v>
      </c>
    </row>
    <row r="2372" spans="10:10" ht="35.450000000000003" hidden="1" customHeight="1">
      <c r="J2372" s="28">
        <f>IFERROR(VLOOKUP(TEXT(B2372,"0"),STOCK!A:H,7,0),1)</f>
        <v>1</v>
      </c>
    </row>
    <row r="2373" spans="10:10" ht="35.450000000000003" hidden="1" customHeight="1">
      <c r="J2373" s="28">
        <f>IFERROR(VLOOKUP(TEXT(B2373,"0"),STOCK!A:H,7,0),1)</f>
        <v>1</v>
      </c>
    </row>
    <row r="2374" spans="10:10" ht="35.450000000000003" hidden="1" customHeight="1">
      <c r="J2374" s="28">
        <f>IFERROR(VLOOKUP(TEXT(B2374,"0"),STOCK!A:H,7,0),1)</f>
        <v>1</v>
      </c>
    </row>
    <row r="2375" spans="10:10" ht="35.450000000000003" hidden="1" customHeight="1">
      <c r="J2375" s="28">
        <f>IFERROR(VLOOKUP(TEXT(B2375,"0"),STOCK!A:H,7,0),1)</f>
        <v>1</v>
      </c>
    </row>
    <row r="2376" spans="10:10" ht="35.450000000000003" hidden="1" customHeight="1">
      <c r="J2376" s="28">
        <f>IFERROR(VLOOKUP(TEXT(B2376,"0"),STOCK!A:H,7,0),1)</f>
        <v>1</v>
      </c>
    </row>
    <row r="2377" spans="10:10" ht="35.450000000000003" hidden="1" customHeight="1">
      <c r="J2377" s="28">
        <f>IFERROR(VLOOKUP(TEXT(B2377,"0"),STOCK!A:H,7,0),1)</f>
        <v>1</v>
      </c>
    </row>
    <row r="2378" spans="10:10" ht="35.450000000000003" hidden="1" customHeight="1">
      <c r="J2378" s="28">
        <f>IFERROR(VLOOKUP(TEXT(B2378,"0"),STOCK!A:H,7,0),1)</f>
        <v>1</v>
      </c>
    </row>
    <row r="2379" spans="10:10" ht="35.450000000000003" hidden="1" customHeight="1">
      <c r="J2379" s="28">
        <f>IFERROR(VLOOKUP(TEXT(B2379,"0"),STOCK!A:H,7,0),1)</f>
        <v>1</v>
      </c>
    </row>
    <row r="2380" spans="10:10" ht="35.450000000000003" hidden="1" customHeight="1">
      <c r="J2380" s="28">
        <f>IFERROR(VLOOKUP(TEXT(B2380,"0"),STOCK!A:H,7,0),1)</f>
        <v>1</v>
      </c>
    </row>
    <row r="2381" spans="10:10" ht="35.450000000000003" hidden="1" customHeight="1">
      <c r="J2381" s="28">
        <f>IFERROR(VLOOKUP(TEXT(B2381,"0"),STOCK!A:H,7,0),1)</f>
        <v>1</v>
      </c>
    </row>
    <row r="2382" spans="10:10" ht="35.450000000000003" hidden="1" customHeight="1">
      <c r="J2382" s="28">
        <f>IFERROR(VLOOKUP(TEXT(B2382,"0"),STOCK!A:H,7,0),1)</f>
        <v>1</v>
      </c>
    </row>
    <row r="2383" spans="10:10" ht="35.450000000000003" hidden="1" customHeight="1">
      <c r="J2383" s="28">
        <f>IFERROR(VLOOKUP(TEXT(B2383,"0"),STOCK!A:H,7,0),1)</f>
        <v>1</v>
      </c>
    </row>
    <row r="2384" spans="10:10" ht="35.450000000000003" hidden="1" customHeight="1">
      <c r="J2384" s="28">
        <f>IFERROR(VLOOKUP(TEXT(B2384,"0"),STOCK!A:H,7,0),1)</f>
        <v>1</v>
      </c>
    </row>
    <row r="2385" spans="10:10" ht="35.450000000000003" hidden="1" customHeight="1">
      <c r="J2385" s="28">
        <f>IFERROR(VLOOKUP(TEXT(B2385,"0"),STOCK!A:H,7,0),1)</f>
        <v>1</v>
      </c>
    </row>
    <row r="2386" spans="10:10" ht="35.450000000000003" hidden="1" customHeight="1">
      <c r="J2386" s="28">
        <f>IFERROR(VLOOKUP(TEXT(B2386,"0"),STOCK!A:H,7,0),1)</f>
        <v>1</v>
      </c>
    </row>
    <row r="2387" spans="10:10" ht="35.450000000000003" hidden="1" customHeight="1">
      <c r="J2387" s="28">
        <f>IFERROR(VLOOKUP(TEXT(B2387,"0"),STOCK!A:H,7,0),1)</f>
        <v>1</v>
      </c>
    </row>
    <row r="2388" spans="10:10" ht="35.450000000000003" hidden="1" customHeight="1">
      <c r="J2388" s="28">
        <f>IFERROR(VLOOKUP(TEXT(B2388,"0"),STOCK!A:H,7,0),1)</f>
        <v>1</v>
      </c>
    </row>
    <row r="2389" spans="10:10" ht="35.450000000000003" hidden="1" customHeight="1">
      <c r="J2389" s="28">
        <f>IFERROR(VLOOKUP(TEXT(B2389,"0"),STOCK!A:H,7,0),1)</f>
        <v>1</v>
      </c>
    </row>
    <row r="2390" spans="10:10" ht="35.450000000000003" hidden="1" customHeight="1">
      <c r="J2390" s="28">
        <f>IFERROR(VLOOKUP(TEXT(B2390,"0"),STOCK!A:H,7,0),1)</f>
        <v>1</v>
      </c>
    </row>
    <row r="2391" spans="10:10" ht="35.450000000000003" hidden="1" customHeight="1">
      <c r="J2391" s="28">
        <f>IFERROR(VLOOKUP(TEXT(B2391,"0"),STOCK!A:H,7,0),1)</f>
        <v>1</v>
      </c>
    </row>
    <row r="2392" spans="10:10" ht="35.450000000000003" hidden="1" customHeight="1">
      <c r="J2392" s="28">
        <f>IFERROR(VLOOKUP(TEXT(B2392,"0"),STOCK!A:H,7,0),1)</f>
        <v>1</v>
      </c>
    </row>
    <row r="2393" spans="10:10" ht="35.450000000000003" hidden="1" customHeight="1">
      <c r="J2393" s="28">
        <f>IFERROR(VLOOKUP(TEXT(B2393,"0"),STOCK!A:H,7,0),1)</f>
        <v>1</v>
      </c>
    </row>
    <row r="2394" spans="10:10" ht="35.450000000000003" hidden="1" customHeight="1">
      <c r="J2394" s="28">
        <f>IFERROR(VLOOKUP(TEXT(B2394,"0"),STOCK!A:H,7,0),1)</f>
        <v>1</v>
      </c>
    </row>
    <row r="2395" spans="10:10" ht="35.450000000000003" hidden="1" customHeight="1">
      <c r="J2395" s="28">
        <f>IFERROR(VLOOKUP(TEXT(B2395,"0"),STOCK!A:H,7,0),1)</f>
        <v>1</v>
      </c>
    </row>
    <row r="2396" spans="10:10" ht="35.450000000000003" hidden="1" customHeight="1">
      <c r="J2396" s="28">
        <f>IFERROR(VLOOKUP(TEXT(B2396,"0"),STOCK!A:H,7,0),1)</f>
        <v>1</v>
      </c>
    </row>
    <row r="2397" spans="10:10" ht="35.450000000000003" hidden="1" customHeight="1">
      <c r="J2397" s="28">
        <f>IFERROR(VLOOKUP(TEXT(B2397,"0"),STOCK!A:H,7,0),1)</f>
        <v>1</v>
      </c>
    </row>
    <row r="2398" spans="10:10" ht="35.450000000000003" hidden="1" customHeight="1">
      <c r="J2398" s="28">
        <f>IFERROR(VLOOKUP(TEXT(B2398,"0"),STOCK!A:H,7,0),1)</f>
        <v>1</v>
      </c>
    </row>
    <row r="2399" spans="10:10" ht="35.450000000000003" hidden="1" customHeight="1">
      <c r="J2399" s="28">
        <f>IFERROR(VLOOKUP(TEXT(B2399,"0"),STOCK!A:H,7,0),1)</f>
        <v>1</v>
      </c>
    </row>
    <row r="2400" spans="10:10" ht="35.450000000000003" hidden="1" customHeight="1">
      <c r="J2400" s="28">
        <f>IFERROR(VLOOKUP(TEXT(B2400,"0"),STOCK!A:H,7,0),1)</f>
        <v>1</v>
      </c>
    </row>
    <row r="2401" spans="10:10" ht="35.450000000000003" hidden="1" customHeight="1">
      <c r="J2401" s="28">
        <f>IFERROR(VLOOKUP(TEXT(B2401,"0"),STOCK!A:H,7,0),1)</f>
        <v>1</v>
      </c>
    </row>
    <row r="2402" spans="10:10" ht="35.450000000000003" hidden="1" customHeight="1">
      <c r="J2402" s="28">
        <f>IFERROR(VLOOKUP(TEXT(B2402,"0"),STOCK!A:H,7,0),1)</f>
        <v>1</v>
      </c>
    </row>
    <row r="2403" spans="10:10" ht="35.450000000000003" hidden="1" customHeight="1">
      <c r="J2403" s="28">
        <f>IFERROR(VLOOKUP(TEXT(B2403,"0"),STOCK!A:H,7,0),1)</f>
        <v>1</v>
      </c>
    </row>
    <row r="2404" spans="10:10" ht="35.450000000000003" hidden="1" customHeight="1">
      <c r="J2404" s="28">
        <f>IFERROR(VLOOKUP(TEXT(B2404,"0"),STOCK!A:H,7,0),1)</f>
        <v>1</v>
      </c>
    </row>
    <row r="2405" spans="10:10" ht="35.450000000000003" hidden="1" customHeight="1">
      <c r="J2405" s="28">
        <f>IFERROR(VLOOKUP(TEXT(B2405,"0"),STOCK!A:H,7,0),1)</f>
        <v>1</v>
      </c>
    </row>
    <row r="2406" spans="10:10" ht="35.450000000000003" hidden="1" customHeight="1">
      <c r="J2406" s="28">
        <f>IFERROR(VLOOKUP(TEXT(B2406,"0"),STOCK!A:H,7,0),1)</f>
        <v>1</v>
      </c>
    </row>
    <row r="2407" spans="10:10" ht="35.450000000000003" hidden="1" customHeight="1">
      <c r="J2407" s="28">
        <f>IFERROR(VLOOKUP(TEXT(B2407,"0"),STOCK!A:H,7,0),1)</f>
        <v>1</v>
      </c>
    </row>
    <row r="2408" spans="10:10" ht="35.450000000000003" hidden="1" customHeight="1">
      <c r="J2408" s="28">
        <f>IFERROR(VLOOKUP(TEXT(B2408,"0"),STOCK!A:H,7,0),1)</f>
        <v>1</v>
      </c>
    </row>
    <row r="2409" spans="10:10" ht="35.450000000000003" hidden="1" customHeight="1">
      <c r="J2409" s="28">
        <f>IFERROR(VLOOKUP(TEXT(B2409,"0"),STOCK!A:H,7,0),1)</f>
        <v>1</v>
      </c>
    </row>
    <row r="2410" spans="10:10" ht="35.450000000000003" hidden="1" customHeight="1">
      <c r="J2410" s="28">
        <f>IFERROR(VLOOKUP(TEXT(B2410,"0"),STOCK!A:H,7,0),1)</f>
        <v>1</v>
      </c>
    </row>
    <row r="2411" spans="10:10" ht="35.450000000000003" hidden="1" customHeight="1">
      <c r="J2411" s="28">
        <f>IFERROR(VLOOKUP(TEXT(B2411,"0"),STOCK!A:H,7,0),1)</f>
        <v>1</v>
      </c>
    </row>
    <row r="2412" spans="10:10" ht="35.450000000000003" hidden="1" customHeight="1">
      <c r="J2412" s="28">
        <f>IFERROR(VLOOKUP(TEXT(B2412,"0"),STOCK!A:H,7,0),1)</f>
        <v>1</v>
      </c>
    </row>
    <row r="2413" spans="10:10" ht="35.450000000000003" hidden="1" customHeight="1">
      <c r="J2413" s="28">
        <f>IFERROR(VLOOKUP(TEXT(B2413,"0"),STOCK!A:H,7,0),1)</f>
        <v>1</v>
      </c>
    </row>
    <row r="2414" spans="10:10" ht="35.450000000000003" hidden="1" customHeight="1">
      <c r="J2414" s="28">
        <f>IFERROR(VLOOKUP(TEXT(B2414,"0"),STOCK!A:H,7,0),1)</f>
        <v>1</v>
      </c>
    </row>
    <row r="2415" spans="10:10" ht="35.450000000000003" hidden="1" customHeight="1">
      <c r="J2415" s="28">
        <f>IFERROR(VLOOKUP(TEXT(B2415,"0"),STOCK!A:H,7,0),1)</f>
        <v>1</v>
      </c>
    </row>
    <row r="2416" spans="10:10" ht="35.450000000000003" hidden="1" customHeight="1">
      <c r="J2416" s="28">
        <f>IFERROR(VLOOKUP(TEXT(B2416,"0"),STOCK!A:H,7,0),1)</f>
        <v>1</v>
      </c>
    </row>
    <row r="2417" spans="10:10" ht="35.450000000000003" hidden="1" customHeight="1">
      <c r="J2417" s="28">
        <f>IFERROR(VLOOKUP(TEXT(B2417,"0"),STOCK!A:H,7,0),1)</f>
        <v>1</v>
      </c>
    </row>
    <row r="2418" spans="10:10" ht="35.450000000000003" hidden="1" customHeight="1">
      <c r="J2418" s="28">
        <f>IFERROR(VLOOKUP(TEXT(B2418,"0"),STOCK!A:H,7,0),1)</f>
        <v>1</v>
      </c>
    </row>
    <row r="2419" spans="10:10" ht="35.450000000000003" hidden="1" customHeight="1">
      <c r="J2419" s="28">
        <f>IFERROR(VLOOKUP(TEXT(B2419,"0"),STOCK!A:H,7,0),1)</f>
        <v>1</v>
      </c>
    </row>
    <row r="2420" spans="10:10" ht="35.450000000000003" hidden="1" customHeight="1">
      <c r="J2420" s="28">
        <f>IFERROR(VLOOKUP(TEXT(B2420,"0"),STOCK!A:H,7,0),1)</f>
        <v>1</v>
      </c>
    </row>
    <row r="2421" spans="10:10" ht="35.450000000000003" hidden="1" customHeight="1">
      <c r="J2421" s="28">
        <f>IFERROR(VLOOKUP(TEXT(B2421,"0"),STOCK!A:H,7,0),1)</f>
        <v>1</v>
      </c>
    </row>
    <row r="2422" spans="10:10" ht="35.450000000000003" hidden="1" customHeight="1">
      <c r="J2422" s="28">
        <f>IFERROR(VLOOKUP(TEXT(B2422,"0"),STOCK!A:H,7,0),1)</f>
        <v>1</v>
      </c>
    </row>
    <row r="2423" spans="10:10" ht="35.450000000000003" hidden="1" customHeight="1">
      <c r="J2423" s="28">
        <f>IFERROR(VLOOKUP(TEXT(B2423,"0"),STOCK!A:H,7,0),1)</f>
        <v>1</v>
      </c>
    </row>
    <row r="2424" spans="10:10" ht="35.450000000000003" hidden="1" customHeight="1">
      <c r="J2424" s="28">
        <f>IFERROR(VLOOKUP(TEXT(B2424,"0"),STOCK!A:H,7,0),1)</f>
        <v>1</v>
      </c>
    </row>
    <row r="2425" spans="10:10" ht="35.450000000000003" hidden="1" customHeight="1">
      <c r="J2425" s="28">
        <f>IFERROR(VLOOKUP(TEXT(B2425,"0"),STOCK!A:H,7,0),1)</f>
        <v>1</v>
      </c>
    </row>
    <row r="2426" spans="10:10" ht="35.450000000000003" hidden="1" customHeight="1">
      <c r="J2426" s="28">
        <f>IFERROR(VLOOKUP(TEXT(B2426,"0"),STOCK!A:H,7,0),1)</f>
        <v>1</v>
      </c>
    </row>
    <row r="2427" spans="10:10" ht="35.450000000000003" hidden="1" customHeight="1">
      <c r="J2427" s="28">
        <f>IFERROR(VLOOKUP(TEXT(B2427,"0"),STOCK!A:H,7,0),1)</f>
        <v>1</v>
      </c>
    </row>
    <row r="2428" spans="10:10" ht="35.450000000000003" hidden="1" customHeight="1">
      <c r="J2428" s="28">
        <f>IFERROR(VLOOKUP(TEXT(B2428,"0"),STOCK!A:H,7,0),1)</f>
        <v>1</v>
      </c>
    </row>
    <row r="2429" spans="10:10" ht="35.450000000000003" hidden="1" customHeight="1">
      <c r="J2429" s="28">
        <f>IFERROR(VLOOKUP(TEXT(B2429,"0"),STOCK!A:H,7,0),1)</f>
        <v>1</v>
      </c>
    </row>
    <row r="2430" spans="10:10" ht="35.450000000000003" hidden="1" customHeight="1">
      <c r="J2430" s="28">
        <f>IFERROR(VLOOKUP(TEXT(B2430,"0"),STOCK!A:H,7,0),1)</f>
        <v>1</v>
      </c>
    </row>
    <row r="2431" spans="10:10" ht="35.450000000000003" hidden="1" customHeight="1">
      <c r="J2431" s="28">
        <f>IFERROR(VLOOKUP(TEXT(B2431,"0"),STOCK!A:H,7,0),1)</f>
        <v>1</v>
      </c>
    </row>
    <row r="2432" spans="10:10" ht="35.450000000000003" hidden="1" customHeight="1">
      <c r="J2432" s="28">
        <f>IFERROR(VLOOKUP(TEXT(B2432,"0"),STOCK!A:H,7,0),1)</f>
        <v>1</v>
      </c>
    </row>
    <row r="2433" spans="10:10" ht="35.450000000000003" hidden="1" customHeight="1">
      <c r="J2433" s="28">
        <f>IFERROR(VLOOKUP(TEXT(B2433,"0"),STOCK!A:H,7,0),1)</f>
        <v>1</v>
      </c>
    </row>
    <row r="2434" spans="10:10" ht="35.450000000000003" hidden="1" customHeight="1">
      <c r="J2434" s="28">
        <f>IFERROR(VLOOKUP(TEXT(B2434,"0"),STOCK!A:H,7,0),1)</f>
        <v>1</v>
      </c>
    </row>
    <row r="2435" spans="10:10" ht="35.450000000000003" hidden="1" customHeight="1">
      <c r="J2435" s="28">
        <f>IFERROR(VLOOKUP(TEXT(B2435,"0"),STOCK!A:H,7,0),1)</f>
        <v>1</v>
      </c>
    </row>
    <row r="2436" spans="10:10" ht="35.450000000000003" hidden="1" customHeight="1">
      <c r="J2436" s="28">
        <f>IFERROR(VLOOKUP(TEXT(B2436,"0"),STOCK!A:H,7,0),1)</f>
        <v>1</v>
      </c>
    </row>
    <row r="2437" spans="10:10" ht="35.450000000000003" hidden="1" customHeight="1">
      <c r="J2437" s="28">
        <f>IFERROR(VLOOKUP(TEXT(B2437,"0"),STOCK!A:H,7,0),1)</f>
        <v>1</v>
      </c>
    </row>
    <row r="2438" spans="10:10" ht="35.450000000000003" hidden="1" customHeight="1">
      <c r="J2438" s="28">
        <f>IFERROR(VLOOKUP(TEXT(B2438,"0"),STOCK!A:H,7,0),1)</f>
        <v>1</v>
      </c>
    </row>
    <row r="2439" spans="10:10" ht="35.450000000000003" hidden="1" customHeight="1">
      <c r="J2439" s="28">
        <f>IFERROR(VLOOKUP(TEXT(B2439,"0"),STOCK!A:H,7,0),1)</f>
        <v>1</v>
      </c>
    </row>
    <row r="2440" spans="10:10" ht="35.450000000000003" hidden="1" customHeight="1">
      <c r="J2440" s="28">
        <f>IFERROR(VLOOKUP(TEXT(B2440,"0"),STOCK!A:H,7,0),1)</f>
        <v>1</v>
      </c>
    </row>
    <row r="2441" spans="10:10" ht="35.450000000000003" hidden="1" customHeight="1">
      <c r="J2441" s="28">
        <f>IFERROR(VLOOKUP(TEXT(B2441,"0"),STOCK!A:H,7,0),1)</f>
        <v>1</v>
      </c>
    </row>
    <row r="2442" spans="10:10" ht="35.450000000000003" hidden="1" customHeight="1">
      <c r="J2442" s="28">
        <f>IFERROR(VLOOKUP(TEXT(B2442,"0"),STOCK!A:H,7,0),1)</f>
        <v>1</v>
      </c>
    </row>
    <row r="2443" spans="10:10" ht="35.450000000000003" hidden="1" customHeight="1">
      <c r="J2443" s="28">
        <f>IFERROR(VLOOKUP(TEXT(B2443,"0"),STOCK!A:H,7,0),1)</f>
        <v>1</v>
      </c>
    </row>
    <row r="2444" spans="10:10" ht="35.450000000000003" hidden="1" customHeight="1">
      <c r="J2444" s="28">
        <f>IFERROR(VLOOKUP(TEXT(B2444,"0"),STOCK!A:H,7,0),1)</f>
        <v>1</v>
      </c>
    </row>
    <row r="2445" spans="10:10" ht="35.450000000000003" hidden="1" customHeight="1">
      <c r="J2445" s="28">
        <f>IFERROR(VLOOKUP(TEXT(B2445,"0"),STOCK!A:H,7,0),1)</f>
        <v>1</v>
      </c>
    </row>
    <row r="2446" spans="10:10" ht="35.450000000000003" hidden="1" customHeight="1">
      <c r="J2446" s="28">
        <f>IFERROR(VLOOKUP(TEXT(B2446,"0"),STOCK!A:H,7,0),1)</f>
        <v>1</v>
      </c>
    </row>
    <row r="2447" spans="10:10" ht="35.450000000000003" hidden="1" customHeight="1">
      <c r="J2447" s="28">
        <f>IFERROR(VLOOKUP(TEXT(B2447,"0"),STOCK!A:H,7,0),1)</f>
        <v>1</v>
      </c>
    </row>
    <row r="2448" spans="10:10" ht="35.450000000000003" hidden="1" customHeight="1">
      <c r="J2448" s="28">
        <f>IFERROR(VLOOKUP(TEXT(B2448,"0"),STOCK!A:H,7,0),1)</f>
        <v>1</v>
      </c>
    </row>
    <row r="2449" spans="10:10" ht="35.450000000000003" hidden="1" customHeight="1">
      <c r="J2449" s="28">
        <f>IFERROR(VLOOKUP(TEXT(B2449,"0"),STOCK!A:H,7,0),1)</f>
        <v>1</v>
      </c>
    </row>
    <row r="2450" spans="10:10" ht="35.450000000000003" hidden="1" customHeight="1">
      <c r="J2450" s="28">
        <f>IFERROR(VLOOKUP(TEXT(B2450,"0"),STOCK!A:H,7,0),1)</f>
        <v>1</v>
      </c>
    </row>
    <row r="2451" spans="10:10" ht="35.450000000000003" hidden="1" customHeight="1">
      <c r="J2451" s="28">
        <f>IFERROR(VLOOKUP(TEXT(B2451,"0"),STOCK!A:H,7,0),1)</f>
        <v>1</v>
      </c>
    </row>
    <row r="2452" spans="10:10" ht="35.450000000000003" hidden="1" customHeight="1">
      <c r="J2452" s="28">
        <f>IFERROR(VLOOKUP(TEXT(B2452,"0"),STOCK!A:H,7,0),1)</f>
        <v>1</v>
      </c>
    </row>
    <row r="2453" spans="10:10" ht="35.450000000000003" hidden="1" customHeight="1">
      <c r="J2453" s="28">
        <f>IFERROR(VLOOKUP(TEXT(B2453,"0"),STOCK!A:H,7,0),1)</f>
        <v>1</v>
      </c>
    </row>
    <row r="2454" spans="10:10" ht="35.450000000000003" hidden="1" customHeight="1">
      <c r="J2454" s="28">
        <f>IFERROR(VLOOKUP(TEXT(B2454,"0"),STOCK!A:H,7,0),1)</f>
        <v>1</v>
      </c>
    </row>
    <row r="2455" spans="10:10" ht="35.450000000000003" hidden="1" customHeight="1">
      <c r="J2455" s="28">
        <f>IFERROR(VLOOKUP(TEXT(B2455,"0"),STOCK!A:H,7,0),1)</f>
        <v>1</v>
      </c>
    </row>
    <row r="2456" spans="10:10" ht="35.450000000000003" hidden="1" customHeight="1">
      <c r="J2456" s="28">
        <f>IFERROR(VLOOKUP(TEXT(B2456,"0"),STOCK!A:H,7,0),1)</f>
        <v>1</v>
      </c>
    </row>
    <row r="2457" spans="10:10" ht="35.450000000000003" hidden="1" customHeight="1">
      <c r="J2457" s="28">
        <f>IFERROR(VLOOKUP(TEXT(B2457,"0"),STOCK!A:H,7,0),1)</f>
        <v>1</v>
      </c>
    </row>
    <row r="2458" spans="10:10" ht="35.450000000000003" hidden="1" customHeight="1">
      <c r="J2458" s="28">
        <f>IFERROR(VLOOKUP(TEXT(B2458,"0"),STOCK!A:H,7,0),1)</f>
        <v>1</v>
      </c>
    </row>
    <row r="2459" spans="10:10" ht="35.450000000000003" hidden="1" customHeight="1">
      <c r="J2459" s="28">
        <f>IFERROR(VLOOKUP(TEXT(B2459,"0"),STOCK!A:H,7,0),1)</f>
        <v>1</v>
      </c>
    </row>
    <row r="2460" spans="10:10" ht="35.450000000000003" hidden="1" customHeight="1">
      <c r="J2460" s="28">
        <f>IFERROR(VLOOKUP(TEXT(B2460,"0"),STOCK!A:H,7,0),1)</f>
        <v>1</v>
      </c>
    </row>
    <row r="2461" spans="10:10" ht="35.450000000000003" hidden="1" customHeight="1">
      <c r="J2461" s="28">
        <f>IFERROR(VLOOKUP(TEXT(B2461,"0"),STOCK!A:H,7,0),1)</f>
        <v>1</v>
      </c>
    </row>
    <row r="2462" spans="10:10" ht="35.450000000000003" hidden="1" customHeight="1">
      <c r="J2462" s="28">
        <f>IFERROR(VLOOKUP(TEXT(B2462,"0"),STOCK!A:H,7,0),1)</f>
        <v>1</v>
      </c>
    </row>
    <row r="2463" spans="10:10" ht="35.450000000000003" hidden="1" customHeight="1">
      <c r="J2463" s="28">
        <f>IFERROR(VLOOKUP(TEXT(B2463,"0"),STOCK!A:H,7,0),1)</f>
        <v>1</v>
      </c>
    </row>
    <row r="2464" spans="10:10" ht="35.450000000000003" hidden="1" customHeight="1">
      <c r="J2464" s="28">
        <f>IFERROR(VLOOKUP(TEXT(B2464,"0"),STOCK!A:H,7,0),1)</f>
        <v>1</v>
      </c>
    </row>
    <row r="2465" spans="10:10" ht="35.450000000000003" hidden="1" customHeight="1">
      <c r="J2465" s="28">
        <f>IFERROR(VLOOKUP(TEXT(B2465,"0"),STOCK!A:H,7,0),1)</f>
        <v>1</v>
      </c>
    </row>
    <row r="2466" spans="10:10" ht="35.450000000000003" hidden="1" customHeight="1">
      <c r="J2466" s="28">
        <f>IFERROR(VLOOKUP(TEXT(B2466,"0"),STOCK!A:H,7,0),1)</f>
        <v>1</v>
      </c>
    </row>
    <row r="2467" spans="10:10" ht="35.450000000000003" hidden="1" customHeight="1">
      <c r="J2467" s="28">
        <f>IFERROR(VLOOKUP(TEXT(B2467,"0"),STOCK!A:H,7,0),1)</f>
        <v>1</v>
      </c>
    </row>
    <row r="2468" spans="10:10" ht="35.450000000000003" hidden="1" customHeight="1">
      <c r="J2468" s="28">
        <f>IFERROR(VLOOKUP(TEXT(B2468,"0"),STOCK!A:H,7,0),1)</f>
        <v>1</v>
      </c>
    </row>
    <row r="2469" spans="10:10" ht="35.450000000000003" hidden="1" customHeight="1">
      <c r="J2469" s="28">
        <f>IFERROR(VLOOKUP(TEXT(B2469,"0"),STOCK!A:H,7,0),1)</f>
        <v>1</v>
      </c>
    </row>
    <row r="2470" spans="10:10" ht="35.450000000000003" hidden="1" customHeight="1">
      <c r="J2470" s="28">
        <f>IFERROR(VLOOKUP(TEXT(B2470,"0"),STOCK!A:H,7,0),1)</f>
        <v>1</v>
      </c>
    </row>
    <row r="2471" spans="10:10" ht="35.450000000000003" hidden="1" customHeight="1">
      <c r="J2471" s="28">
        <f>IFERROR(VLOOKUP(TEXT(B2471,"0"),STOCK!A:H,7,0),1)</f>
        <v>1</v>
      </c>
    </row>
    <row r="2472" spans="10:10" ht="35.450000000000003" hidden="1" customHeight="1">
      <c r="J2472" s="28">
        <f>IFERROR(VLOOKUP(TEXT(B2472,"0"),STOCK!A:H,7,0),1)</f>
        <v>1</v>
      </c>
    </row>
    <row r="2473" spans="10:10" ht="35.450000000000003" hidden="1" customHeight="1">
      <c r="J2473" s="28">
        <f>IFERROR(VLOOKUP(TEXT(B2473,"0"),STOCK!A:H,7,0),1)</f>
        <v>1</v>
      </c>
    </row>
    <row r="2474" spans="10:10" ht="35.450000000000003" hidden="1" customHeight="1">
      <c r="J2474" s="28">
        <f>IFERROR(VLOOKUP(TEXT(B2474,"0"),STOCK!A:H,7,0),1)</f>
        <v>1</v>
      </c>
    </row>
    <row r="2475" spans="10:10" ht="35.450000000000003" hidden="1" customHeight="1">
      <c r="J2475" s="28">
        <f>IFERROR(VLOOKUP(TEXT(B2475,"0"),STOCK!A:H,7,0),1)</f>
        <v>1</v>
      </c>
    </row>
    <row r="2476" spans="10:10" ht="35.450000000000003" hidden="1" customHeight="1">
      <c r="J2476" s="28">
        <f>IFERROR(VLOOKUP(TEXT(B2476,"0"),STOCK!A:H,7,0),1)</f>
        <v>1</v>
      </c>
    </row>
    <row r="2477" spans="10:10" ht="35.450000000000003" hidden="1" customHeight="1">
      <c r="J2477" s="28">
        <f>IFERROR(VLOOKUP(TEXT(B2477,"0"),STOCK!A:H,7,0),1)</f>
        <v>1</v>
      </c>
    </row>
    <row r="2478" spans="10:10" ht="35.450000000000003" hidden="1" customHeight="1">
      <c r="J2478" s="28">
        <f>IFERROR(VLOOKUP(TEXT(B2478,"0"),STOCK!A:H,7,0),1)</f>
        <v>1</v>
      </c>
    </row>
    <row r="2479" spans="10:10" ht="35.450000000000003" hidden="1" customHeight="1">
      <c r="J2479" s="28">
        <f>IFERROR(VLOOKUP(TEXT(B2479,"0"),STOCK!A:H,7,0),1)</f>
        <v>1</v>
      </c>
    </row>
    <row r="2480" spans="10:10" ht="35.450000000000003" hidden="1" customHeight="1">
      <c r="J2480" s="28">
        <f>IFERROR(VLOOKUP(TEXT(B2480,"0"),STOCK!A:H,7,0),1)</f>
        <v>1</v>
      </c>
    </row>
    <row r="2481" spans="10:10" ht="35.450000000000003" hidden="1" customHeight="1">
      <c r="J2481" s="28">
        <f>IFERROR(VLOOKUP(TEXT(B2481,"0"),STOCK!A:H,7,0),1)</f>
        <v>1</v>
      </c>
    </row>
    <row r="2482" spans="10:10" ht="35.450000000000003" hidden="1" customHeight="1">
      <c r="J2482" s="28">
        <f>IFERROR(VLOOKUP(TEXT(B2482,"0"),STOCK!A:H,7,0),1)</f>
        <v>1</v>
      </c>
    </row>
    <row r="2483" spans="10:10" ht="35.450000000000003" hidden="1" customHeight="1">
      <c r="J2483" s="28">
        <f>IFERROR(VLOOKUP(TEXT(B2483,"0"),STOCK!A:H,7,0),1)</f>
        <v>1</v>
      </c>
    </row>
    <row r="2484" spans="10:10" ht="35.450000000000003" hidden="1" customHeight="1">
      <c r="J2484" s="28">
        <f>IFERROR(VLOOKUP(TEXT(B2484,"0"),STOCK!A:H,7,0),1)</f>
        <v>1</v>
      </c>
    </row>
    <row r="2485" spans="10:10" ht="35.450000000000003" hidden="1" customHeight="1">
      <c r="J2485" s="28">
        <f>IFERROR(VLOOKUP(TEXT(B2485,"0"),STOCK!A:H,7,0),1)</f>
        <v>1</v>
      </c>
    </row>
    <row r="2486" spans="10:10" ht="35.450000000000003" hidden="1" customHeight="1">
      <c r="J2486" s="28">
        <f>IFERROR(VLOOKUP(TEXT(B2486,"0"),STOCK!A:H,7,0),1)</f>
        <v>1</v>
      </c>
    </row>
    <row r="2487" spans="10:10" ht="35.450000000000003" hidden="1" customHeight="1">
      <c r="J2487" s="28">
        <f>IFERROR(VLOOKUP(TEXT(B2487,"0"),STOCK!A:H,7,0),1)</f>
        <v>1</v>
      </c>
    </row>
    <row r="2488" spans="10:10" ht="35.450000000000003" hidden="1" customHeight="1">
      <c r="J2488" s="28">
        <f>IFERROR(VLOOKUP(TEXT(B2488,"0"),STOCK!A:H,7,0),1)</f>
        <v>1</v>
      </c>
    </row>
    <row r="2489" spans="10:10" ht="35.450000000000003" hidden="1" customHeight="1">
      <c r="J2489" s="28">
        <f>IFERROR(VLOOKUP(TEXT(B2489,"0"),STOCK!A:H,7,0),1)</f>
        <v>1</v>
      </c>
    </row>
    <row r="2490" spans="10:10" ht="35.450000000000003" hidden="1" customHeight="1">
      <c r="J2490" s="28">
        <f>IFERROR(VLOOKUP(TEXT(B2490,"0"),STOCK!A:H,7,0),1)</f>
        <v>1</v>
      </c>
    </row>
    <row r="2491" spans="10:10" ht="35.450000000000003" hidden="1" customHeight="1">
      <c r="J2491" s="28">
        <f>IFERROR(VLOOKUP(TEXT(B2491,"0"),STOCK!A:H,7,0),1)</f>
        <v>1</v>
      </c>
    </row>
    <row r="2492" spans="10:10" ht="35.450000000000003" hidden="1" customHeight="1">
      <c r="J2492" s="28">
        <f>IFERROR(VLOOKUP(TEXT(B2492,"0"),STOCK!A:H,7,0),1)</f>
        <v>1</v>
      </c>
    </row>
    <row r="2493" spans="10:10" ht="35.450000000000003" hidden="1" customHeight="1">
      <c r="J2493" s="28">
        <f>IFERROR(VLOOKUP(TEXT(B2493,"0"),STOCK!A:H,7,0),1)</f>
        <v>1</v>
      </c>
    </row>
    <row r="2494" spans="10:10" ht="35.450000000000003" hidden="1" customHeight="1">
      <c r="J2494" s="28">
        <f>IFERROR(VLOOKUP(TEXT(B2494,"0"),STOCK!A:H,7,0),1)</f>
        <v>1</v>
      </c>
    </row>
    <row r="2495" spans="10:10" ht="35.450000000000003" hidden="1" customHeight="1">
      <c r="J2495" s="28">
        <f>IFERROR(VLOOKUP(TEXT(B2495,"0"),STOCK!A:H,7,0),1)</f>
        <v>1</v>
      </c>
    </row>
    <row r="2496" spans="10:10" ht="35.450000000000003" hidden="1" customHeight="1">
      <c r="J2496" s="28">
        <f>IFERROR(VLOOKUP(TEXT(B2496,"0"),STOCK!A:H,7,0),1)</f>
        <v>1</v>
      </c>
    </row>
    <row r="2497" spans="10:10" ht="35.450000000000003" hidden="1" customHeight="1">
      <c r="J2497" s="28">
        <f>IFERROR(VLOOKUP(TEXT(B2497,"0"),STOCK!A:H,7,0),1)</f>
        <v>1</v>
      </c>
    </row>
    <row r="2498" spans="10:10" ht="35.450000000000003" hidden="1" customHeight="1">
      <c r="J2498" s="28">
        <f>IFERROR(VLOOKUP(TEXT(B2498,"0"),STOCK!A:H,7,0),1)</f>
        <v>1</v>
      </c>
    </row>
    <row r="2499" spans="10:10" ht="35.450000000000003" hidden="1" customHeight="1">
      <c r="J2499" s="28">
        <f>IFERROR(VLOOKUP(TEXT(B2499,"0"),STOCK!A:H,7,0),1)</f>
        <v>1</v>
      </c>
    </row>
    <row r="2500" spans="10:10" ht="35.450000000000003" hidden="1" customHeight="1">
      <c r="J2500" s="28">
        <f>IFERROR(VLOOKUP(TEXT(B2500,"0"),STOCK!A:H,7,0),1)</f>
        <v>1</v>
      </c>
    </row>
    <row r="2501" spans="10:10" ht="35.450000000000003" hidden="1" customHeight="1">
      <c r="J2501" s="28">
        <f>IFERROR(VLOOKUP(TEXT(B2501,"0"),STOCK!A:H,7,0),1)</f>
        <v>1</v>
      </c>
    </row>
    <row r="2502" spans="10:10" ht="35.450000000000003" hidden="1" customHeight="1">
      <c r="J2502" s="28">
        <f>IFERROR(VLOOKUP(TEXT(B2502,"0"),STOCK!A:H,7,0),1)</f>
        <v>1</v>
      </c>
    </row>
    <row r="2503" spans="10:10" ht="35.450000000000003" hidden="1" customHeight="1">
      <c r="J2503" s="28">
        <f>IFERROR(VLOOKUP(TEXT(B2503,"0"),STOCK!A:H,7,0),1)</f>
        <v>1</v>
      </c>
    </row>
    <row r="2504" spans="10:10" ht="35.450000000000003" hidden="1" customHeight="1">
      <c r="J2504" s="28">
        <f>IFERROR(VLOOKUP(TEXT(B2504,"0"),STOCK!A:H,7,0),1)</f>
        <v>1</v>
      </c>
    </row>
    <row r="2505" spans="10:10" ht="35.450000000000003" hidden="1" customHeight="1">
      <c r="J2505" s="28">
        <f>IFERROR(VLOOKUP(TEXT(B2505,"0"),STOCK!A:H,7,0),1)</f>
        <v>1</v>
      </c>
    </row>
    <row r="2506" spans="10:10" ht="35.450000000000003" hidden="1" customHeight="1">
      <c r="J2506" s="28">
        <f>IFERROR(VLOOKUP(TEXT(B2506,"0"),STOCK!A:H,7,0),1)</f>
        <v>1</v>
      </c>
    </row>
    <row r="2507" spans="10:10" ht="35.450000000000003" hidden="1" customHeight="1">
      <c r="J2507" s="28">
        <f>IFERROR(VLOOKUP(TEXT(B2507,"0"),STOCK!A:H,7,0),1)</f>
        <v>1</v>
      </c>
    </row>
    <row r="2508" spans="10:10" ht="35.450000000000003" hidden="1" customHeight="1">
      <c r="J2508" s="28">
        <f>IFERROR(VLOOKUP(TEXT(B2508,"0"),STOCK!A:H,7,0),1)</f>
        <v>1</v>
      </c>
    </row>
    <row r="2509" spans="10:10" ht="35.450000000000003" hidden="1" customHeight="1">
      <c r="J2509" s="28">
        <f>IFERROR(VLOOKUP(TEXT(B2509,"0"),STOCK!A:H,7,0),1)</f>
        <v>1</v>
      </c>
    </row>
    <row r="2510" spans="10:10" ht="35.450000000000003" hidden="1" customHeight="1">
      <c r="J2510" s="28">
        <f>IFERROR(VLOOKUP(TEXT(B2510,"0"),STOCK!A:H,7,0),1)</f>
        <v>1</v>
      </c>
    </row>
    <row r="2511" spans="10:10" ht="35.450000000000003" hidden="1" customHeight="1">
      <c r="J2511" s="28">
        <f>IFERROR(VLOOKUP(TEXT(B2511,"0"),STOCK!A:H,7,0),1)</f>
        <v>1</v>
      </c>
    </row>
    <row r="2512" spans="10:10" ht="35.450000000000003" hidden="1" customHeight="1">
      <c r="J2512" s="28">
        <f>IFERROR(VLOOKUP(TEXT(B2512,"0"),STOCK!A:H,7,0),1)</f>
        <v>1</v>
      </c>
    </row>
    <row r="2513" spans="10:10" ht="35.450000000000003" hidden="1" customHeight="1">
      <c r="J2513" s="28">
        <f>IFERROR(VLOOKUP(TEXT(B2513,"0"),STOCK!A:H,7,0),1)</f>
        <v>1</v>
      </c>
    </row>
    <row r="2514" spans="10:10" ht="35.450000000000003" hidden="1" customHeight="1">
      <c r="J2514" s="28">
        <f>IFERROR(VLOOKUP(TEXT(B2514,"0"),STOCK!A:H,7,0),1)</f>
        <v>1</v>
      </c>
    </row>
    <row r="2515" spans="10:10" ht="35.450000000000003" hidden="1" customHeight="1">
      <c r="J2515" s="28">
        <f>IFERROR(VLOOKUP(TEXT(B2515,"0"),STOCK!A:H,7,0),1)</f>
        <v>1</v>
      </c>
    </row>
    <row r="2516" spans="10:10" ht="35.450000000000003" hidden="1" customHeight="1">
      <c r="J2516" s="28">
        <f>IFERROR(VLOOKUP(TEXT(B2516,"0"),STOCK!A:H,7,0),1)</f>
        <v>1</v>
      </c>
    </row>
    <row r="2517" spans="10:10" ht="35.450000000000003" hidden="1" customHeight="1">
      <c r="J2517" s="28">
        <f>IFERROR(VLOOKUP(TEXT(B2517,"0"),STOCK!A:H,7,0),1)</f>
        <v>1</v>
      </c>
    </row>
    <row r="2518" spans="10:10" ht="35.450000000000003" hidden="1" customHeight="1">
      <c r="J2518" s="28">
        <f>IFERROR(VLOOKUP(TEXT(B2518,"0"),STOCK!A:H,7,0),1)</f>
        <v>1</v>
      </c>
    </row>
    <row r="2519" spans="10:10" ht="35.450000000000003" hidden="1" customHeight="1">
      <c r="J2519" s="28">
        <f>IFERROR(VLOOKUP(TEXT(B2519,"0"),STOCK!A:H,7,0),1)</f>
        <v>1</v>
      </c>
    </row>
    <row r="2520" spans="10:10" ht="35.450000000000003" hidden="1" customHeight="1">
      <c r="J2520" s="28">
        <f>IFERROR(VLOOKUP(TEXT(B2520,"0"),STOCK!A:H,7,0),1)</f>
        <v>1</v>
      </c>
    </row>
    <row r="2521" spans="10:10" ht="35.450000000000003" hidden="1" customHeight="1">
      <c r="J2521" s="28">
        <f>IFERROR(VLOOKUP(TEXT(B2521,"0"),STOCK!A:H,7,0),1)</f>
        <v>1</v>
      </c>
    </row>
    <row r="2522" spans="10:10" ht="35.450000000000003" hidden="1" customHeight="1">
      <c r="J2522" s="28">
        <f>IFERROR(VLOOKUP(TEXT(B2522,"0"),STOCK!A:H,7,0),1)</f>
        <v>1</v>
      </c>
    </row>
    <row r="2523" spans="10:10" ht="35.450000000000003" hidden="1" customHeight="1">
      <c r="J2523" s="28">
        <f>IFERROR(VLOOKUP(TEXT(B2523,"0"),STOCK!A:H,7,0),1)</f>
        <v>1</v>
      </c>
    </row>
    <row r="2524" spans="10:10" ht="35.450000000000003" hidden="1" customHeight="1">
      <c r="J2524" s="28">
        <f>IFERROR(VLOOKUP(TEXT(B2524,"0"),STOCK!A:H,7,0),1)</f>
        <v>1</v>
      </c>
    </row>
    <row r="2525" spans="10:10" ht="35.450000000000003" hidden="1" customHeight="1">
      <c r="J2525" s="28">
        <f>IFERROR(VLOOKUP(TEXT(B2525,"0"),STOCK!A:H,7,0),1)</f>
        <v>1</v>
      </c>
    </row>
    <row r="2526" spans="10:10" ht="35.450000000000003" hidden="1" customHeight="1">
      <c r="J2526" s="28">
        <f>IFERROR(VLOOKUP(TEXT(B2526,"0"),STOCK!A:H,7,0),1)</f>
        <v>1</v>
      </c>
    </row>
    <row r="2527" spans="10:10" ht="35.450000000000003" hidden="1" customHeight="1">
      <c r="J2527" s="28">
        <f>IFERROR(VLOOKUP(TEXT(B2527,"0"),STOCK!A:H,7,0),1)</f>
        <v>1</v>
      </c>
    </row>
    <row r="2528" spans="10:10" ht="35.450000000000003" hidden="1" customHeight="1">
      <c r="J2528" s="28">
        <f>IFERROR(VLOOKUP(TEXT(B2528,"0"),STOCK!A:H,7,0),1)</f>
        <v>1</v>
      </c>
    </row>
    <row r="2529" spans="10:10" ht="35.450000000000003" hidden="1" customHeight="1">
      <c r="J2529" s="28">
        <f>IFERROR(VLOOKUP(TEXT(B2529,"0"),STOCK!A:H,7,0),1)</f>
        <v>1</v>
      </c>
    </row>
    <row r="2530" spans="10:10" ht="35.450000000000003" hidden="1" customHeight="1">
      <c r="J2530" s="28">
        <f>IFERROR(VLOOKUP(TEXT(B2530,"0"),STOCK!A:H,7,0),1)</f>
        <v>1</v>
      </c>
    </row>
    <row r="2531" spans="10:10" ht="35.450000000000003" hidden="1" customHeight="1">
      <c r="J2531" s="28">
        <f>IFERROR(VLOOKUP(TEXT(B2531,"0"),STOCK!A:H,7,0),1)</f>
        <v>1</v>
      </c>
    </row>
    <row r="2532" spans="10:10" ht="35.450000000000003" hidden="1" customHeight="1">
      <c r="J2532" s="28">
        <f>IFERROR(VLOOKUP(TEXT(B2532,"0"),STOCK!A:H,7,0),1)</f>
        <v>1</v>
      </c>
    </row>
    <row r="2533" spans="10:10" ht="35.450000000000003" hidden="1" customHeight="1">
      <c r="J2533" s="28">
        <f>IFERROR(VLOOKUP(TEXT(B2533,"0"),STOCK!A:H,7,0),1)</f>
        <v>1</v>
      </c>
    </row>
    <row r="2534" spans="10:10" ht="35.450000000000003" hidden="1" customHeight="1">
      <c r="J2534" s="28">
        <f>IFERROR(VLOOKUP(TEXT(B2534,"0"),STOCK!A:H,7,0),1)</f>
        <v>1</v>
      </c>
    </row>
    <row r="2535" spans="10:10" ht="35.450000000000003" hidden="1" customHeight="1">
      <c r="J2535" s="28">
        <f>IFERROR(VLOOKUP(TEXT(B2535,"0"),STOCK!A:H,7,0),1)</f>
        <v>1</v>
      </c>
    </row>
    <row r="2536" spans="10:10" ht="35.450000000000003" hidden="1" customHeight="1">
      <c r="J2536" s="28">
        <f>IFERROR(VLOOKUP(TEXT(B2536,"0"),STOCK!A:H,7,0),1)</f>
        <v>1</v>
      </c>
    </row>
    <row r="2537" spans="10:10" ht="35.450000000000003" hidden="1" customHeight="1">
      <c r="J2537" s="28">
        <f>IFERROR(VLOOKUP(TEXT(B2537,"0"),STOCK!A:H,7,0),1)</f>
        <v>1</v>
      </c>
    </row>
    <row r="2538" spans="10:10" ht="35.450000000000003" hidden="1" customHeight="1">
      <c r="J2538" s="28">
        <f>IFERROR(VLOOKUP(TEXT(B2538,"0"),STOCK!A:H,7,0),1)</f>
        <v>1</v>
      </c>
    </row>
    <row r="2539" spans="10:10" ht="35.450000000000003" hidden="1" customHeight="1">
      <c r="J2539" s="28">
        <f>IFERROR(VLOOKUP(TEXT(B2539,"0"),STOCK!A:H,7,0),1)</f>
        <v>1</v>
      </c>
    </row>
    <row r="2540" spans="10:10" ht="35.450000000000003" hidden="1" customHeight="1">
      <c r="J2540" s="28">
        <f>IFERROR(VLOOKUP(TEXT(B2540,"0"),STOCK!A:H,7,0),1)</f>
        <v>1</v>
      </c>
    </row>
    <row r="2541" spans="10:10" ht="35.450000000000003" hidden="1" customHeight="1">
      <c r="J2541" s="28">
        <f>IFERROR(VLOOKUP(TEXT(B2541,"0"),STOCK!A:H,7,0),1)</f>
        <v>1</v>
      </c>
    </row>
    <row r="2542" spans="10:10" ht="35.450000000000003" hidden="1" customHeight="1">
      <c r="J2542" s="28">
        <f>IFERROR(VLOOKUP(TEXT(B2542,"0"),STOCK!A:H,7,0),1)</f>
        <v>1</v>
      </c>
    </row>
    <row r="2543" spans="10:10" ht="35.450000000000003" hidden="1" customHeight="1">
      <c r="J2543" s="28">
        <f>IFERROR(VLOOKUP(TEXT(B2543,"0"),STOCK!A:H,7,0),1)</f>
        <v>1</v>
      </c>
    </row>
    <row r="2544" spans="10:10" ht="35.450000000000003" hidden="1" customHeight="1">
      <c r="J2544" s="28">
        <f>IFERROR(VLOOKUP(TEXT(B2544,"0"),STOCK!A:H,7,0),1)</f>
        <v>1</v>
      </c>
    </row>
    <row r="2545" spans="10:10" ht="35.450000000000003" hidden="1" customHeight="1">
      <c r="J2545" s="28">
        <f>IFERROR(VLOOKUP(TEXT(B2545,"0"),STOCK!A:H,7,0),1)</f>
        <v>1</v>
      </c>
    </row>
    <row r="2546" spans="10:10" ht="35.450000000000003" hidden="1" customHeight="1">
      <c r="J2546" s="28">
        <f>IFERROR(VLOOKUP(TEXT(B2546,"0"),STOCK!A:H,7,0),1)</f>
        <v>1</v>
      </c>
    </row>
    <row r="2547" spans="10:10" ht="35.450000000000003" hidden="1" customHeight="1">
      <c r="J2547" s="28">
        <f>IFERROR(VLOOKUP(TEXT(B2547,"0"),STOCK!A:H,7,0),1)</f>
        <v>1</v>
      </c>
    </row>
    <row r="2548" spans="10:10" ht="35.450000000000003" hidden="1" customHeight="1">
      <c r="J2548" s="28">
        <f>IFERROR(VLOOKUP(TEXT(B2548,"0"),STOCK!A:H,7,0),1)</f>
        <v>1</v>
      </c>
    </row>
    <row r="2549" spans="10:10" ht="35.450000000000003" hidden="1" customHeight="1">
      <c r="J2549" s="28">
        <f>IFERROR(VLOOKUP(TEXT(B2549,"0"),STOCK!A:H,7,0),1)</f>
        <v>1</v>
      </c>
    </row>
    <row r="2550" spans="10:10" ht="35.450000000000003" hidden="1" customHeight="1">
      <c r="J2550" s="28">
        <f>IFERROR(VLOOKUP(TEXT(B2550,"0"),STOCK!A:H,7,0),1)</f>
        <v>1</v>
      </c>
    </row>
    <row r="2551" spans="10:10" ht="35.450000000000003" hidden="1" customHeight="1">
      <c r="J2551" s="28">
        <f>IFERROR(VLOOKUP(TEXT(B2551,"0"),STOCK!A:H,7,0),1)</f>
        <v>1</v>
      </c>
    </row>
    <row r="2552" spans="10:10" ht="35.450000000000003" hidden="1" customHeight="1">
      <c r="J2552" s="28">
        <f>IFERROR(VLOOKUP(TEXT(B2552,"0"),STOCK!A:H,7,0),1)</f>
        <v>1</v>
      </c>
    </row>
    <row r="2553" spans="10:10" ht="35.450000000000003" hidden="1" customHeight="1">
      <c r="J2553" s="28">
        <f>IFERROR(VLOOKUP(TEXT(B2553,"0"),STOCK!A:H,7,0),1)</f>
        <v>1</v>
      </c>
    </row>
    <row r="2554" spans="10:10" ht="35.450000000000003" hidden="1" customHeight="1">
      <c r="J2554" s="28">
        <f>IFERROR(VLOOKUP(TEXT(B2554,"0"),STOCK!A:H,7,0),1)</f>
        <v>1</v>
      </c>
    </row>
    <row r="2555" spans="10:10" ht="35.450000000000003" hidden="1" customHeight="1">
      <c r="J2555" s="28">
        <f>IFERROR(VLOOKUP(TEXT(B2555,"0"),STOCK!A:H,7,0),1)</f>
        <v>1</v>
      </c>
    </row>
    <row r="2556" spans="10:10" ht="35.450000000000003" hidden="1" customHeight="1">
      <c r="J2556" s="28">
        <f>IFERROR(VLOOKUP(TEXT(B2556,"0"),STOCK!A:H,7,0),1)</f>
        <v>1</v>
      </c>
    </row>
    <row r="2557" spans="10:10" ht="35.450000000000003" hidden="1" customHeight="1">
      <c r="J2557" s="28">
        <f>IFERROR(VLOOKUP(TEXT(B2557,"0"),STOCK!A:H,7,0),1)</f>
        <v>1</v>
      </c>
    </row>
    <row r="2558" spans="10:10" ht="35.450000000000003" hidden="1" customHeight="1">
      <c r="J2558" s="28">
        <f>IFERROR(VLOOKUP(TEXT(B2558,"0"),STOCK!A:H,7,0),1)</f>
        <v>1</v>
      </c>
    </row>
    <row r="2559" spans="10:10" ht="35.450000000000003" hidden="1" customHeight="1">
      <c r="J2559" s="28">
        <f>IFERROR(VLOOKUP(TEXT(B2559,"0"),STOCK!A:H,7,0),1)</f>
        <v>1</v>
      </c>
    </row>
    <row r="2560" spans="10:10" ht="35.450000000000003" hidden="1" customHeight="1">
      <c r="J2560" s="28">
        <f>IFERROR(VLOOKUP(TEXT(B2560,"0"),STOCK!A:H,7,0),1)</f>
        <v>1</v>
      </c>
    </row>
    <row r="2561" spans="10:10" ht="35.450000000000003" hidden="1" customHeight="1">
      <c r="J2561" s="28">
        <f>IFERROR(VLOOKUP(TEXT(B2561,"0"),STOCK!A:H,7,0),1)</f>
        <v>1</v>
      </c>
    </row>
    <row r="2562" spans="10:10" ht="35.450000000000003" hidden="1" customHeight="1">
      <c r="J2562" s="28">
        <f>IFERROR(VLOOKUP(TEXT(B2562,"0"),STOCK!A:H,7,0),1)</f>
        <v>1</v>
      </c>
    </row>
    <row r="2563" spans="10:10" ht="35.450000000000003" hidden="1" customHeight="1">
      <c r="J2563" s="28">
        <f>IFERROR(VLOOKUP(TEXT(B2563,"0"),STOCK!A:H,7,0),1)</f>
        <v>1</v>
      </c>
    </row>
    <row r="2564" spans="10:10" ht="35.450000000000003" hidden="1" customHeight="1">
      <c r="J2564" s="28">
        <f>IFERROR(VLOOKUP(TEXT(B2564,"0"),STOCK!A:H,7,0),1)</f>
        <v>1</v>
      </c>
    </row>
    <row r="2565" spans="10:10" ht="35.450000000000003" hidden="1" customHeight="1">
      <c r="J2565" s="28">
        <f>IFERROR(VLOOKUP(TEXT(B2565,"0"),STOCK!A:H,7,0),1)</f>
        <v>1</v>
      </c>
    </row>
    <row r="2566" spans="10:10" ht="35.450000000000003" hidden="1" customHeight="1">
      <c r="J2566" s="28">
        <f>IFERROR(VLOOKUP(TEXT(B2566,"0"),STOCK!A:H,7,0),1)</f>
        <v>1</v>
      </c>
    </row>
    <row r="2567" spans="10:10" ht="35.450000000000003" hidden="1" customHeight="1">
      <c r="J2567" s="28">
        <f>IFERROR(VLOOKUP(TEXT(B2567,"0"),STOCK!A:H,7,0),1)</f>
        <v>1</v>
      </c>
    </row>
    <row r="2568" spans="10:10" ht="35.450000000000003" hidden="1" customHeight="1">
      <c r="J2568" s="28">
        <f>IFERROR(VLOOKUP(TEXT(B2568,"0"),STOCK!A:H,7,0),1)</f>
        <v>1</v>
      </c>
    </row>
    <row r="2569" spans="10:10" ht="35.450000000000003" hidden="1" customHeight="1">
      <c r="J2569" s="28">
        <f>IFERROR(VLOOKUP(TEXT(B2569,"0"),STOCK!A:H,7,0),1)</f>
        <v>1</v>
      </c>
    </row>
    <row r="2570" spans="10:10" ht="35.450000000000003" hidden="1" customHeight="1">
      <c r="J2570" s="28">
        <f>IFERROR(VLOOKUP(TEXT(B2570,"0"),STOCK!A:H,7,0),1)</f>
        <v>1</v>
      </c>
    </row>
    <row r="2571" spans="10:10" ht="35.450000000000003" hidden="1" customHeight="1">
      <c r="J2571" s="28">
        <f>IFERROR(VLOOKUP(TEXT(B2571,"0"),STOCK!A:H,7,0),1)</f>
        <v>1</v>
      </c>
    </row>
    <row r="2572" spans="10:10" ht="35.450000000000003" hidden="1" customHeight="1">
      <c r="J2572" s="28">
        <f>IFERROR(VLOOKUP(TEXT(B2572,"0"),STOCK!A:H,7,0),1)</f>
        <v>1</v>
      </c>
    </row>
    <row r="2573" spans="10:10" ht="35.450000000000003" hidden="1" customHeight="1">
      <c r="J2573" s="28">
        <f>IFERROR(VLOOKUP(TEXT(B2573,"0"),STOCK!A:H,7,0),1)</f>
        <v>1</v>
      </c>
    </row>
    <row r="2574" spans="10:10" ht="35.450000000000003" hidden="1" customHeight="1">
      <c r="J2574" s="28">
        <f>IFERROR(VLOOKUP(TEXT(B2574,"0"),STOCK!A:H,7,0),1)</f>
        <v>1</v>
      </c>
    </row>
    <row r="2575" spans="10:10" ht="35.450000000000003" hidden="1" customHeight="1">
      <c r="J2575" s="28">
        <f>IFERROR(VLOOKUP(TEXT(B2575,"0"),STOCK!A:H,7,0),1)</f>
        <v>1</v>
      </c>
    </row>
    <row r="2576" spans="10:10" ht="35.450000000000003" hidden="1" customHeight="1">
      <c r="J2576" s="28">
        <f>IFERROR(VLOOKUP(TEXT(B2576,"0"),STOCK!A:H,7,0),1)</f>
        <v>1</v>
      </c>
    </row>
    <row r="2577" spans="10:10" ht="35.450000000000003" hidden="1" customHeight="1">
      <c r="J2577" s="28">
        <f>IFERROR(VLOOKUP(TEXT(B2577,"0"),STOCK!A:H,7,0),1)</f>
        <v>1</v>
      </c>
    </row>
    <row r="2578" spans="10:10" ht="35.450000000000003" hidden="1" customHeight="1">
      <c r="J2578" s="28">
        <f>IFERROR(VLOOKUP(TEXT(B2578,"0"),STOCK!A:H,7,0),1)</f>
        <v>1</v>
      </c>
    </row>
    <row r="2579" spans="10:10" ht="35.450000000000003" hidden="1" customHeight="1">
      <c r="J2579" s="28">
        <f>IFERROR(VLOOKUP(TEXT(B2579,"0"),STOCK!A:H,7,0),1)</f>
        <v>1</v>
      </c>
    </row>
    <row r="2580" spans="10:10" ht="35.450000000000003" hidden="1" customHeight="1">
      <c r="J2580" s="28">
        <f>IFERROR(VLOOKUP(TEXT(B2580,"0"),STOCK!A:H,7,0),1)</f>
        <v>1</v>
      </c>
    </row>
    <row r="2581" spans="10:10" ht="35.450000000000003" hidden="1" customHeight="1">
      <c r="J2581" s="28">
        <f>IFERROR(VLOOKUP(TEXT(B2581,"0"),STOCK!A:H,7,0),1)</f>
        <v>1</v>
      </c>
    </row>
    <row r="2582" spans="10:10" ht="35.450000000000003" hidden="1" customHeight="1">
      <c r="J2582" s="28">
        <f>IFERROR(VLOOKUP(TEXT(B2582,"0"),STOCK!A:H,7,0),1)</f>
        <v>1</v>
      </c>
    </row>
    <row r="2583" spans="10:10" ht="35.450000000000003" hidden="1" customHeight="1">
      <c r="J2583" s="28">
        <f>IFERROR(VLOOKUP(TEXT(B2583,"0"),STOCK!A:H,7,0),1)</f>
        <v>1</v>
      </c>
    </row>
    <row r="2584" spans="10:10" ht="35.450000000000003" hidden="1" customHeight="1">
      <c r="J2584" s="28">
        <f>IFERROR(VLOOKUP(TEXT(B2584,"0"),STOCK!A:H,7,0),1)</f>
        <v>1</v>
      </c>
    </row>
    <row r="2585" spans="10:10" ht="35.450000000000003" hidden="1" customHeight="1">
      <c r="J2585" s="28">
        <f>IFERROR(VLOOKUP(TEXT(B2585,"0"),STOCK!A:H,7,0),1)</f>
        <v>1</v>
      </c>
    </row>
    <row r="2586" spans="10:10" ht="35.450000000000003" hidden="1" customHeight="1">
      <c r="J2586" s="28">
        <f>IFERROR(VLOOKUP(TEXT(B2586,"0"),STOCK!A:H,7,0),1)</f>
        <v>1</v>
      </c>
    </row>
    <row r="2587" spans="10:10" ht="35.450000000000003" hidden="1" customHeight="1">
      <c r="J2587" s="28">
        <f>IFERROR(VLOOKUP(TEXT(B2587,"0"),STOCK!A:H,7,0),1)</f>
        <v>1</v>
      </c>
    </row>
    <row r="2588" spans="10:10" ht="35.450000000000003" hidden="1" customHeight="1">
      <c r="J2588" s="28">
        <f>IFERROR(VLOOKUP(TEXT(B2588,"0"),STOCK!A:H,7,0),1)</f>
        <v>1</v>
      </c>
    </row>
    <row r="2589" spans="10:10" ht="35.450000000000003" hidden="1" customHeight="1">
      <c r="J2589" s="28">
        <f>IFERROR(VLOOKUP(TEXT(B2589,"0"),STOCK!A:H,7,0),1)</f>
        <v>1</v>
      </c>
    </row>
    <row r="2590" spans="10:10" ht="35.450000000000003" hidden="1" customHeight="1">
      <c r="J2590" s="28">
        <f>IFERROR(VLOOKUP(TEXT(B2590,"0"),STOCK!A:H,7,0),1)</f>
        <v>1</v>
      </c>
    </row>
    <row r="2591" spans="10:10" ht="35.450000000000003" hidden="1" customHeight="1">
      <c r="J2591" s="28">
        <f>IFERROR(VLOOKUP(TEXT(B2591,"0"),STOCK!A:H,7,0),1)</f>
        <v>1</v>
      </c>
    </row>
    <row r="2592" spans="10:10" ht="35.450000000000003" hidden="1" customHeight="1">
      <c r="J2592" s="28">
        <f>IFERROR(VLOOKUP(TEXT(B2592,"0"),STOCK!A:H,7,0),1)</f>
        <v>1</v>
      </c>
    </row>
    <row r="2593" spans="10:10" ht="35.450000000000003" hidden="1" customHeight="1">
      <c r="J2593" s="28">
        <f>IFERROR(VLOOKUP(TEXT(B2593,"0"),STOCK!A:H,7,0),1)</f>
        <v>1</v>
      </c>
    </row>
    <row r="2594" spans="10:10" ht="35.450000000000003" hidden="1" customHeight="1">
      <c r="J2594" s="28">
        <f>IFERROR(VLOOKUP(TEXT(B2594,"0"),STOCK!A:H,7,0),1)</f>
        <v>1</v>
      </c>
    </row>
    <row r="2595" spans="10:10" ht="35.450000000000003" hidden="1" customHeight="1">
      <c r="J2595" s="28">
        <f>IFERROR(VLOOKUP(TEXT(B2595,"0"),STOCK!A:H,7,0),1)</f>
        <v>1</v>
      </c>
    </row>
    <row r="2596" spans="10:10" ht="35.450000000000003" hidden="1" customHeight="1">
      <c r="J2596" s="28">
        <f>IFERROR(VLOOKUP(TEXT(B2596,"0"),STOCK!A:H,7,0),1)</f>
        <v>1</v>
      </c>
    </row>
    <row r="2597" spans="10:10" ht="35.450000000000003" hidden="1" customHeight="1">
      <c r="J2597" s="28">
        <f>IFERROR(VLOOKUP(TEXT(B2597,"0"),STOCK!A:H,7,0),1)</f>
        <v>1</v>
      </c>
    </row>
    <row r="2598" spans="10:10" ht="35.450000000000003" hidden="1" customHeight="1">
      <c r="J2598" s="28">
        <f>IFERROR(VLOOKUP(TEXT(B2598,"0"),STOCK!A:H,7,0),1)</f>
        <v>1</v>
      </c>
    </row>
    <row r="2599" spans="10:10" ht="35.450000000000003" hidden="1" customHeight="1">
      <c r="J2599" s="28">
        <f>IFERROR(VLOOKUP(TEXT(B2599,"0"),STOCK!A:H,7,0),1)</f>
        <v>1</v>
      </c>
    </row>
    <row r="2600" spans="10:10" ht="35.450000000000003" hidden="1" customHeight="1">
      <c r="J2600" s="28">
        <f>IFERROR(VLOOKUP(TEXT(B2600,"0"),STOCK!A:H,7,0),1)</f>
        <v>1</v>
      </c>
    </row>
    <row r="2601" spans="10:10" ht="35.450000000000003" hidden="1" customHeight="1">
      <c r="J2601" s="28">
        <f>IFERROR(VLOOKUP(TEXT(B2601,"0"),STOCK!A:H,7,0),1)</f>
        <v>1</v>
      </c>
    </row>
    <row r="2602" spans="10:10" ht="35.450000000000003" hidden="1" customHeight="1">
      <c r="J2602" s="28">
        <f>IFERROR(VLOOKUP(TEXT(B2602,"0"),STOCK!A:H,7,0),1)</f>
        <v>1</v>
      </c>
    </row>
    <row r="2603" spans="10:10" ht="35.450000000000003" hidden="1" customHeight="1">
      <c r="J2603" s="28">
        <f>IFERROR(VLOOKUP(TEXT(B2603,"0"),STOCK!A:H,7,0),1)</f>
        <v>1</v>
      </c>
    </row>
    <row r="2604" spans="10:10" ht="35.450000000000003" hidden="1" customHeight="1">
      <c r="J2604" s="28">
        <f>IFERROR(VLOOKUP(TEXT(B2604,"0"),STOCK!A:H,7,0),1)</f>
        <v>1</v>
      </c>
    </row>
    <row r="2605" spans="10:10" ht="35.450000000000003" hidden="1" customHeight="1">
      <c r="J2605" s="28">
        <f>IFERROR(VLOOKUP(TEXT(B2605,"0"),STOCK!A:H,7,0),1)</f>
        <v>1</v>
      </c>
    </row>
    <row r="2606" spans="10:10" ht="35.450000000000003" hidden="1" customHeight="1">
      <c r="J2606" s="28">
        <f>IFERROR(VLOOKUP(TEXT(B2606,"0"),STOCK!A:H,7,0),1)</f>
        <v>1</v>
      </c>
    </row>
    <row r="2607" spans="10:10" ht="35.450000000000003" hidden="1" customHeight="1">
      <c r="J2607" s="28">
        <f>IFERROR(VLOOKUP(TEXT(B2607,"0"),STOCK!A:H,7,0),1)</f>
        <v>1</v>
      </c>
    </row>
    <row r="2608" spans="10:10" ht="35.450000000000003" hidden="1" customHeight="1">
      <c r="J2608" s="28">
        <f>IFERROR(VLOOKUP(TEXT(B2608,"0"),STOCK!A:H,7,0),1)</f>
        <v>1</v>
      </c>
    </row>
    <row r="2609" spans="10:10" ht="35.450000000000003" hidden="1" customHeight="1">
      <c r="J2609" s="28">
        <f>IFERROR(VLOOKUP(TEXT(B2609,"0"),STOCK!A:H,7,0),1)</f>
        <v>1</v>
      </c>
    </row>
    <row r="2610" spans="10:10" ht="35.450000000000003" hidden="1" customHeight="1">
      <c r="J2610" s="28">
        <f>IFERROR(VLOOKUP(TEXT(B2610,"0"),STOCK!A:H,7,0),1)</f>
        <v>1</v>
      </c>
    </row>
    <row r="2611" spans="10:10" ht="35.450000000000003" hidden="1" customHeight="1">
      <c r="J2611" s="28">
        <f>IFERROR(VLOOKUP(TEXT(B2611,"0"),STOCK!A:H,7,0),1)</f>
        <v>1</v>
      </c>
    </row>
    <row r="2612" spans="10:10" ht="35.450000000000003" hidden="1" customHeight="1">
      <c r="J2612" s="28">
        <f>IFERROR(VLOOKUP(TEXT(B2612,"0"),STOCK!A:H,7,0),1)</f>
        <v>1</v>
      </c>
    </row>
    <row r="2613" spans="10:10" ht="35.450000000000003" hidden="1" customHeight="1">
      <c r="J2613" s="28">
        <f>IFERROR(VLOOKUP(TEXT(B2613,"0"),STOCK!A:H,7,0),1)</f>
        <v>1</v>
      </c>
    </row>
    <row r="2614" spans="10:10" ht="35.450000000000003" hidden="1" customHeight="1">
      <c r="J2614" s="28">
        <f>IFERROR(VLOOKUP(TEXT(B2614,"0"),STOCK!A:H,7,0),1)</f>
        <v>1</v>
      </c>
    </row>
    <row r="2615" spans="10:10" ht="35.450000000000003" hidden="1" customHeight="1">
      <c r="J2615" s="28">
        <f>IFERROR(VLOOKUP(TEXT(B2615,"0"),STOCK!A:H,7,0),1)</f>
        <v>1</v>
      </c>
    </row>
    <row r="2616" spans="10:10" ht="35.450000000000003" hidden="1" customHeight="1">
      <c r="J2616" s="28">
        <f>IFERROR(VLOOKUP(TEXT(B2616,"0"),STOCK!A:H,7,0),1)</f>
        <v>1</v>
      </c>
    </row>
    <row r="2617" spans="10:10" ht="35.450000000000003" hidden="1" customHeight="1">
      <c r="J2617" s="28">
        <f>IFERROR(VLOOKUP(TEXT(B2617,"0"),STOCK!A:H,7,0),1)</f>
        <v>1</v>
      </c>
    </row>
    <row r="2618" spans="10:10" ht="35.450000000000003" hidden="1" customHeight="1">
      <c r="J2618" s="28">
        <f>IFERROR(VLOOKUP(TEXT(B2618,"0"),STOCK!A:H,7,0),1)</f>
        <v>1</v>
      </c>
    </row>
    <row r="2619" spans="10:10" ht="35.450000000000003" hidden="1" customHeight="1">
      <c r="J2619" s="28">
        <f>IFERROR(VLOOKUP(TEXT(B2619,"0"),STOCK!A:H,7,0),1)</f>
        <v>1</v>
      </c>
    </row>
    <row r="2620" spans="10:10" ht="35.450000000000003" hidden="1" customHeight="1">
      <c r="J2620" s="28">
        <f>IFERROR(VLOOKUP(TEXT(B2620,"0"),STOCK!A:H,7,0),1)</f>
        <v>1</v>
      </c>
    </row>
    <row r="2621" spans="10:10" ht="35.450000000000003" hidden="1" customHeight="1">
      <c r="J2621" s="28">
        <f>IFERROR(VLOOKUP(TEXT(B2621,"0"),STOCK!A:H,7,0),1)</f>
        <v>1</v>
      </c>
    </row>
    <row r="2622" spans="10:10" ht="35.450000000000003" hidden="1" customHeight="1">
      <c r="J2622" s="28">
        <f>IFERROR(VLOOKUP(TEXT(B2622,"0"),STOCK!A:H,7,0),1)</f>
        <v>1</v>
      </c>
    </row>
    <row r="2623" spans="10:10" ht="35.450000000000003" hidden="1" customHeight="1">
      <c r="J2623" s="28">
        <f>IFERROR(VLOOKUP(TEXT(B2623,"0"),STOCK!A:H,7,0),1)</f>
        <v>1</v>
      </c>
    </row>
    <row r="2624" spans="10:10" ht="35.450000000000003" hidden="1" customHeight="1">
      <c r="J2624" s="28">
        <f>IFERROR(VLOOKUP(TEXT(B2624,"0"),STOCK!A:H,7,0),1)</f>
        <v>1</v>
      </c>
    </row>
    <row r="2625" spans="10:10" ht="35.450000000000003" hidden="1" customHeight="1">
      <c r="J2625" s="28">
        <f>IFERROR(VLOOKUP(TEXT(B2625,"0"),STOCK!A:H,7,0),1)</f>
        <v>1</v>
      </c>
    </row>
    <row r="2626" spans="10:10" ht="35.450000000000003" hidden="1" customHeight="1">
      <c r="J2626" s="28">
        <f>IFERROR(VLOOKUP(TEXT(B2626,"0"),STOCK!A:H,7,0),1)</f>
        <v>1</v>
      </c>
    </row>
    <row r="2627" spans="10:10" ht="35.450000000000003" hidden="1" customHeight="1">
      <c r="J2627" s="28">
        <f>IFERROR(VLOOKUP(TEXT(B2627,"0"),STOCK!A:H,7,0),1)</f>
        <v>1</v>
      </c>
    </row>
    <row r="2628" spans="10:10" ht="35.450000000000003" hidden="1" customHeight="1">
      <c r="J2628" s="28">
        <f>IFERROR(VLOOKUP(TEXT(B2628,"0"),STOCK!A:H,7,0),1)</f>
        <v>1</v>
      </c>
    </row>
    <row r="2629" spans="10:10" ht="35.450000000000003" hidden="1" customHeight="1">
      <c r="J2629" s="28">
        <f>IFERROR(VLOOKUP(TEXT(B2629,"0"),STOCK!A:H,7,0),1)</f>
        <v>1</v>
      </c>
    </row>
    <row r="2630" spans="10:10" ht="35.450000000000003" hidden="1" customHeight="1">
      <c r="J2630" s="28">
        <f>IFERROR(VLOOKUP(TEXT(B2630,"0"),STOCK!A:H,7,0),1)</f>
        <v>1</v>
      </c>
    </row>
    <row r="2631" spans="10:10" ht="35.450000000000003" hidden="1" customHeight="1">
      <c r="J2631" s="28">
        <f>IFERROR(VLOOKUP(TEXT(B2631,"0"),STOCK!A:H,7,0),1)</f>
        <v>1</v>
      </c>
    </row>
    <row r="2632" spans="10:10" ht="35.450000000000003" hidden="1" customHeight="1">
      <c r="J2632" s="28">
        <f>IFERROR(VLOOKUP(TEXT(B2632,"0"),STOCK!A:H,7,0),1)</f>
        <v>1</v>
      </c>
    </row>
    <row r="2633" spans="10:10" ht="35.450000000000003" hidden="1" customHeight="1">
      <c r="J2633" s="28">
        <f>IFERROR(VLOOKUP(TEXT(B2633,"0"),STOCK!A:H,7,0),1)</f>
        <v>1</v>
      </c>
    </row>
    <row r="2634" spans="10:10" ht="35.450000000000003" hidden="1" customHeight="1">
      <c r="J2634" s="28">
        <f>IFERROR(VLOOKUP(TEXT(B2634,"0"),STOCK!A:H,7,0),1)</f>
        <v>1</v>
      </c>
    </row>
    <row r="2635" spans="10:10" ht="35.450000000000003" hidden="1" customHeight="1">
      <c r="J2635" s="28">
        <f>IFERROR(VLOOKUP(TEXT(B2635,"0"),STOCK!A:H,7,0),1)</f>
        <v>1</v>
      </c>
    </row>
    <row r="2636" spans="10:10" ht="35.450000000000003" hidden="1" customHeight="1">
      <c r="J2636" s="28">
        <f>IFERROR(VLOOKUP(TEXT(B2636,"0"),STOCK!A:H,7,0),1)</f>
        <v>1</v>
      </c>
    </row>
    <row r="2637" spans="10:10" ht="35.450000000000003" hidden="1" customHeight="1">
      <c r="J2637" s="28">
        <f>IFERROR(VLOOKUP(TEXT(B2637,"0"),STOCK!A:H,7,0),1)</f>
        <v>1</v>
      </c>
    </row>
    <row r="2638" spans="10:10" ht="35.450000000000003" hidden="1" customHeight="1">
      <c r="J2638" s="28">
        <f>IFERROR(VLOOKUP(TEXT(B2638,"0"),STOCK!A:H,7,0),1)</f>
        <v>1</v>
      </c>
    </row>
    <row r="2639" spans="10:10" ht="35.450000000000003" hidden="1" customHeight="1">
      <c r="J2639" s="28">
        <f>IFERROR(VLOOKUP(TEXT(B2639,"0"),STOCK!A:H,7,0),1)</f>
        <v>1</v>
      </c>
    </row>
    <row r="2640" spans="10:10" ht="35.450000000000003" hidden="1" customHeight="1">
      <c r="J2640" s="28">
        <f>IFERROR(VLOOKUP(TEXT(B2640,"0"),STOCK!A:H,7,0),1)</f>
        <v>1</v>
      </c>
    </row>
    <row r="2641" spans="10:10" ht="35.450000000000003" hidden="1" customHeight="1">
      <c r="J2641" s="28">
        <f>IFERROR(VLOOKUP(TEXT(B2641,"0"),STOCK!A:H,7,0),1)</f>
        <v>1</v>
      </c>
    </row>
    <row r="2642" spans="10:10" ht="35.450000000000003" hidden="1" customHeight="1">
      <c r="J2642" s="28">
        <f>IFERROR(VLOOKUP(TEXT(B2642,"0"),STOCK!A:H,7,0),1)</f>
        <v>1</v>
      </c>
    </row>
    <row r="2643" spans="10:10" ht="35.450000000000003" hidden="1" customHeight="1">
      <c r="J2643" s="28">
        <f>IFERROR(VLOOKUP(TEXT(B2643,"0"),STOCK!A:H,7,0),1)</f>
        <v>1</v>
      </c>
    </row>
    <row r="2644" spans="10:10" ht="35.450000000000003" hidden="1" customHeight="1">
      <c r="J2644" s="28">
        <f>IFERROR(VLOOKUP(TEXT(B2644,"0"),STOCK!A:H,7,0),1)</f>
        <v>1</v>
      </c>
    </row>
    <row r="2645" spans="10:10" ht="35.450000000000003" hidden="1" customHeight="1">
      <c r="J2645" s="28">
        <f>IFERROR(VLOOKUP(TEXT(B2645,"0"),STOCK!A:H,7,0),1)</f>
        <v>1</v>
      </c>
    </row>
    <row r="2646" spans="10:10" ht="35.450000000000003" hidden="1" customHeight="1">
      <c r="J2646" s="28">
        <f>IFERROR(VLOOKUP(TEXT(B2646,"0"),STOCK!A:H,7,0),1)</f>
        <v>1</v>
      </c>
    </row>
    <row r="2647" spans="10:10" ht="35.450000000000003" hidden="1" customHeight="1">
      <c r="J2647" s="28">
        <f>IFERROR(VLOOKUP(TEXT(B2647,"0"),STOCK!A:H,7,0),1)</f>
        <v>1</v>
      </c>
    </row>
    <row r="2648" spans="10:10" ht="35.450000000000003" hidden="1" customHeight="1">
      <c r="J2648" s="28">
        <f>IFERROR(VLOOKUP(TEXT(B2648,"0"),STOCK!A:H,7,0),1)</f>
        <v>1</v>
      </c>
    </row>
    <row r="2649" spans="10:10" ht="35.450000000000003" hidden="1" customHeight="1">
      <c r="J2649" s="28">
        <f>IFERROR(VLOOKUP(TEXT(B2649,"0"),STOCK!A:H,7,0),1)</f>
        <v>1</v>
      </c>
    </row>
    <row r="2650" spans="10:10" ht="35.450000000000003" hidden="1" customHeight="1">
      <c r="J2650" s="28">
        <f>IFERROR(VLOOKUP(TEXT(B2650,"0"),STOCK!A:H,7,0),1)</f>
        <v>1</v>
      </c>
    </row>
    <row r="2651" spans="10:10" ht="35.450000000000003" hidden="1" customHeight="1">
      <c r="J2651" s="28">
        <f>IFERROR(VLOOKUP(TEXT(B2651,"0"),STOCK!A:H,7,0),1)</f>
        <v>1</v>
      </c>
    </row>
    <row r="2652" spans="10:10" ht="35.450000000000003" hidden="1" customHeight="1">
      <c r="J2652" s="28">
        <f>IFERROR(VLOOKUP(TEXT(B2652,"0"),STOCK!A:H,7,0),1)</f>
        <v>1</v>
      </c>
    </row>
    <row r="2653" spans="10:10" ht="35.450000000000003" hidden="1" customHeight="1">
      <c r="J2653" s="28">
        <f>IFERROR(VLOOKUP(TEXT(B2653,"0"),STOCK!A:H,7,0),1)</f>
        <v>1</v>
      </c>
    </row>
    <row r="2654" spans="10:10" ht="35.450000000000003" hidden="1" customHeight="1">
      <c r="J2654" s="28">
        <f>IFERROR(VLOOKUP(TEXT(B2654,"0"),STOCK!A:H,7,0),1)</f>
        <v>1</v>
      </c>
    </row>
    <row r="2655" spans="10:10" ht="35.450000000000003" hidden="1" customHeight="1">
      <c r="J2655" s="28">
        <f>IFERROR(VLOOKUP(TEXT(B2655,"0"),STOCK!A:H,7,0),1)</f>
        <v>1</v>
      </c>
    </row>
    <row r="2656" spans="10:10" ht="35.450000000000003" hidden="1" customHeight="1">
      <c r="J2656" s="28">
        <f>IFERROR(VLOOKUP(TEXT(B2656,"0"),STOCK!A:H,7,0),1)</f>
        <v>1</v>
      </c>
    </row>
    <row r="2657" spans="10:10" ht="35.450000000000003" hidden="1" customHeight="1">
      <c r="J2657" s="28">
        <f>IFERROR(VLOOKUP(TEXT(B2657,"0"),STOCK!A:H,7,0),1)</f>
        <v>1</v>
      </c>
    </row>
    <row r="2658" spans="10:10" ht="35.450000000000003" hidden="1" customHeight="1">
      <c r="J2658" s="28">
        <f>IFERROR(VLOOKUP(TEXT(B2658,"0"),STOCK!A:H,7,0),1)</f>
        <v>1</v>
      </c>
    </row>
    <row r="2659" spans="10:10" ht="35.450000000000003" hidden="1" customHeight="1">
      <c r="J2659" s="28">
        <f>IFERROR(VLOOKUP(TEXT(B2659,"0"),STOCK!A:H,7,0),1)</f>
        <v>1</v>
      </c>
    </row>
    <row r="2660" spans="10:10" ht="35.450000000000003" hidden="1" customHeight="1">
      <c r="J2660" s="28">
        <f>IFERROR(VLOOKUP(TEXT(B2660,"0"),STOCK!A:H,7,0),1)</f>
        <v>1</v>
      </c>
    </row>
    <row r="2661" spans="10:10" ht="35.450000000000003" hidden="1" customHeight="1">
      <c r="J2661" s="28">
        <f>IFERROR(VLOOKUP(TEXT(B2661,"0"),STOCK!A:H,7,0),1)</f>
        <v>1</v>
      </c>
    </row>
    <row r="2662" spans="10:10" ht="35.450000000000003" hidden="1" customHeight="1">
      <c r="J2662" s="28">
        <f>IFERROR(VLOOKUP(TEXT(B2662,"0"),STOCK!A:H,7,0),1)</f>
        <v>1</v>
      </c>
    </row>
    <row r="2663" spans="10:10" ht="35.450000000000003" hidden="1" customHeight="1">
      <c r="J2663" s="28">
        <f>IFERROR(VLOOKUP(TEXT(B2663,"0"),STOCK!A:H,7,0),1)</f>
        <v>1</v>
      </c>
    </row>
    <row r="2664" spans="10:10" ht="35.450000000000003" hidden="1" customHeight="1">
      <c r="J2664" s="28">
        <f>IFERROR(VLOOKUP(TEXT(B2664,"0"),STOCK!A:H,7,0),1)</f>
        <v>1</v>
      </c>
    </row>
    <row r="2665" spans="10:10" ht="35.450000000000003" hidden="1" customHeight="1">
      <c r="J2665" s="28">
        <f>IFERROR(VLOOKUP(TEXT(B2665,"0"),STOCK!A:H,7,0),1)</f>
        <v>1</v>
      </c>
    </row>
    <row r="2666" spans="10:10" ht="35.450000000000003" hidden="1" customHeight="1">
      <c r="J2666" s="28">
        <f>IFERROR(VLOOKUP(TEXT(B2666,"0"),STOCK!A:H,7,0),1)</f>
        <v>1</v>
      </c>
    </row>
    <row r="2667" spans="10:10" ht="35.450000000000003" hidden="1" customHeight="1">
      <c r="J2667" s="28">
        <f>IFERROR(VLOOKUP(TEXT(B2667,"0"),STOCK!A:H,7,0),1)</f>
        <v>1</v>
      </c>
    </row>
    <row r="2668" spans="10:10" ht="35.450000000000003" hidden="1" customHeight="1">
      <c r="J2668" s="28">
        <f>IFERROR(VLOOKUP(TEXT(B2668,"0"),STOCK!A:H,7,0),1)</f>
        <v>1</v>
      </c>
    </row>
    <row r="2669" spans="10:10" ht="35.450000000000003" hidden="1" customHeight="1">
      <c r="J2669" s="28">
        <f>IFERROR(VLOOKUP(TEXT(B2669,"0"),STOCK!A:H,7,0),1)</f>
        <v>1</v>
      </c>
    </row>
    <row r="2670" spans="10:10" ht="35.450000000000003" hidden="1" customHeight="1">
      <c r="J2670" s="28">
        <f>IFERROR(VLOOKUP(TEXT(B2670,"0"),STOCK!A:H,7,0),1)</f>
        <v>1</v>
      </c>
    </row>
    <row r="2671" spans="10:10" ht="35.450000000000003" hidden="1" customHeight="1">
      <c r="J2671" s="28">
        <f>IFERROR(VLOOKUP(TEXT(B2671,"0"),STOCK!A:H,7,0),1)</f>
        <v>1</v>
      </c>
    </row>
    <row r="2672" spans="10:10" ht="35.450000000000003" hidden="1" customHeight="1">
      <c r="J2672" s="28">
        <f>IFERROR(VLOOKUP(TEXT(B2672,"0"),STOCK!A:H,7,0),1)</f>
        <v>1</v>
      </c>
    </row>
    <row r="2673" spans="10:10" ht="35.450000000000003" hidden="1" customHeight="1">
      <c r="J2673" s="28">
        <f>IFERROR(VLOOKUP(TEXT(B2673,"0"),STOCK!A:H,7,0),1)</f>
        <v>1</v>
      </c>
    </row>
    <row r="2674" spans="10:10" ht="35.450000000000003" hidden="1" customHeight="1">
      <c r="J2674" s="28">
        <f>IFERROR(VLOOKUP(TEXT(B2674,"0"),STOCK!A:H,7,0),1)</f>
        <v>1</v>
      </c>
    </row>
    <row r="2675" spans="10:10" ht="35.450000000000003" hidden="1" customHeight="1">
      <c r="J2675" s="28">
        <f>IFERROR(VLOOKUP(TEXT(B2675,"0"),STOCK!A:H,7,0),1)</f>
        <v>1</v>
      </c>
    </row>
    <row r="2676" spans="10:10" ht="35.450000000000003" hidden="1" customHeight="1">
      <c r="J2676" s="28">
        <f>IFERROR(VLOOKUP(TEXT(B2676,"0"),STOCK!A:H,7,0),1)</f>
        <v>1</v>
      </c>
    </row>
    <row r="2677" spans="10:10" ht="35.450000000000003" hidden="1" customHeight="1">
      <c r="J2677" s="28">
        <f>IFERROR(VLOOKUP(TEXT(B2677,"0"),STOCK!A:H,7,0),1)</f>
        <v>1</v>
      </c>
    </row>
    <row r="2678" spans="10:10" ht="35.450000000000003" hidden="1" customHeight="1">
      <c r="J2678" s="28">
        <f>IFERROR(VLOOKUP(TEXT(B2678,"0"),STOCK!A:H,7,0),1)</f>
        <v>1</v>
      </c>
    </row>
    <row r="2679" spans="10:10" ht="35.450000000000003" hidden="1" customHeight="1">
      <c r="J2679" s="28">
        <f>IFERROR(VLOOKUP(TEXT(B2679,"0"),STOCK!A:H,7,0),1)</f>
        <v>1</v>
      </c>
    </row>
    <row r="2680" spans="10:10" ht="35.450000000000003" hidden="1" customHeight="1">
      <c r="J2680" s="28">
        <f>IFERROR(VLOOKUP(TEXT(B2680,"0"),STOCK!A:H,7,0),1)</f>
        <v>1</v>
      </c>
    </row>
    <row r="2681" spans="10:10" ht="35.450000000000003" hidden="1" customHeight="1">
      <c r="J2681" s="28">
        <f>IFERROR(VLOOKUP(TEXT(B2681,"0"),STOCK!A:H,7,0),1)</f>
        <v>1</v>
      </c>
    </row>
    <row r="2682" spans="10:10" ht="35.450000000000003" hidden="1" customHeight="1">
      <c r="J2682" s="28">
        <f>IFERROR(VLOOKUP(TEXT(B2682,"0"),STOCK!A:H,7,0),1)</f>
        <v>1</v>
      </c>
    </row>
    <row r="2683" spans="10:10" ht="35.450000000000003" hidden="1" customHeight="1">
      <c r="J2683" s="28">
        <f>IFERROR(VLOOKUP(TEXT(B2683,"0"),STOCK!A:H,7,0),1)</f>
        <v>1</v>
      </c>
    </row>
    <row r="2684" spans="10:10" ht="35.450000000000003" hidden="1" customHeight="1">
      <c r="J2684" s="28">
        <f>IFERROR(VLOOKUP(TEXT(B2684,"0"),STOCK!A:H,7,0),1)</f>
        <v>1</v>
      </c>
    </row>
    <row r="2685" spans="10:10" ht="35.450000000000003" hidden="1" customHeight="1">
      <c r="J2685" s="28">
        <f>IFERROR(VLOOKUP(TEXT(B2685,"0"),STOCK!A:H,7,0),1)</f>
        <v>1</v>
      </c>
    </row>
    <row r="2686" spans="10:10" ht="35.450000000000003" hidden="1" customHeight="1">
      <c r="J2686" s="28">
        <f>IFERROR(VLOOKUP(TEXT(B2686,"0"),STOCK!A:H,7,0),1)</f>
        <v>1</v>
      </c>
    </row>
    <row r="2687" spans="10:10" ht="35.450000000000003" hidden="1" customHeight="1">
      <c r="J2687" s="28">
        <f>IFERROR(VLOOKUP(TEXT(B2687,"0"),STOCK!A:H,7,0),1)</f>
        <v>1</v>
      </c>
    </row>
    <row r="2688" spans="10:10" ht="35.450000000000003" hidden="1" customHeight="1">
      <c r="J2688" s="28">
        <f>IFERROR(VLOOKUP(TEXT(B2688,"0"),STOCK!A:H,7,0),1)</f>
        <v>1</v>
      </c>
    </row>
    <row r="2689" spans="10:10" ht="35.450000000000003" hidden="1" customHeight="1">
      <c r="J2689" s="28">
        <f>IFERROR(VLOOKUP(TEXT(B2689,"0"),STOCK!A:H,7,0),1)</f>
        <v>1</v>
      </c>
    </row>
    <row r="2690" spans="10:10" ht="35.450000000000003" hidden="1" customHeight="1">
      <c r="J2690" s="28">
        <f>IFERROR(VLOOKUP(TEXT(B2690,"0"),STOCK!A:H,7,0),1)</f>
        <v>1</v>
      </c>
    </row>
    <row r="2691" spans="10:10" ht="35.450000000000003" hidden="1" customHeight="1">
      <c r="J2691" s="28">
        <f>IFERROR(VLOOKUP(TEXT(B2691,"0"),STOCK!A:H,7,0),1)</f>
        <v>1</v>
      </c>
    </row>
    <row r="2692" spans="10:10" ht="35.450000000000003" hidden="1" customHeight="1">
      <c r="J2692" s="28">
        <f>IFERROR(VLOOKUP(TEXT(B2692,"0"),STOCK!A:H,7,0),1)</f>
        <v>1</v>
      </c>
    </row>
    <row r="2693" spans="10:10" ht="35.450000000000003" hidden="1" customHeight="1">
      <c r="J2693" s="28">
        <f>IFERROR(VLOOKUP(TEXT(B2693,"0"),STOCK!A:H,7,0),1)</f>
        <v>1</v>
      </c>
    </row>
    <row r="2694" spans="10:10" ht="35.450000000000003" hidden="1" customHeight="1">
      <c r="J2694" s="28">
        <f>IFERROR(VLOOKUP(TEXT(B2694,"0"),STOCK!A:H,7,0),1)</f>
        <v>1</v>
      </c>
    </row>
    <row r="2695" spans="10:10" ht="35.450000000000003" hidden="1" customHeight="1">
      <c r="J2695" s="28">
        <f>IFERROR(VLOOKUP(TEXT(B2695,"0"),STOCK!A:H,7,0),1)</f>
        <v>1</v>
      </c>
    </row>
    <row r="2696" spans="10:10" ht="35.450000000000003" hidden="1" customHeight="1">
      <c r="J2696" s="28">
        <f>IFERROR(VLOOKUP(TEXT(B2696,"0"),STOCK!A:H,7,0),1)</f>
        <v>1</v>
      </c>
    </row>
    <row r="2697" spans="10:10" ht="35.450000000000003" hidden="1" customHeight="1">
      <c r="J2697" s="28">
        <f>IFERROR(VLOOKUP(TEXT(B2697,"0"),STOCK!A:H,7,0),1)</f>
        <v>1</v>
      </c>
    </row>
    <row r="2698" spans="10:10" ht="35.450000000000003" hidden="1" customHeight="1">
      <c r="J2698" s="28">
        <f>IFERROR(VLOOKUP(TEXT(B2698,"0"),STOCK!A:H,7,0),1)</f>
        <v>1</v>
      </c>
    </row>
    <row r="2699" spans="10:10" ht="35.450000000000003" hidden="1" customHeight="1">
      <c r="J2699" s="28">
        <f>IFERROR(VLOOKUP(TEXT(B2699,"0"),STOCK!A:H,7,0),1)</f>
        <v>1</v>
      </c>
    </row>
    <row r="2700" spans="10:10" ht="35.450000000000003" hidden="1" customHeight="1">
      <c r="J2700" s="28">
        <f>IFERROR(VLOOKUP(TEXT(B2700,"0"),STOCK!A:H,7,0),1)</f>
        <v>1</v>
      </c>
    </row>
    <row r="2701" spans="10:10" ht="35.450000000000003" hidden="1" customHeight="1">
      <c r="J2701" s="28">
        <f>IFERROR(VLOOKUP(TEXT(B2701,"0"),STOCK!A:H,7,0),1)</f>
        <v>1</v>
      </c>
    </row>
    <row r="2702" spans="10:10" ht="35.450000000000003" hidden="1" customHeight="1">
      <c r="J2702" s="28">
        <f>IFERROR(VLOOKUP(TEXT(B2702,"0"),STOCK!A:H,7,0),1)</f>
        <v>1</v>
      </c>
    </row>
    <row r="2703" spans="10:10" ht="35.450000000000003" hidden="1" customHeight="1">
      <c r="J2703" s="28">
        <f>IFERROR(VLOOKUP(TEXT(B2703,"0"),STOCK!A:H,7,0),1)</f>
        <v>1</v>
      </c>
    </row>
    <row r="2704" spans="10:10" ht="35.450000000000003" hidden="1" customHeight="1">
      <c r="J2704" s="28">
        <f>IFERROR(VLOOKUP(TEXT(B2704,"0"),STOCK!A:H,7,0),1)</f>
        <v>1</v>
      </c>
    </row>
    <row r="2705" spans="10:10" ht="35.450000000000003" hidden="1" customHeight="1">
      <c r="J2705" s="28">
        <f>IFERROR(VLOOKUP(TEXT(B2705,"0"),STOCK!A:H,7,0),1)</f>
        <v>1</v>
      </c>
    </row>
    <row r="2706" spans="10:10" ht="35.450000000000003" hidden="1" customHeight="1">
      <c r="J2706" s="28">
        <f>IFERROR(VLOOKUP(TEXT(B2706,"0"),STOCK!A:H,7,0),1)</f>
        <v>1</v>
      </c>
    </row>
    <row r="2707" spans="10:10" ht="35.450000000000003" hidden="1" customHeight="1">
      <c r="J2707" s="28">
        <f>IFERROR(VLOOKUP(TEXT(B2707,"0"),STOCK!A:H,7,0),1)</f>
        <v>1</v>
      </c>
    </row>
    <row r="2708" spans="10:10" ht="35.450000000000003" hidden="1" customHeight="1">
      <c r="J2708" s="28">
        <f>IFERROR(VLOOKUP(TEXT(B2708,"0"),STOCK!A:H,7,0),1)</f>
        <v>1</v>
      </c>
    </row>
    <row r="2709" spans="10:10" ht="35.450000000000003" hidden="1" customHeight="1">
      <c r="J2709" s="28">
        <f>IFERROR(VLOOKUP(TEXT(B2709,"0"),STOCK!A:H,7,0),1)</f>
        <v>1</v>
      </c>
    </row>
    <row r="2710" spans="10:10" ht="35.450000000000003" hidden="1" customHeight="1">
      <c r="J2710" s="28">
        <f>IFERROR(VLOOKUP(TEXT(B2710,"0"),STOCK!A:H,7,0),1)</f>
        <v>1</v>
      </c>
    </row>
    <row r="2711" spans="10:10" ht="35.450000000000003" hidden="1" customHeight="1">
      <c r="J2711" s="28">
        <f>IFERROR(VLOOKUP(TEXT(B2711,"0"),STOCK!A:H,7,0),1)</f>
        <v>1</v>
      </c>
    </row>
    <row r="2712" spans="10:10" ht="35.450000000000003" hidden="1" customHeight="1">
      <c r="J2712" s="28">
        <f>IFERROR(VLOOKUP(TEXT(B2712,"0"),STOCK!A:H,7,0),1)</f>
        <v>1</v>
      </c>
    </row>
    <row r="2713" spans="10:10" ht="35.450000000000003" hidden="1" customHeight="1">
      <c r="J2713" s="28">
        <f>IFERROR(VLOOKUP(TEXT(B2713,"0"),STOCK!A:H,7,0),1)</f>
        <v>1</v>
      </c>
    </row>
    <row r="2714" spans="10:10" ht="35.450000000000003" hidden="1" customHeight="1">
      <c r="J2714" s="28">
        <f>IFERROR(VLOOKUP(TEXT(B2714,"0"),STOCK!A:H,7,0),1)</f>
        <v>1</v>
      </c>
    </row>
    <row r="2715" spans="10:10" ht="35.450000000000003" hidden="1" customHeight="1">
      <c r="J2715" s="28">
        <f>IFERROR(VLOOKUP(TEXT(B2715,"0"),STOCK!A:H,7,0),1)</f>
        <v>1</v>
      </c>
    </row>
    <row r="2716" spans="10:10" ht="35.450000000000003" hidden="1" customHeight="1">
      <c r="J2716" s="28">
        <f>IFERROR(VLOOKUP(TEXT(B2716,"0"),STOCK!A:H,7,0),1)</f>
        <v>1</v>
      </c>
    </row>
    <row r="2717" spans="10:10" ht="35.450000000000003" hidden="1" customHeight="1">
      <c r="J2717" s="28">
        <f>IFERROR(VLOOKUP(TEXT(B2717,"0"),STOCK!A:H,7,0),1)</f>
        <v>1</v>
      </c>
    </row>
    <row r="2718" spans="10:10" ht="35.450000000000003" hidden="1" customHeight="1">
      <c r="J2718" s="28">
        <f>IFERROR(VLOOKUP(TEXT(B2718,"0"),STOCK!A:H,7,0),1)</f>
        <v>1</v>
      </c>
    </row>
    <row r="2719" spans="10:10" ht="35.450000000000003" hidden="1" customHeight="1">
      <c r="J2719" s="28">
        <f>IFERROR(VLOOKUP(TEXT(B2719,"0"),STOCK!A:H,7,0),1)</f>
        <v>1</v>
      </c>
    </row>
    <row r="2720" spans="10:10" ht="35.450000000000003" hidden="1" customHeight="1">
      <c r="J2720" s="28">
        <f>IFERROR(VLOOKUP(TEXT(B2720,"0"),STOCK!A:H,7,0),1)</f>
        <v>1</v>
      </c>
    </row>
    <row r="2721" spans="10:10" ht="35.450000000000003" hidden="1" customHeight="1">
      <c r="J2721" s="28">
        <f>IFERROR(VLOOKUP(TEXT(B2721,"0"),STOCK!A:H,7,0),1)</f>
        <v>1</v>
      </c>
    </row>
    <row r="2722" spans="10:10" ht="35.450000000000003" hidden="1" customHeight="1">
      <c r="J2722" s="28">
        <f>IFERROR(VLOOKUP(TEXT(B2722,"0"),STOCK!A:H,7,0),1)</f>
        <v>1</v>
      </c>
    </row>
    <row r="2723" spans="10:10" ht="35.450000000000003" hidden="1" customHeight="1">
      <c r="J2723" s="28">
        <f>IFERROR(VLOOKUP(TEXT(B2723,"0"),STOCK!A:H,7,0),1)</f>
        <v>1</v>
      </c>
    </row>
    <row r="2724" spans="10:10" ht="35.450000000000003" hidden="1" customHeight="1">
      <c r="J2724" s="28">
        <f>IFERROR(VLOOKUP(TEXT(B2724,"0"),STOCK!A:H,7,0),1)</f>
        <v>1</v>
      </c>
    </row>
    <row r="2725" spans="10:10" ht="35.450000000000003" hidden="1" customHeight="1">
      <c r="J2725" s="28">
        <f>IFERROR(VLOOKUP(TEXT(B2725,"0"),STOCK!A:H,7,0),1)</f>
        <v>1</v>
      </c>
    </row>
    <row r="2726" spans="10:10" ht="35.450000000000003" hidden="1" customHeight="1">
      <c r="J2726" s="28">
        <f>IFERROR(VLOOKUP(TEXT(B2726,"0"),STOCK!A:H,7,0),1)</f>
        <v>1</v>
      </c>
    </row>
    <row r="2727" spans="10:10" ht="35.450000000000003" hidden="1" customHeight="1">
      <c r="J2727" s="28">
        <f>IFERROR(VLOOKUP(TEXT(B2727,"0"),STOCK!A:H,7,0),1)</f>
        <v>1</v>
      </c>
    </row>
    <row r="2728" spans="10:10" ht="35.450000000000003" hidden="1" customHeight="1">
      <c r="J2728" s="28">
        <f>IFERROR(VLOOKUP(TEXT(B2728,"0"),STOCK!A:H,7,0),1)</f>
        <v>1</v>
      </c>
    </row>
    <row r="2729" spans="10:10" ht="35.450000000000003" hidden="1" customHeight="1">
      <c r="J2729" s="28">
        <f>IFERROR(VLOOKUP(TEXT(B2729,"0"),STOCK!A:H,7,0),1)</f>
        <v>1</v>
      </c>
    </row>
    <row r="2730" spans="10:10" ht="35.450000000000003" hidden="1" customHeight="1">
      <c r="J2730" s="28">
        <f>IFERROR(VLOOKUP(TEXT(B2730,"0"),STOCK!A:H,7,0),1)</f>
        <v>1</v>
      </c>
    </row>
    <row r="2731" spans="10:10" ht="35.450000000000003" hidden="1" customHeight="1">
      <c r="J2731" s="28">
        <f>IFERROR(VLOOKUP(TEXT(B2731,"0"),STOCK!A:H,7,0),1)</f>
        <v>1</v>
      </c>
    </row>
    <row r="2732" spans="10:10" ht="35.450000000000003" hidden="1" customHeight="1">
      <c r="J2732" s="28">
        <f>IFERROR(VLOOKUP(TEXT(B2732,"0"),STOCK!A:H,7,0),1)</f>
        <v>1</v>
      </c>
    </row>
    <row r="2733" spans="10:10" ht="35.450000000000003" hidden="1" customHeight="1">
      <c r="J2733" s="28">
        <f>IFERROR(VLOOKUP(TEXT(B2733,"0"),STOCK!A:H,7,0),1)</f>
        <v>1</v>
      </c>
    </row>
    <row r="2734" spans="10:10" ht="35.450000000000003" hidden="1" customHeight="1">
      <c r="J2734" s="28">
        <f>IFERROR(VLOOKUP(TEXT(B2734,"0"),STOCK!A:H,7,0),1)</f>
        <v>1</v>
      </c>
    </row>
    <row r="2735" spans="10:10" ht="35.450000000000003" hidden="1" customHeight="1">
      <c r="J2735" s="28">
        <f>IFERROR(VLOOKUP(TEXT(B2735,"0"),STOCK!A:H,7,0),1)</f>
        <v>1</v>
      </c>
    </row>
    <row r="2736" spans="10:10" ht="35.450000000000003" hidden="1" customHeight="1">
      <c r="J2736" s="28">
        <f>IFERROR(VLOOKUP(TEXT(B2736,"0"),STOCK!A:H,7,0),1)</f>
        <v>1</v>
      </c>
    </row>
    <row r="2737" spans="10:10" ht="35.450000000000003" hidden="1" customHeight="1">
      <c r="J2737" s="28">
        <f>IFERROR(VLOOKUP(TEXT(B2737,"0"),STOCK!A:H,7,0),1)</f>
        <v>1</v>
      </c>
    </row>
    <row r="2738" spans="10:10" ht="35.450000000000003" hidden="1" customHeight="1">
      <c r="J2738" s="28">
        <f>IFERROR(VLOOKUP(TEXT(B2738,"0"),STOCK!A:H,7,0),1)</f>
        <v>1</v>
      </c>
    </row>
    <row r="2739" spans="10:10" ht="35.450000000000003" hidden="1" customHeight="1">
      <c r="J2739" s="28">
        <f>IFERROR(VLOOKUP(TEXT(B2739,"0"),STOCK!A:H,7,0),1)</f>
        <v>1</v>
      </c>
    </row>
    <row r="2740" spans="10:10" ht="35.450000000000003" hidden="1" customHeight="1">
      <c r="J2740" s="28">
        <f>IFERROR(VLOOKUP(TEXT(B2740,"0"),STOCK!A:H,7,0),1)</f>
        <v>1</v>
      </c>
    </row>
    <row r="2741" spans="10:10" ht="35.450000000000003" hidden="1" customHeight="1">
      <c r="J2741" s="28">
        <f>IFERROR(VLOOKUP(TEXT(B2741,"0"),STOCK!A:H,7,0),1)</f>
        <v>1</v>
      </c>
    </row>
    <row r="2742" spans="10:10" ht="35.450000000000003" hidden="1" customHeight="1">
      <c r="J2742" s="28">
        <f>IFERROR(VLOOKUP(TEXT(B2742,"0"),STOCK!A:H,7,0),1)</f>
        <v>1</v>
      </c>
    </row>
    <row r="2743" spans="10:10" ht="35.450000000000003" hidden="1" customHeight="1">
      <c r="J2743" s="28">
        <f>IFERROR(VLOOKUP(TEXT(B2743,"0"),STOCK!A:H,7,0),1)</f>
        <v>1</v>
      </c>
    </row>
    <row r="2744" spans="10:10" ht="35.450000000000003" hidden="1" customHeight="1">
      <c r="J2744" s="28">
        <f>IFERROR(VLOOKUP(TEXT(B2744,"0"),STOCK!A:H,7,0),1)</f>
        <v>1</v>
      </c>
    </row>
    <row r="2745" spans="10:10" ht="35.450000000000003" hidden="1" customHeight="1">
      <c r="J2745" s="28">
        <f>IFERROR(VLOOKUP(TEXT(B2745,"0"),STOCK!A:H,7,0),1)</f>
        <v>1</v>
      </c>
    </row>
    <row r="2746" spans="10:10" ht="35.450000000000003" hidden="1" customHeight="1">
      <c r="J2746" s="28">
        <f>IFERROR(VLOOKUP(TEXT(B2746,"0"),STOCK!A:H,7,0),1)</f>
        <v>1</v>
      </c>
    </row>
    <row r="2747" spans="10:10" ht="35.450000000000003" hidden="1" customHeight="1">
      <c r="J2747" s="28">
        <f>IFERROR(VLOOKUP(TEXT(B2747,"0"),STOCK!A:H,7,0),1)</f>
        <v>1</v>
      </c>
    </row>
    <row r="2748" spans="10:10" ht="35.450000000000003" hidden="1" customHeight="1">
      <c r="J2748" s="28">
        <f>IFERROR(VLOOKUP(TEXT(B2748,"0"),STOCK!A:H,7,0),1)</f>
        <v>1</v>
      </c>
    </row>
    <row r="2749" spans="10:10" ht="35.450000000000003" hidden="1" customHeight="1">
      <c r="J2749" s="28">
        <f>IFERROR(VLOOKUP(TEXT(B2749,"0"),STOCK!A:H,7,0),1)</f>
        <v>1</v>
      </c>
    </row>
    <row r="2750" spans="10:10" ht="35.450000000000003" hidden="1" customHeight="1">
      <c r="J2750" s="28">
        <f>IFERROR(VLOOKUP(TEXT(B2750,"0"),STOCK!A:H,7,0),1)</f>
        <v>1</v>
      </c>
    </row>
    <row r="2751" spans="10:10" ht="35.450000000000003" hidden="1" customHeight="1">
      <c r="J2751" s="28">
        <f>IFERROR(VLOOKUP(TEXT(B2751,"0"),STOCK!A:H,7,0),1)</f>
        <v>1</v>
      </c>
    </row>
    <row r="2752" spans="10:10" ht="35.450000000000003" hidden="1" customHeight="1">
      <c r="J2752" s="28">
        <f>IFERROR(VLOOKUP(TEXT(B2752,"0"),STOCK!A:H,7,0),1)</f>
        <v>1</v>
      </c>
    </row>
    <row r="2753" spans="10:10" ht="35.450000000000003" hidden="1" customHeight="1">
      <c r="J2753" s="28">
        <f>IFERROR(VLOOKUP(TEXT(B2753,"0"),STOCK!A:H,7,0),1)</f>
        <v>1</v>
      </c>
    </row>
    <row r="2754" spans="10:10" ht="35.450000000000003" hidden="1" customHeight="1">
      <c r="J2754" s="28">
        <f>IFERROR(VLOOKUP(TEXT(B2754,"0"),STOCK!A:H,7,0),1)</f>
        <v>1</v>
      </c>
    </row>
    <row r="2755" spans="10:10" ht="35.450000000000003" hidden="1" customHeight="1">
      <c r="J2755" s="28">
        <f>IFERROR(VLOOKUP(TEXT(B2755,"0"),STOCK!A:H,7,0),1)</f>
        <v>1</v>
      </c>
    </row>
    <row r="2756" spans="10:10" ht="35.450000000000003" hidden="1" customHeight="1">
      <c r="J2756" s="28">
        <f>IFERROR(VLOOKUP(TEXT(B2756,"0"),STOCK!A:H,7,0),1)</f>
        <v>1</v>
      </c>
    </row>
    <row r="2757" spans="10:10" ht="35.450000000000003" hidden="1" customHeight="1">
      <c r="J2757" s="28">
        <f>IFERROR(VLOOKUP(TEXT(B2757,"0"),STOCK!A:H,7,0),1)</f>
        <v>1</v>
      </c>
    </row>
    <row r="2758" spans="10:10" ht="35.450000000000003" hidden="1" customHeight="1">
      <c r="J2758" s="28">
        <f>IFERROR(VLOOKUP(TEXT(B2758,"0"),STOCK!A:H,7,0),1)</f>
        <v>1</v>
      </c>
    </row>
    <row r="2759" spans="10:10" ht="35.450000000000003" hidden="1" customHeight="1">
      <c r="J2759" s="28">
        <f>IFERROR(VLOOKUP(TEXT(B2759,"0"),STOCK!A:H,7,0),1)</f>
        <v>1</v>
      </c>
    </row>
    <row r="2760" spans="10:10" ht="35.450000000000003" hidden="1" customHeight="1">
      <c r="J2760" s="28">
        <f>IFERROR(VLOOKUP(TEXT(B2760,"0"),STOCK!A:H,7,0),1)</f>
        <v>1</v>
      </c>
    </row>
    <row r="2761" spans="10:10" ht="35.450000000000003" hidden="1" customHeight="1">
      <c r="J2761" s="28">
        <f>IFERROR(VLOOKUP(TEXT(B2761,"0"),STOCK!A:H,7,0),1)</f>
        <v>1</v>
      </c>
    </row>
    <row r="2762" spans="10:10" ht="35.450000000000003" hidden="1" customHeight="1">
      <c r="J2762" s="28">
        <f>IFERROR(VLOOKUP(TEXT(B2762,"0"),STOCK!A:H,7,0),1)</f>
        <v>1</v>
      </c>
    </row>
    <row r="2763" spans="10:10" ht="35.450000000000003" hidden="1" customHeight="1">
      <c r="J2763" s="28">
        <f>IFERROR(VLOOKUP(TEXT(B2763,"0"),STOCK!A:H,7,0),1)</f>
        <v>1</v>
      </c>
    </row>
    <row r="2764" spans="10:10" ht="35.450000000000003" hidden="1" customHeight="1">
      <c r="J2764" s="28">
        <f>IFERROR(VLOOKUP(TEXT(B2764,"0"),STOCK!A:H,7,0),1)</f>
        <v>1</v>
      </c>
    </row>
    <row r="2765" spans="10:10" ht="35.450000000000003" hidden="1" customHeight="1">
      <c r="J2765" s="28">
        <f>IFERROR(VLOOKUP(TEXT(B2765,"0"),STOCK!A:H,7,0),1)</f>
        <v>1</v>
      </c>
    </row>
    <row r="2766" spans="10:10" ht="35.450000000000003" hidden="1" customHeight="1">
      <c r="J2766" s="28">
        <f>IFERROR(VLOOKUP(TEXT(B2766,"0"),STOCK!A:H,7,0),1)</f>
        <v>1</v>
      </c>
    </row>
    <row r="2767" spans="10:10" ht="35.450000000000003" hidden="1" customHeight="1">
      <c r="J2767" s="28">
        <f>IFERROR(VLOOKUP(TEXT(B2767,"0"),STOCK!A:H,7,0),1)</f>
        <v>1</v>
      </c>
    </row>
    <row r="2768" spans="10:10" ht="35.450000000000003" hidden="1" customHeight="1">
      <c r="J2768" s="28">
        <f>IFERROR(VLOOKUP(TEXT(B2768,"0"),STOCK!A:H,7,0),1)</f>
        <v>1</v>
      </c>
    </row>
    <row r="2769" spans="10:10" ht="35.450000000000003" hidden="1" customHeight="1">
      <c r="J2769" s="28">
        <f>IFERROR(VLOOKUP(TEXT(B2769,"0"),STOCK!A:H,7,0),1)</f>
        <v>1</v>
      </c>
    </row>
    <row r="2770" spans="10:10" ht="35.450000000000003" hidden="1" customHeight="1">
      <c r="J2770" s="28">
        <f>IFERROR(VLOOKUP(TEXT(B2770,"0"),STOCK!A:H,7,0),1)</f>
        <v>1</v>
      </c>
    </row>
    <row r="2771" spans="10:10" ht="35.450000000000003" hidden="1" customHeight="1">
      <c r="J2771" s="28">
        <f>IFERROR(VLOOKUP(TEXT(B2771,"0"),STOCK!A:H,7,0),1)</f>
        <v>1</v>
      </c>
    </row>
    <row r="2772" spans="10:10" ht="35.450000000000003" hidden="1" customHeight="1">
      <c r="J2772" s="28">
        <f>IFERROR(VLOOKUP(TEXT(B2772,"0"),STOCK!A:H,7,0),1)</f>
        <v>1</v>
      </c>
    </row>
    <row r="2773" spans="10:10" ht="35.450000000000003" hidden="1" customHeight="1">
      <c r="J2773" s="28">
        <f>IFERROR(VLOOKUP(TEXT(B2773,"0"),STOCK!A:H,7,0),1)</f>
        <v>1</v>
      </c>
    </row>
    <row r="2774" spans="10:10" ht="35.450000000000003" hidden="1" customHeight="1">
      <c r="J2774" s="28">
        <f>IFERROR(VLOOKUP(TEXT(B2774,"0"),STOCK!A:H,7,0),1)</f>
        <v>1</v>
      </c>
    </row>
    <row r="2775" spans="10:10" ht="35.450000000000003" hidden="1" customHeight="1">
      <c r="J2775" s="28">
        <f>IFERROR(VLOOKUP(TEXT(B2775,"0"),STOCK!A:H,7,0),1)</f>
        <v>1</v>
      </c>
    </row>
    <row r="2776" spans="10:10" ht="35.450000000000003" hidden="1" customHeight="1">
      <c r="J2776" s="28">
        <f>IFERROR(VLOOKUP(TEXT(B2776,"0"),STOCK!A:H,7,0),1)</f>
        <v>1</v>
      </c>
    </row>
    <row r="2777" spans="10:10" ht="35.450000000000003" hidden="1" customHeight="1">
      <c r="J2777" s="28">
        <f>IFERROR(VLOOKUP(TEXT(B2777,"0"),STOCK!A:H,7,0),1)</f>
        <v>1</v>
      </c>
    </row>
    <row r="2778" spans="10:10" ht="35.450000000000003" hidden="1" customHeight="1">
      <c r="J2778" s="28">
        <f>IFERROR(VLOOKUP(TEXT(B2778,"0"),STOCK!A:H,7,0),1)</f>
        <v>1</v>
      </c>
    </row>
    <row r="2779" spans="10:10" ht="35.450000000000003" hidden="1" customHeight="1">
      <c r="J2779" s="28">
        <f>IFERROR(VLOOKUP(TEXT(B2779,"0"),STOCK!A:H,7,0),1)</f>
        <v>1</v>
      </c>
    </row>
    <row r="2780" spans="10:10" ht="35.450000000000003" hidden="1" customHeight="1">
      <c r="J2780" s="28">
        <f>IFERROR(VLOOKUP(TEXT(B2780,"0"),STOCK!A:H,7,0),1)</f>
        <v>1</v>
      </c>
    </row>
    <row r="2781" spans="10:10" ht="35.450000000000003" hidden="1" customHeight="1">
      <c r="J2781" s="28">
        <f>IFERROR(VLOOKUP(TEXT(B2781,"0"),STOCK!A:H,7,0),1)</f>
        <v>1</v>
      </c>
    </row>
    <row r="2782" spans="10:10" ht="35.450000000000003" hidden="1" customHeight="1">
      <c r="J2782" s="28">
        <f>IFERROR(VLOOKUP(TEXT(B2782,"0"),STOCK!A:H,7,0),1)</f>
        <v>1</v>
      </c>
    </row>
    <row r="2783" spans="10:10" ht="35.450000000000003" hidden="1" customHeight="1">
      <c r="J2783" s="28">
        <f>IFERROR(VLOOKUP(TEXT(B2783,"0"),STOCK!A:H,7,0),1)</f>
        <v>1</v>
      </c>
    </row>
    <row r="2784" spans="10:10" ht="35.450000000000003" hidden="1" customHeight="1">
      <c r="J2784" s="28">
        <f>IFERROR(VLOOKUP(TEXT(B2784,"0"),STOCK!A:H,7,0),1)</f>
        <v>1</v>
      </c>
    </row>
    <row r="2785" spans="10:10" ht="35.450000000000003" hidden="1" customHeight="1">
      <c r="J2785" s="28">
        <f>IFERROR(VLOOKUP(TEXT(B2785,"0"),STOCK!A:H,7,0),1)</f>
        <v>1</v>
      </c>
    </row>
    <row r="2786" spans="10:10" ht="35.450000000000003" hidden="1" customHeight="1">
      <c r="J2786" s="28">
        <f>IFERROR(VLOOKUP(TEXT(B2786,"0"),STOCK!A:H,7,0),1)</f>
        <v>1</v>
      </c>
    </row>
    <row r="2787" spans="10:10" ht="35.450000000000003" hidden="1" customHeight="1">
      <c r="J2787" s="28">
        <f>IFERROR(VLOOKUP(TEXT(B2787,"0"),STOCK!A:H,7,0),1)</f>
        <v>1</v>
      </c>
    </row>
    <row r="2788" spans="10:10" ht="35.450000000000003" hidden="1" customHeight="1">
      <c r="J2788" s="28">
        <f>IFERROR(VLOOKUP(TEXT(B2788,"0"),STOCK!A:H,7,0),1)</f>
        <v>1</v>
      </c>
    </row>
    <row r="2789" spans="10:10" ht="35.450000000000003" hidden="1" customHeight="1">
      <c r="J2789" s="28">
        <f>IFERROR(VLOOKUP(TEXT(B2789,"0"),STOCK!A:H,7,0),1)</f>
        <v>1</v>
      </c>
    </row>
    <row r="2790" spans="10:10" ht="35.450000000000003" hidden="1" customHeight="1">
      <c r="J2790" s="28">
        <f>IFERROR(VLOOKUP(TEXT(B2790,"0"),STOCK!A:H,7,0),1)</f>
        <v>1</v>
      </c>
    </row>
    <row r="2791" spans="10:10" ht="35.450000000000003" hidden="1" customHeight="1">
      <c r="J2791" s="28">
        <f>IFERROR(VLOOKUP(TEXT(B2791,"0"),STOCK!A:H,7,0),1)</f>
        <v>1</v>
      </c>
    </row>
    <row r="2792" spans="10:10" ht="35.450000000000003" hidden="1" customHeight="1">
      <c r="J2792" s="28">
        <f>IFERROR(VLOOKUP(TEXT(B2792,"0"),STOCK!A:H,7,0),1)</f>
        <v>1</v>
      </c>
    </row>
    <row r="2793" spans="10:10" ht="35.450000000000003" hidden="1" customHeight="1">
      <c r="J2793" s="28">
        <f>IFERROR(VLOOKUP(TEXT(B2793,"0"),STOCK!A:H,7,0),1)</f>
        <v>1</v>
      </c>
    </row>
    <row r="2794" spans="10:10" ht="35.450000000000003" hidden="1" customHeight="1">
      <c r="J2794" s="28">
        <f>IFERROR(VLOOKUP(TEXT(B2794,"0"),STOCK!A:H,7,0),1)</f>
        <v>1</v>
      </c>
    </row>
    <row r="2795" spans="10:10" ht="35.450000000000003" hidden="1" customHeight="1">
      <c r="J2795" s="28">
        <f>IFERROR(VLOOKUP(TEXT(B2795,"0"),STOCK!A:H,7,0),1)</f>
        <v>1</v>
      </c>
    </row>
    <row r="2796" spans="10:10" ht="35.450000000000003" hidden="1" customHeight="1">
      <c r="J2796" s="28">
        <f>IFERROR(VLOOKUP(TEXT(B2796,"0"),STOCK!A:H,7,0),1)</f>
        <v>1</v>
      </c>
    </row>
    <row r="2797" spans="10:10" ht="35.450000000000003" hidden="1" customHeight="1">
      <c r="J2797" s="28">
        <f>IFERROR(VLOOKUP(TEXT(B2797,"0"),STOCK!A:H,7,0),1)</f>
        <v>1</v>
      </c>
    </row>
    <row r="2798" spans="10:10" ht="35.450000000000003" hidden="1" customHeight="1">
      <c r="J2798" s="28">
        <f>IFERROR(VLOOKUP(TEXT(B2798,"0"),STOCK!A:H,7,0),1)</f>
        <v>1</v>
      </c>
    </row>
    <row r="2799" spans="10:10" ht="35.450000000000003" hidden="1" customHeight="1">
      <c r="J2799" s="28">
        <f>IFERROR(VLOOKUP(TEXT(B2799,"0"),STOCK!A:H,7,0),1)</f>
        <v>1</v>
      </c>
    </row>
    <row r="2800" spans="10:10" ht="35.450000000000003" hidden="1" customHeight="1">
      <c r="J2800" s="28">
        <f>IFERROR(VLOOKUP(TEXT(B2800,"0"),STOCK!A:H,7,0),1)</f>
        <v>1</v>
      </c>
    </row>
    <row r="2801" spans="10:10" ht="35.450000000000003" hidden="1" customHeight="1">
      <c r="J2801" s="28">
        <f>IFERROR(VLOOKUP(TEXT(B2801,"0"),STOCK!A:H,7,0),1)</f>
        <v>1</v>
      </c>
    </row>
    <row r="2802" spans="10:10" ht="35.450000000000003" hidden="1" customHeight="1">
      <c r="J2802" s="28">
        <f>IFERROR(VLOOKUP(TEXT(B2802,"0"),STOCK!A:H,7,0),1)</f>
        <v>1</v>
      </c>
    </row>
    <row r="2803" spans="10:10" ht="35.450000000000003" hidden="1" customHeight="1">
      <c r="J2803" s="28">
        <f>IFERROR(VLOOKUP(TEXT(B2803,"0"),STOCK!A:H,7,0),1)</f>
        <v>1</v>
      </c>
    </row>
    <row r="2804" spans="10:10" ht="35.450000000000003" hidden="1" customHeight="1">
      <c r="J2804" s="28">
        <f>IFERROR(VLOOKUP(TEXT(B2804,"0"),STOCK!A:H,7,0),1)</f>
        <v>1</v>
      </c>
    </row>
    <row r="2805" spans="10:10" ht="35.450000000000003" hidden="1" customHeight="1">
      <c r="J2805" s="28">
        <f>IFERROR(VLOOKUP(TEXT(B2805,"0"),STOCK!A:H,7,0),1)</f>
        <v>1</v>
      </c>
    </row>
    <row r="2806" spans="10:10" ht="35.450000000000003" hidden="1" customHeight="1">
      <c r="J2806" s="28">
        <f>IFERROR(VLOOKUP(TEXT(B2806,"0"),STOCK!A:H,7,0),1)</f>
        <v>1</v>
      </c>
    </row>
    <row r="2807" spans="10:10" ht="35.450000000000003" hidden="1" customHeight="1">
      <c r="J2807" s="28">
        <f>IFERROR(VLOOKUP(TEXT(B2807,"0"),STOCK!A:H,7,0),1)</f>
        <v>1</v>
      </c>
    </row>
    <row r="2808" spans="10:10" ht="35.450000000000003" hidden="1" customHeight="1">
      <c r="J2808" s="28">
        <f>IFERROR(VLOOKUP(TEXT(B2808,"0"),STOCK!A:H,7,0),1)</f>
        <v>1</v>
      </c>
    </row>
    <row r="2809" spans="10:10" ht="35.450000000000003" hidden="1" customHeight="1">
      <c r="J2809" s="28">
        <f>IFERROR(VLOOKUP(TEXT(B2809,"0"),STOCK!A:H,7,0),1)</f>
        <v>1</v>
      </c>
    </row>
    <row r="2810" spans="10:10" ht="35.450000000000003" hidden="1" customHeight="1">
      <c r="J2810" s="28">
        <f>IFERROR(VLOOKUP(TEXT(B2810,"0"),STOCK!A:H,7,0),1)</f>
        <v>1</v>
      </c>
    </row>
    <row r="2811" spans="10:10" ht="35.450000000000003" hidden="1" customHeight="1">
      <c r="J2811" s="28">
        <f>IFERROR(VLOOKUP(TEXT(B2811,"0"),STOCK!A:H,7,0),1)</f>
        <v>1</v>
      </c>
    </row>
    <row r="2812" spans="10:10" ht="35.450000000000003" hidden="1" customHeight="1">
      <c r="J2812" s="28">
        <f>IFERROR(VLOOKUP(TEXT(B2812,"0"),STOCK!A:H,7,0),1)</f>
        <v>1</v>
      </c>
    </row>
    <row r="2813" spans="10:10" ht="35.450000000000003" hidden="1" customHeight="1">
      <c r="J2813" s="28">
        <f>IFERROR(VLOOKUP(TEXT(B2813,"0"),STOCK!A:H,7,0),1)</f>
        <v>1</v>
      </c>
    </row>
    <row r="2814" spans="10:10" ht="35.450000000000003" hidden="1" customHeight="1">
      <c r="J2814" s="28">
        <f>IFERROR(VLOOKUP(TEXT(B2814,"0"),STOCK!A:H,7,0),1)</f>
        <v>1</v>
      </c>
    </row>
    <row r="2815" spans="10:10" ht="35.450000000000003" hidden="1" customHeight="1">
      <c r="J2815" s="28">
        <f>IFERROR(VLOOKUP(TEXT(B2815,"0"),STOCK!A:H,7,0),1)</f>
        <v>1</v>
      </c>
    </row>
    <row r="2816" spans="10:10" ht="35.450000000000003" hidden="1" customHeight="1">
      <c r="J2816" s="28">
        <f>IFERROR(VLOOKUP(TEXT(B2816,"0"),STOCK!A:H,7,0),1)</f>
        <v>1</v>
      </c>
    </row>
    <row r="2817" spans="10:10" ht="35.450000000000003" hidden="1" customHeight="1">
      <c r="J2817" s="28">
        <f>IFERROR(VLOOKUP(TEXT(B2817,"0"),STOCK!A:H,7,0),1)</f>
        <v>1</v>
      </c>
    </row>
    <row r="2818" spans="10:10" ht="35.450000000000003" hidden="1" customHeight="1">
      <c r="J2818" s="28">
        <f>IFERROR(VLOOKUP(TEXT(B2818,"0"),STOCK!A:H,7,0),1)</f>
        <v>1</v>
      </c>
    </row>
    <row r="2819" spans="10:10" ht="35.450000000000003" hidden="1" customHeight="1">
      <c r="J2819" s="28">
        <f>IFERROR(VLOOKUP(TEXT(B2819,"0"),STOCK!A:H,7,0),1)</f>
        <v>1</v>
      </c>
    </row>
    <row r="2820" spans="10:10" ht="35.450000000000003" hidden="1" customHeight="1">
      <c r="J2820" s="28">
        <f>IFERROR(VLOOKUP(TEXT(B2820,"0"),STOCK!A:H,7,0),1)</f>
        <v>1</v>
      </c>
    </row>
    <row r="2821" spans="10:10" ht="35.450000000000003" hidden="1" customHeight="1">
      <c r="J2821" s="28">
        <f>IFERROR(VLOOKUP(TEXT(B2821,"0"),STOCK!A:H,7,0),1)</f>
        <v>1</v>
      </c>
    </row>
    <row r="2822" spans="10:10" ht="35.450000000000003" hidden="1" customHeight="1">
      <c r="J2822" s="28">
        <f>IFERROR(VLOOKUP(TEXT(B2822,"0"),STOCK!A:H,7,0),1)</f>
        <v>1</v>
      </c>
    </row>
    <row r="2823" spans="10:10" ht="35.450000000000003" hidden="1" customHeight="1">
      <c r="J2823" s="28">
        <f>IFERROR(VLOOKUP(TEXT(B2823,"0"),STOCK!A:H,7,0),1)</f>
        <v>1</v>
      </c>
    </row>
    <row r="2824" spans="10:10" ht="35.450000000000003" hidden="1" customHeight="1">
      <c r="J2824" s="28">
        <f>IFERROR(VLOOKUP(TEXT(B2824,"0"),STOCK!A:H,7,0),1)</f>
        <v>1</v>
      </c>
    </row>
    <row r="2825" spans="10:10" ht="35.450000000000003" hidden="1" customHeight="1">
      <c r="J2825" s="28">
        <f>IFERROR(VLOOKUP(TEXT(B2825,"0"),STOCK!A:H,7,0),1)</f>
        <v>1</v>
      </c>
    </row>
    <row r="2826" spans="10:10" ht="35.450000000000003" hidden="1" customHeight="1">
      <c r="J2826" s="28">
        <f>IFERROR(VLOOKUP(TEXT(B2826,"0"),STOCK!A:H,7,0),1)</f>
        <v>1</v>
      </c>
    </row>
    <row r="2827" spans="10:10" ht="35.450000000000003" hidden="1" customHeight="1">
      <c r="J2827" s="28">
        <f>IFERROR(VLOOKUP(TEXT(B2827,"0"),STOCK!A:H,7,0),1)</f>
        <v>1</v>
      </c>
    </row>
    <row r="2828" spans="10:10" ht="35.450000000000003" hidden="1" customHeight="1">
      <c r="J2828" s="28">
        <f>IFERROR(VLOOKUP(TEXT(B2828,"0"),STOCK!A:H,7,0),1)</f>
        <v>1</v>
      </c>
    </row>
    <row r="2829" spans="10:10" ht="35.450000000000003" hidden="1" customHeight="1">
      <c r="J2829" s="28">
        <f>IFERROR(VLOOKUP(TEXT(B2829,"0"),STOCK!A:H,7,0),1)</f>
        <v>1</v>
      </c>
    </row>
    <row r="2830" spans="10:10" ht="35.450000000000003" hidden="1" customHeight="1">
      <c r="J2830" s="28">
        <f>IFERROR(VLOOKUP(TEXT(B2830,"0"),STOCK!A:H,7,0),1)</f>
        <v>1</v>
      </c>
    </row>
    <row r="2831" spans="10:10" ht="35.450000000000003" hidden="1" customHeight="1">
      <c r="J2831" s="28">
        <f>IFERROR(VLOOKUP(TEXT(B2831,"0"),STOCK!A:H,7,0),1)</f>
        <v>1</v>
      </c>
    </row>
    <row r="2832" spans="10:10" ht="35.450000000000003" hidden="1" customHeight="1">
      <c r="J2832" s="28">
        <f>IFERROR(VLOOKUP(TEXT(B2832,"0"),STOCK!A:H,7,0),1)</f>
        <v>1</v>
      </c>
    </row>
    <row r="2833" spans="10:10" ht="35.450000000000003" hidden="1" customHeight="1">
      <c r="J2833" s="28">
        <f>IFERROR(VLOOKUP(TEXT(B2833,"0"),STOCK!A:H,7,0),1)</f>
        <v>1</v>
      </c>
    </row>
    <row r="2834" spans="10:10" ht="35.450000000000003" hidden="1" customHeight="1">
      <c r="J2834" s="28">
        <f>IFERROR(VLOOKUP(TEXT(B2834,"0"),STOCK!A:H,7,0),1)</f>
        <v>1</v>
      </c>
    </row>
    <row r="2835" spans="10:10" ht="35.450000000000003" hidden="1" customHeight="1">
      <c r="J2835" s="28">
        <f>IFERROR(VLOOKUP(TEXT(B2835,"0"),STOCK!A:H,7,0),1)</f>
        <v>1</v>
      </c>
    </row>
    <row r="2836" spans="10:10" ht="35.450000000000003" hidden="1" customHeight="1">
      <c r="J2836" s="28">
        <f>IFERROR(VLOOKUP(TEXT(B2836,"0"),STOCK!A:H,7,0),1)</f>
        <v>1</v>
      </c>
    </row>
    <row r="2837" spans="10:10" ht="35.450000000000003" hidden="1" customHeight="1">
      <c r="J2837" s="28">
        <f>IFERROR(VLOOKUP(TEXT(B2837,"0"),STOCK!A:H,7,0),1)</f>
        <v>1</v>
      </c>
    </row>
    <row r="2838" spans="10:10" ht="35.450000000000003" hidden="1" customHeight="1">
      <c r="J2838" s="28">
        <f>IFERROR(VLOOKUP(TEXT(B2838,"0"),STOCK!A:H,7,0),1)</f>
        <v>1</v>
      </c>
    </row>
    <row r="2839" spans="10:10" ht="35.450000000000003" hidden="1" customHeight="1">
      <c r="J2839" s="28">
        <f>IFERROR(VLOOKUP(TEXT(B2839,"0"),STOCK!A:H,7,0),1)</f>
        <v>1</v>
      </c>
    </row>
    <row r="2840" spans="10:10" ht="35.450000000000003" hidden="1" customHeight="1">
      <c r="J2840" s="28">
        <f>IFERROR(VLOOKUP(TEXT(B2840,"0"),STOCK!A:H,7,0),1)</f>
        <v>1</v>
      </c>
    </row>
    <row r="2841" spans="10:10" ht="35.450000000000003" hidden="1" customHeight="1">
      <c r="J2841" s="28">
        <f>IFERROR(VLOOKUP(TEXT(B2841,"0"),STOCK!A:H,7,0),1)</f>
        <v>1</v>
      </c>
    </row>
    <row r="2842" spans="10:10" ht="35.450000000000003" hidden="1" customHeight="1">
      <c r="J2842" s="28">
        <f>IFERROR(VLOOKUP(TEXT(B2842,"0"),STOCK!A:H,7,0),1)</f>
        <v>1</v>
      </c>
    </row>
    <row r="2843" spans="10:10" ht="35.450000000000003" hidden="1" customHeight="1">
      <c r="J2843" s="28">
        <f>IFERROR(VLOOKUP(TEXT(B2843,"0"),STOCK!A:H,7,0),1)</f>
        <v>1</v>
      </c>
    </row>
    <row r="2844" spans="10:10" ht="35.450000000000003" hidden="1" customHeight="1">
      <c r="J2844" s="28">
        <f>IFERROR(VLOOKUP(TEXT(B2844,"0"),STOCK!A:H,7,0),1)</f>
        <v>1</v>
      </c>
    </row>
    <row r="2845" spans="10:10" ht="35.450000000000003" hidden="1" customHeight="1">
      <c r="J2845" s="28">
        <f>IFERROR(VLOOKUP(TEXT(B2845,"0"),STOCK!A:H,7,0),1)</f>
        <v>1</v>
      </c>
    </row>
    <row r="2846" spans="10:10" ht="35.450000000000003" hidden="1" customHeight="1">
      <c r="J2846" s="28">
        <f>IFERROR(VLOOKUP(TEXT(B2846,"0"),STOCK!A:H,7,0),1)</f>
        <v>1</v>
      </c>
    </row>
    <row r="2847" spans="10:10" ht="35.450000000000003" hidden="1" customHeight="1">
      <c r="J2847" s="28">
        <f>IFERROR(VLOOKUP(TEXT(B2847,"0"),STOCK!A:H,7,0),1)</f>
        <v>1</v>
      </c>
    </row>
    <row r="2848" spans="10:10" ht="35.450000000000003" hidden="1" customHeight="1">
      <c r="J2848" s="28">
        <f>IFERROR(VLOOKUP(TEXT(B2848,"0"),STOCK!A:H,7,0),1)</f>
        <v>1</v>
      </c>
    </row>
    <row r="2849" spans="10:10" ht="35.450000000000003" hidden="1" customHeight="1">
      <c r="J2849" s="28">
        <f>IFERROR(VLOOKUP(TEXT(B2849,"0"),STOCK!A:H,7,0),1)</f>
        <v>1</v>
      </c>
    </row>
    <row r="2850" spans="10:10" ht="35.450000000000003" hidden="1" customHeight="1">
      <c r="J2850" s="28">
        <f>IFERROR(VLOOKUP(TEXT(B2850,"0"),STOCK!A:H,7,0),1)</f>
        <v>1</v>
      </c>
    </row>
    <row r="2851" spans="10:10" ht="35.450000000000003" hidden="1" customHeight="1">
      <c r="J2851" s="28">
        <f>IFERROR(VLOOKUP(TEXT(B2851,"0"),STOCK!A:H,7,0),1)</f>
        <v>1</v>
      </c>
    </row>
    <row r="2852" spans="10:10" ht="35.450000000000003" hidden="1" customHeight="1">
      <c r="J2852" s="28">
        <f>IFERROR(VLOOKUP(TEXT(B2852,"0"),STOCK!A:H,7,0),1)</f>
        <v>1</v>
      </c>
    </row>
    <row r="2853" spans="10:10" ht="35.450000000000003" hidden="1" customHeight="1">
      <c r="J2853" s="28">
        <f>IFERROR(VLOOKUP(TEXT(B2853,"0"),STOCK!A:H,7,0),1)</f>
        <v>1</v>
      </c>
    </row>
    <row r="2854" spans="10:10" ht="35.450000000000003" hidden="1" customHeight="1">
      <c r="J2854" s="28">
        <f>IFERROR(VLOOKUP(TEXT(B2854,"0"),STOCK!A:H,7,0),1)</f>
        <v>1</v>
      </c>
    </row>
    <row r="2855" spans="10:10" ht="35.450000000000003" hidden="1" customHeight="1">
      <c r="J2855" s="28">
        <f>IFERROR(VLOOKUP(TEXT(B2855,"0"),STOCK!A:H,7,0),1)</f>
        <v>1</v>
      </c>
    </row>
    <row r="2856" spans="10:10" ht="35.450000000000003" hidden="1" customHeight="1">
      <c r="J2856" s="28">
        <f>IFERROR(VLOOKUP(TEXT(B2856,"0"),STOCK!A:H,7,0),1)</f>
        <v>1</v>
      </c>
    </row>
    <row r="2857" spans="10:10" ht="35.450000000000003" hidden="1" customHeight="1">
      <c r="J2857" s="28">
        <f>IFERROR(VLOOKUP(TEXT(B2857,"0"),STOCK!A:H,7,0),1)</f>
        <v>1</v>
      </c>
    </row>
    <row r="2858" spans="10:10" ht="35.450000000000003" hidden="1" customHeight="1">
      <c r="J2858" s="28">
        <f>IFERROR(VLOOKUP(TEXT(B2858,"0"),STOCK!A:H,7,0),1)</f>
        <v>1</v>
      </c>
    </row>
    <row r="2859" spans="10:10" ht="35.450000000000003" hidden="1" customHeight="1">
      <c r="J2859" s="28">
        <f>IFERROR(VLOOKUP(TEXT(B2859,"0"),STOCK!A:H,7,0),1)</f>
        <v>1</v>
      </c>
    </row>
    <row r="2860" spans="10:10" ht="35.450000000000003" hidden="1" customHeight="1">
      <c r="J2860" s="28">
        <f>IFERROR(VLOOKUP(TEXT(B2860,"0"),STOCK!A:H,7,0),1)</f>
        <v>1</v>
      </c>
    </row>
    <row r="2861" spans="10:10" ht="35.450000000000003" hidden="1" customHeight="1">
      <c r="J2861" s="28">
        <f>IFERROR(VLOOKUP(TEXT(B2861,"0"),STOCK!A:H,7,0),1)</f>
        <v>1</v>
      </c>
    </row>
    <row r="2862" spans="10:10" ht="35.450000000000003" hidden="1" customHeight="1">
      <c r="J2862" s="28">
        <f>IFERROR(VLOOKUP(TEXT(B2862,"0"),STOCK!A:H,7,0),1)</f>
        <v>1</v>
      </c>
    </row>
    <row r="2863" spans="10:10" ht="35.450000000000003" hidden="1" customHeight="1">
      <c r="J2863" s="28">
        <f>IFERROR(VLOOKUP(TEXT(B2863,"0"),STOCK!A:H,7,0),1)</f>
        <v>1</v>
      </c>
    </row>
    <row r="2864" spans="10:10" ht="35.450000000000003" hidden="1" customHeight="1">
      <c r="J2864" s="28">
        <f>IFERROR(VLOOKUP(TEXT(B2864,"0"),STOCK!A:H,7,0),1)</f>
        <v>1</v>
      </c>
    </row>
    <row r="2865" spans="10:10" ht="35.450000000000003" hidden="1" customHeight="1">
      <c r="J2865" s="28">
        <f>IFERROR(VLOOKUP(TEXT(B2865,"0"),STOCK!A:H,7,0),1)</f>
        <v>1</v>
      </c>
    </row>
    <row r="2866" spans="10:10" ht="35.450000000000003" hidden="1" customHeight="1">
      <c r="J2866" s="28">
        <f>IFERROR(VLOOKUP(TEXT(B2866,"0"),STOCK!A:H,7,0),1)</f>
        <v>1</v>
      </c>
    </row>
    <row r="2867" spans="10:10" ht="35.450000000000003" hidden="1" customHeight="1">
      <c r="J2867" s="28">
        <f>IFERROR(VLOOKUP(TEXT(B2867,"0"),STOCK!A:H,7,0),1)</f>
        <v>1</v>
      </c>
    </row>
    <row r="2868" spans="10:10" ht="35.450000000000003" hidden="1" customHeight="1">
      <c r="J2868" s="28">
        <f>IFERROR(VLOOKUP(TEXT(B2868,"0"),STOCK!A:H,7,0),1)</f>
        <v>1</v>
      </c>
    </row>
    <row r="2869" spans="10:10" ht="35.450000000000003" hidden="1" customHeight="1">
      <c r="J2869" s="28">
        <f>IFERROR(VLOOKUP(TEXT(B2869,"0"),STOCK!A:H,7,0),1)</f>
        <v>1</v>
      </c>
    </row>
    <row r="2870" spans="10:10" ht="35.450000000000003" hidden="1" customHeight="1">
      <c r="J2870" s="28">
        <f>IFERROR(VLOOKUP(TEXT(B2870,"0"),STOCK!A:H,7,0),1)</f>
        <v>1</v>
      </c>
    </row>
    <row r="2871" spans="10:10" ht="35.450000000000003" hidden="1" customHeight="1">
      <c r="J2871" s="28">
        <f>IFERROR(VLOOKUP(TEXT(B2871,"0"),STOCK!A:H,7,0),1)</f>
        <v>1</v>
      </c>
    </row>
    <row r="2872" spans="10:10" ht="35.450000000000003" hidden="1" customHeight="1">
      <c r="J2872" s="28">
        <f>IFERROR(VLOOKUP(TEXT(B2872,"0"),STOCK!A:H,7,0),1)</f>
        <v>1</v>
      </c>
    </row>
    <row r="2873" spans="10:10" ht="35.450000000000003" hidden="1" customHeight="1">
      <c r="J2873" s="28">
        <f>IFERROR(VLOOKUP(TEXT(B2873,"0"),STOCK!A:H,7,0),1)</f>
        <v>1</v>
      </c>
    </row>
    <row r="2874" spans="10:10" ht="35.450000000000003" hidden="1" customHeight="1">
      <c r="J2874" s="28">
        <f>IFERROR(VLOOKUP(TEXT(B2874,"0"),STOCK!A:H,7,0),1)</f>
        <v>1</v>
      </c>
    </row>
    <row r="2875" spans="10:10" ht="35.450000000000003" hidden="1" customHeight="1">
      <c r="J2875" s="28">
        <f>IFERROR(VLOOKUP(TEXT(B2875,"0"),STOCK!A:H,7,0),1)</f>
        <v>1</v>
      </c>
    </row>
    <row r="2876" spans="10:10" ht="35.450000000000003" hidden="1" customHeight="1">
      <c r="J2876" s="28">
        <f>IFERROR(VLOOKUP(TEXT(B2876,"0"),STOCK!A:H,7,0),1)</f>
        <v>1</v>
      </c>
    </row>
    <row r="2877" spans="10:10" ht="35.450000000000003" hidden="1" customHeight="1">
      <c r="J2877" s="28">
        <f>IFERROR(VLOOKUP(TEXT(B2877,"0"),STOCK!A:H,7,0),1)</f>
        <v>1</v>
      </c>
    </row>
    <row r="2878" spans="10:10" ht="35.450000000000003" hidden="1" customHeight="1">
      <c r="J2878" s="28">
        <f>IFERROR(VLOOKUP(TEXT(B2878,"0"),STOCK!A:H,7,0),1)</f>
        <v>1</v>
      </c>
    </row>
    <row r="2879" spans="10:10" ht="35.450000000000003" hidden="1" customHeight="1">
      <c r="J2879" s="28">
        <f>IFERROR(VLOOKUP(TEXT(B2879,"0"),STOCK!A:H,7,0),1)</f>
        <v>1</v>
      </c>
    </row>
    <row r="2880" spans="10:10" ht="35.450000000000003" hidden="1" customHeight="1">
      <c r="J2880" s="28">
        <f>IFERROR(VLOOKUP(TEXT(B2880,"0"),STOCK!A:H,7,0),1)</f>
        <v>1</v>
      </c>
    </row>
    <row r="2881" spans="10:10" ht="35.450000000000003" hidden="1" customHeight="1">
      <c r="J2881" s="28">
        <f>IFERROR(VLOOKUP(TEXT(B2881,"0"),STOCK!A:H,7,0),1)</f>
        <v>1</v>
      </c>
    </row>
    <row r="2882" spans="10:10" ht="35.450000000000003" hidden="1" customHeight="1">
      <c r="J2882" s="28">
        <f>IFERROR(VLOOKUP(TEXT(B2882,"0"),STOCK!A:H,7,0),1)</f>
        <v>1</v>
      </c>
    </row>
    <row r="2883" spans="10:10" ht="35.450000000000003" hidden="1" customHeight="1">
      <c r="J2883" s="28">
        <f>IFERROR(VLOOKUP(TEXT(B2883,"0"),STOCK!A:H,7,0),1)</f>
        <v>1</v>
      </c>
    </row>
    <row r="2884" spans="10:10" ht="35.450000000000003" hidden="1" customHeight="1">
      <c r="J2884" s="28">
        <f>IFERROR(VLOOKUP(TEXT(B2884,"0"),STOCK!A:H,7,0),1)</f>
        <v>1</v>
      </c>
    </row>
    <row r="2885" spans="10:10" ht="35.450000000000003" hidden="1" customHeight="1">
      <c r="J2885" s="28">
        <f>IFERROR(VLOOKUP(TEXT(B2885,"0"),STOCK!A:H,7,0),1)</f>
        <v>1</v>
      </c>
    </row>
    <row r="2886" spans="10:10" ht="35.450000000000003" hidden="1" customHeight="1">
      <c r="J2886" s="28">
        <f>IFERROR(VLOOKUP(TEXT(B2886,"0"),STOCK!A:H,7,0),1)</f>
        <v>1</v>
      </c>
    </row>
    <row r="2887" spans="10:10" ht="35.450000000000003" hidden="1" customHeight="1">
      <c r="J2887" s="28">
        <f>IFERROR(VLOOKUP(TEXT(B2887,"0"),STOCK!A:H,7,0),1)</f>
        <v>1</v>
      </c>
    </row>
    <row r="2888" spans="10:10" ht="35.450000000000003" hidden="1" customHeight="1">
      <c r="J2888" s="28">
        <f>IFERROR(VLOOKUP(TEXT(B2888,"0"),STOCK!A:H,7,0),1)</f>
        <v>1</v>
      </c>
    </row>
    <row r="2889" spans="10:10" ht="35.450000000000003" hidden="1" customHeight="1">
      <c r="J2889" s="28">
        <f>IFERROR(VLOOKUP(TEXT(B2889,"0"),STOCK!A:H,7,0),1)</f>
        <v>1</v>
      </c>
    </row>
    <row r="2890" spans="10:10" ht="35.450000000000003" hidden="1" customHeight="1">
      <c r="J2890" s="28">
        <f>IFERROR(VLOOKUP(TEXT(B2890,"0"),STOCK!A:H,7,0),1)</f>
        <v>1</v>
      </c>
    </row>
    <row r="2891" spans="10:10" ht="35.450000000000003" hidden="1" customHeight="1">
      <c r="J2891" s="28">
        <f>IFERROR(VLOOKUP(TEXT(B2891,"0"),STOCK!A:H,7,0),1)</f>
        <v>1</v>
      </c>
    </row>
    <row r="2892" spans="10:10" ht="35.450000000000003" hidden="1" customHeight="1">
      <c r="J2892" s="28">
        <f>IFERROR(VLOOKUP(TEXT(B2892,"0"),STOCK!A:H,7,0),1)</f>
        <v>1</v>
      </c>
    </row>
    <row r="2893" spans="10:10" ht="35.450000000000003" hidden="1" customHeight="1">
      <c r="J2893" s="28">
        <f>IFERROR(VLOOKUP(TEXT(B2893,"0"),STOCK!A:H,7,0),1)</f>
        <v>1</v>
      </c>
    </row>
    <row r="2894" spans="10:10" ht="35.450000000000003" hidden="1" customHeight="1">
      <c r="J2894" s="28">
        <f>IFERROR(VLOOKUP(TEXT(B2894,"0"),STOCK!A:H,7,0),1)</f>
        <v>1</v>
      </c>
    </row>
    <row r="2895" spans="10:10" ht="35.450000000000003" hidden="1" customHeight="1">
      <c r="J2895" s="28">
        <f>IFERROR(VLOOKUP(TEXT(B2895,"0"),STOCK!A:H,7,0),1)</f>
        <v>1</v>
      </c>
    </row>
    <row r="2896" spans="10:10" ht="35.450000000000003" hidden="1" customHeight="1">
      <c r="J2896" s="28">
        <f>IFERROR(VLOOKUP(TEXT(B2896,"0"),STOCK!A:H,7,0),1)</f>
        <v>1</v>
      </c>
    </row>
    <row r="2897" spans="10:10" ht="35.450000000000003" hidden="1" customHeight="1">
      <c r="J2897" s="28">
        <f>IFERROR(VLOOKUP(TEXT(B2897,"0"),STOCK!A:H,7,0),1)</f>
        <v>1</v>
      </c>
    </row>
    <row r="2898" spans="10:10" ht="35.450000000000003" hidden="1" customHeight="1">
      <c r="J2898" s="28">
        <f>IFERROR(VLOOKUP(TEXT(B2898,"0"),STOCK!A:H,7,0),1)</f>
        <v>1</v>
      </c>
    </row>
    <row r="2899" spans="10:10" ht="35.450000000000003" hidden="1" customHeight="1">
      <c r="J2899" s="28">
        <f>IFERROR(VLOOKUP(TEXT(B2899,"0"),STOCK!A:H,7,0),1)</f>
        <v>1</v>
      </c>
    </row>
    <row r="2900" spans="10:10" ht="35.450000000000003" hidden="1" customHeight="1">
      <c r="J2900" s="28">
        <f>IFERROR(VLOOKUP(TEXT(B2900,"0"),STOCK!A:H,7,0),1)</f>
        <v>1</v>
      </c>
    </row>
    <row r="2901" spans="10:10" ht="35.450000000000003" hidden="1" customHeight="1">
      <c r="J2901" s="28">
        <f>IFERROR(VLOOKUP(TEXT(B2901,"0"),STOCK!A:H,7,0),1)</f>
        <v>1</v>
      </c>
    </row>
    <row r="2902" spans="10:10" ht="35.450000000000003" hidden="1" customHeight="1">
      <c r="J2902" s="28">
        <f>IFERROR(VLOOKUP(TEXT(B2902,"0"),STOCK!A:H,7,0),1)</f>
        <v>1</v>
      </c>
    </row>
    <row r="2903" spans="10:10" ht="35.450000000000003" hidden="1" customHeight="1">
      <c r="J2903" s="28">
        <f>IFERROR(VLOOKUP(TEXT(B2903,"0"),STOCK!A:H,7,0),1)</f>
        <v>1</v>
      </c>
    </row>
    <row r="2904" spans="10:10" ht="35.450000000000003" hidden="1" customHeight="1">
      <c r="J2904" s="28">
        <f>IFERROR(VLOOKUP(TEXT(B2904,"0"),STOCK!A:H,7,0),1)</f>
        <v>1</v>
      </c>
    </row>
    <row r="2905" spans="10:10" ht="35.450000000000003" hidden="1" customHeight="1">
      <c r="J2905" s="28">
        <f>IFERROR(VLOOKUP(TEXT(B2905,"0"),STOCK!A:H,7,0),1)</f>
        <v>1</v>
      </c>
    </row>
    <row r="2906" spans="10:10" ht="35.450000000000003" hidden="1" customHeight="1">
      <c r="J2906" s="28">
        <f>IFERROR(VLOOKUP(TEXT(B2906,"0"),STOCK!A:H,7,0),1)</f>
        <v>1</v>
      </c>
    </row>
    <row r="2907" spans="10:10" ht="35.450000000000003" hidden="1" customHeight="1">
      <c r="J2907" s="28">
        <f>IFERROR(VLOOKUP(TEXT(B2907,"0"),STOCK!A:H,7,0),1)</f>
        <v>1</v>
      </c>
    </row>
    <row r="2908" spans="10:10" ht="35.450000000000003" hidden="1" customHeight="1">
      <c r="J2908" s="28">
        <f>IFERROR(VLOOKUP(TEXT(B2908,"0"),STOCK!A:H,7,0),1)</f>
        <v>1</v>
      </c>
    </row>
    <row r="2909" spans="10:10" ht="35.450000000000003" hidden="1" customHeight="1">
      <c r="J2909" s="28">
        <f>IFERROR(VLOOKUP(TEXT(B2909,"0"),STOCK!A:H,7,0),1)</f>
        <v>1</v>
      </c>
    </row>
    <row r="2910" spans="10:10" ht="35.450000000000003" hidden="1" customHeight="1">
      <c r="J2910" s="28">
        <f>IFERROR(VLOOKUP(TEXT(B2910,"0"),STOCK!A:H,7,0),1)</f>
        <v>1</v>
      </c>
    </row>
    <row r="2911" spans="10:10" ht="35.450000000000003" hidden="1" customHeight="1">
      <c r="J2911" s="28">
        <f>IFERROR(VLOOKUP(TEXT(B2911,"0"),STOCK!A:H,7,0),1)</f>
        <v>1</v>
      </c>
    </row>
    <row r="2912" spans="10:10" ht="35.450000000000003" hidden="1" customHeight="1">
      <c r="J2912" s="28">
        <f>IFERROR(VLOOKUP(TEXT(B2912,"0"),STOCK!A:H,7,0),1)</f>
        <v>1</v>
      </c>
    </row>
    <row r="2913" spans="10:10" ht="35.450000000000003" hidden="1" customHeight="1">
      <c r="J2913" s="28">
        <f>IFERROR(VLOOKUP(TEXT(B2913,"0"),STOCK!A:H,7,0),1)</f>
        <v>1</v>
      </c>
    </row>
    <row r="2914" spans="10:10" ht="35.450000000000003" hidden="1" customHeight="1">
      <c r="J2914" s="28">
        <f>IFERROR(VLOOKUP(TEXT(B2914,"0"),STOCK!A:H,7,0),1)</f>
        <v>1</v>
      </c>
    </row>
    <row r="2915" spans="10:10" ht="35.450000000000003" hidden="1" customHeight="1">
      <c r="J2915" s="28">
        <f>IFERROR(VLOOKUP(TEXT(B2915,"0"),STOCK!A:H,7,0),1)</f>
        <v>1</v>
      </c>
    </row>
    <row r="2916" spans="10:10" ht="35.450000000000003" hidden="1" customHeight="1">
      <c r="J2916" s="28">
        <f>IFERROR(VLOOKUP(TEXT(B2916,"0"),STOCK!A:H,7,0),1)</f>
        <v>1</v>
      </c>
    </row>
    <row r="2917" spans="10:10" ht="35.450000000000003" hidden="1" customHeight="1">
      <c r="J2917" s="28">
        <f>IFERROR(VLOOKUP(TEXT(B2917,"0"),STOCK!A:H,7,0),1)</f>
        <v>1</v>
      </c>
    </row>
    <row r="2918" spans="10:10" ht="35.450000000000003" hidden="1" customHeight="1">
      <c r="J2918" s="28">
        <f>IFERROR(VLOOKUP(TEXT(B2918,"0"),STOCK!A:H,7,0),1)</f>
        <v>1</v>
      </c>
    </row>
    <row r="2919" spans="10:10" ht="35.450000000000003" hidden="1" customHeight="1">
      <c r="J2919" s="28">
        <f>IFERROR(VLOOKUP(TEXT(B2919,"0"),STOCK!A:H,7,0),1)</f>
        <v>1</v>
      </c>
    </row>
    <row r="2920" spans="10:10" ht="35.450000000000003" hidden="1" customHeight="1">
      <c r="J2920" s="28">
        <f>IFERROR(VLOOKUP(TEXT(B2920,"0"),STOCK!A:H,7,0),1)</f>
        <v>1</v>
      </c>
    </row>
    <row r="2921" spans="10:10" ht="35.450000000000003" hidden="1" customHeight="1">
      <c r="J2921" s="28">
        <f>IFERROR(VLOOKUP(TEXT(B2921,"0"),STOCK!A:H,7,0),1)</f>
        <v>1</v>
      </c>
    </row>
    <row r="2922" spans="10:10" ht="35.450000000000003" hidden="1" customHeight="1">
      <c r="J2922" s="28">
        <f>IFERROR(VLOOKUP(TEXT(B2922,"0"),STOCK!A:H,7,0),1)</f>
        <v>1</v>
      </c>
    </row>
    <row r="2923" spans="10:10" ht="35.450000000000003" hidden="1" customHeight="1">
      <c r="J2923" s="28">
        <f>IFERROR(VLOOKUP(TEXT(B2923,"0"),STOCK!A:H,7,0),1)</f>
        <v>1</v>
      </c>
    </row>
    <row r="2924" spans="10:10" ht="35.450000000000003" hidden="1" customHeight="1">
      <c r="J2924" s="28">
        <f>IFERROR(VLOOKUP(TEXT(B2924,"0"),STOCK!A:H,7,0),1)</f>
        <v>1</v>
      </c>
    </row>
    <row r="2925" spans="10:10" ht="35.450000000000003" hidden="1" customHeight="1">
      <c r="J2925" s="28">
        <f>IFERROR(VLOOKUP(TEXT(B2925,"0"),STOCK!A:H,7,0),1)</f>
        <v>1</v>
      </c>
    </row>
    <row r="2926" spans="10:10" ht="35.450000000000003" hidden="1" customHeight="1">
      <c r="J2926" s="28">
        <f>IFERROR(VLOOKUP(TEXT(B2926,"0"),STOCK!A:H,7,0),1)</f>
        <v>1</v>
      </c>
    </row>
    <row r="2927" spans="10:10" ht="35.450000000000003" hidden="1" customHeight="1">
      <c r="J2927" s="28">
        <f>IFERROR(VLOOKUP(TEXT(B2927,"0"),STOCK!A:H,7,0),1)</f>
        <v>1</v>
      </c>
    </row>
    <row r="2928" spans="10:10" ht="35.450000000000003" hidden="1" customHeight="1">
      <c r="J2928" s="28">
        <f>IFERROR(VLOOKUP(TEXT(B2928,"0"),STOCK!A:H,7,0),1)</f>
        <v>1</v>
      </c>
    </row>
    <row r="2929" spans="10:10" ht="35.450000000000003" hidden="1" customHeight="1">
      <c r="J2929" s="28">
        <f>IFERROR(VLOOKUP(TEXT(B2929,"0"),STOCK!A:H,7,0),1)</f>
        <v>1</v>
      </c>
    </row>
    <row r="2930" spans="10:10" ht="35.450000000000003" hidden="1" customHeight="1">
      <c r="J2930" s="28">
        <f>IFERROR(VLOOKUP(TEXT(B2930,"0"),STOCK!A:H,7,0),1)</f>
        <v>1</v>
      </c>
    </row>
    <row r="2931" spans="10:10" ht="35.450000000000003" hidden="1" customHeight="1">
      <c r="J2931" s="28">
        <f>IFERROR(VLOOKUP(TEXT(B2931,"0"),STOCK!A:H,7,0),1)</f>
        <v>1</v>
      </c>
    </row>
    <row r="2932" spans="10:10" ht="35.450000000000003" hidden="1" customHeight="1">
      <c r="J2932" s="28">
        <f>IFERROR(VLOOKUP(TEXT(B2932,"0"),STOCK!A:H,7,0),1)</f>
        <v>1</v>
      </c>
    </row>
    <row r="2933" spans="10:10" ht="35.450000000000003" hidden="1" customHeight="1">
      <c r="J2933" s="28">
        <f>IFERROR(VLOOKUP(TEXT(B2933,"0"),STOCK!A:H,7,0),1)</f>
        <v>1</v>
      </c>
    </row>
    <row r="2934" spans="10:10" ht="35.450000000000003" hidden="1" customHeight="1">
      <c r="J2934" s="28">
        <f>IFERROR(VLOOKUP(TEXT(B2934,"0"),STOCK!A:H,7,0),1)</f>
        <v>1</v>
      </c>
    </row>
    <row r="2935" spans="10:10" ht="35.450000000000003" hidden="1" customHeight="1">
      <c r="J2935" s="28">
        <f>IFERROR(VLOOKUP(TEXT(B2935,"0"),STOCK!A:H,7,0),1)</f>
        <v>1</v>
      </c>
    </row>
    <row r="2936" spans="10:10" ht="35.450000000000003" hidden="1" customHeight="1">
      <c r="J2936" s="28">
        <f>IFERROR(VLOOKUP(TEXT(B2936,"0"),STOCK!A:H,7,0),1)</f>
        <v>1</v>
      </c>
    </row>
    <row r="2937" spans="10:10" ht="35.450000000000003" hidden="1" customHeight="1">
      <c r="J2937" s="28">
        <f>IFERROR(VLOOKUP(TEXT(B2937,"0"),STOCK!A:H,7,0),1)</f>
        <v>1</v>
      </c>
    </row>
    <row r="2938" spans="10:10" ht="35.450000000000003" hidden="1" customHeight="1">
      <c r="J2938" s="28">
        <f>IFERROR(VLOOKUP(TEXT(B2938,"0"),STOCK!A:H,7,0),1)</f>
        <v>1</v>
      </c>
    </row>
    <row r="2939" spans="10:10" ht="35.450000000000003" hidden="1" customHeight="1">
      <c r="J2939" s="28">
        <f>IFERROR(VLOOKUP(TEXT(B2939,"0"),STOCK!A:H,7,0),1)</f>
        <v>1</v>
      </c>
    </row>
    <row r="2940" spans="10:10" ht="35.450000000000003" hidden="1" customHeight="1">
      <c r="J2940" s="28">
        <f>IFERROR(VLOOKUP(TEXT(B2940,"0"),STOCK!A:H,7,0),1)</f>
        <v>1</v>
      </c>
    </row>
    <row r="2941" spans="10:10" ht="35.450000000000003" hidden="1" customHeight="1">
      <c r="J2941" s="28">
        <f>IFERROR(VLOOKUP(TEXT(B2941,"0"),STOCK!A:H,7,0),1)</f>
        <v>1</v>
      </c>
    </row>
    <row r="2942" spans="10:10" ht="35.450000000000003" hidden="1" customHeight="1">
      <c r="J2942" s="28">
        <f>IFERROR(VLOOKUP(TEXT(B2942,"0"),STOCK!A:H,7,0),1)</f>
        <v>1</v>
      </c>
    </row>
    <row r="2943" spans="10:10" ht="35.450000000000003" hidden="1" customHeight="1">
      <c r="J2943" s="28">
        <f>IFERROR(VLOOKUP(TEXT(B2943,"0"),STOCK!A:H,7,0),1)</f>
        <v>1</v>
      </c>
    </row>
    <row r="2944" spans="10:10" ht="35.450000000000003" hidden="1" customHeight="1">
      <c r="J2944" s="28">
        <f>IFERROR(VLOOKUP(TEXT(B2944,"0"),STOCK!A:H,7,0),1)</f>
        <v>1</v>
      </c>
    </row>
    <row r="2945" spans="10:10" ht="35.450000000000003" hidden="1" customHeight="1">
      <c r="J2945" s="28">
        <f>IFERROR(VLOOKUP(TEXT(B2945,"0"),STOCK!A:H,7,0),1)</f>
        <v>1</v>
      </c>
    </row>
    <row r="2946" spans="10:10" ht="35.450000000000003" hidden="1" customHeight="1">
      <c r="J2946" s="28">
        <f>IFERROR(VLOOKUP(TEXT(B2946,"0"),STOCK!A:H,7,0),1)</f>
        <v>1</v>
      </c>
    </row>
    <row r="2947" spans="10:10" ht="35.450000000000003" hidden="1" customHeight="1">
      <c r="J2947" s="28">
        <f>IFERROR(VLOOKUP(TEXT(B2947,"0"),STOCK!A:H,7,0),1)</f>
        <v>1</v>
      </c>
    </row>
    <row r="2948" spans="10:10" ht="35.450000000000003" hidden="1" customHeight="1">
      <c r="J2948" s="28">
        <f>IFERROR(VLOOKUP(TEXT(B2948,"0"),STOCK!A:H,7,0),1)</f>
        <v>1</v>
      </c>
    </row>
    <row r="2949" spans="10:10" ht="35.450000000000003" hidden="1" customHeight="1">
      <c r="J2949" s="28">
        <f>IFERROR(VLOOKUP(TEXT(B2949,"0"),STOCK!A:H,7,0),1)</f>
        <v>1</v>
      </c>
    </row>
    <row r="2950" spans="10:10" ht="35.450000000000003" hidden="1" customHeight="1">
      <c r="J2950" s="28">
        <f>IFERROR(VLOOKUP(TEXT(B2950,"0"),STOCK!A:H,7,0),1)</f>
        <v>1</v>
      </c>
    </row>
    <row r="2951" spans="10:10" ht="35.450000000000003" hidden="1" customHeight="1">
      <c r="J2951" s="28">
        <f>IFERROR(VLOOKUP(TEXT(B2951,"0"),STOCK!A:H,7,0),1)</f>
        <v>1</v>
      </c>
    </row>
    <row r="2952" spans="10:10" ht="35.450000000000003" hidden="1" customHeight="1">
      <c r="J2952" s="28">
        <f>IFERROR(VLOOKUP(TEXT(B2952,"0"),STOCK!A:H,7,0),1)</f>
        <v>1</v>
      </c>
    </row>
    <row r="2953" spans="10:10" ht="35.450000000000003" hidden="1" customHeight="1">
      <c r="J2953" s="28">
        <f>IFERROR(VLOOKUP(TEXT(B2953,"0"),STOCK!A:H,7,0),1)</f>
        <v>1</v>
      </c>
    </row>
    <row r="2954" spans="10:10" ht="35.450000000000003" hidden="1" customHeight="1">
      <c r="J2954" s="28">
        <f>IFERROR(VLOOKUP(TEXT(B2954,"0"),STOCK!A:H,7,0),1)</f>
        <v>1</v>
      </c>
    </row>
    <row r="2955" spans="10:10" ht="35.450000000000003" hidden="1" customHeight="1">
      <c r="J2955" s="28">
        <f>IFERROR(VLOOKUP(TEXT(B2955,"0"),STOCK!A:H,7,0),1)</f>
        <v>1</v>
      </c>
    </row>
    <row r="2956" spans="10:10" ht="35.450000000000003" hidden="1" customHeight="1">
      <c r="J2956" s="28">
        <f>IFERROR(VLOOKUP(TEXT(B2956,"0"),STOCK!A:H,7,0),1)</f>
        <v>1</v>
      </c>
    </row>
    <row r="2957" spans="10:10" ht="35.450000000000003" hidden="1" customHeight="1">
      <c r="J2957" s="28">
        <f>IFERROR(VLOOKUP(TEXT(B2957,"0"),STOCK!A:H,7,0),1)</f>
        <v>1</v>
      </c>
    </row>
    <row r="2958" spans="10:10" ht="35.450000000000003" hidden="1" customHeight="1">
      <c r="J2958" s="28">
        <f>IFERROR(VLOOKUP(TEXT(B2958,"0"),STOCK!A:H,7,0),1)</f>
        <v>1</v>
      </c>
    </row>
    <row r="2959" spans="10:10" ht="35.450000000000003" hidden="1" customHeight="1">
      <c r="J2959" s="28">
        <f>IFERROR(VLOOKUP(TEXT(B2959,"0"),STOCK!A:H,7,0),1)</f>
        <v>1</v>
      </c>
    </row>
    <row r="2960" spans="10:10" ht="35.450000000000003" hidden="1" customHeight="1">
      <c r="J2960" s="28">
        <f>IFERROR(VLOOKUP(TEXT(B2960,"0"),STOCK!A:H,7,0),1)</f>
        <v>1</v>
      </c>
    </row>
    <row r="2961" spans="10:10" ht="35.450000000000003" hidden="1" customHeight="1">
      <c r="J2961" s="28">
        <f>IFERROR(VLOOKUP(TEXT(B2961,"0"),STOCK!A:H,7,0),1)</f>
        <v>1</v>
      </c>
    </row>
    <row r="2962" spans="10:10" ht="35.450000000000003" hidden="1" customHeight="1">
      <c r="J2962" s="28">
        <f>IFERROR(VLOOKUP(TEXT(B2962,"0"),STOCK!A:H,7,0),1)</f>
        <v>1</v>
      </c>
    </row>
    <row r="2963" spans="10:10" ht="35.450000000000003" hidden="1" customHeight="1">
      <c r="J2963" s="28">
        <f>IFERROR(VLOOKUP(TEXT(B2963,"0"),STOCK!A:H,7,0),1)</f>
        <v>1</v>
      </c>
    </row>
    <row r="2964" spans="10:10" ht="35.450000000000003" hidden="1" customHeight="1">
      <c r="J2964" s="28">
        <f>IFERROR(VLOOKUP(TEXT(B2964,"0"),STOCK!A:H,7,0),1)</f>
        <v>1</v>
      </c>
    </row>
    <row r="2965" spans="10:10" ht="35.450000000000003" hidden="1" customHeight="1">
      <c r="J2965" s="28">
        <f>IFERROR(VLOOKUP(TEXT(B2965,"0"),STOCK!A:H,7,0),1)</f>
        <v>1</v>
      </c>
    </row>
    <row r="2966" spans="10:10" ht="35.450000000000003" hidden="1" customHeight="1">
      <c r="J2966" s="28">
        <f>IFERROR(VLOOKUP(TEXT(B2966,"0"),STOCK!A:H,7,0),1)</f>
        <v>1</v>
      </c>
    </row>
    <row r="2967" spans="10:10" ht="35.450000000000003" hidden="1" customHeight="1">
      <c r="J2967" s="28">
        <f>IFERROR(VLOOKUP(TEXT(B2967,"0"),STOCK!A:H,7,0),1)</f>
        <v>1</v>
      </c>
    </row>
    <row r="2968" spans="10:10" ht="35.450000000000003" hidden="1" customHeight="1">
      <c r="J2968" s="28">
        <f>IFERROR(VLOOKUP(TEXT(B2968,"0"),STOCK!A:H,7,0),1)</f>
        <v>1</v>
      </c>
    </row>
    <row r="2969" spans="10:10" ht="35.450000000000003" hidden="1" customHeight="1">
      <c r="J2969" s="28">
        <f>IFERROR(VLOOKUP(TEXT(B2969,"0"),STOCK!A:H,7,0),1)</f>
        <v>1</v>
      </c>
    </row>
    <row r="2970" spans="10:10" ht="35.450000000000003" hidden="1" customHeight="1">
      <c r="J2970" s="28">
        <f>IFERROR(VLOOKUP(TEXT(B2970,"0"),STOCK!A:H,7,0),1)</f>
        <v>1</v>
      </c>
    </row>
    <row r="2971" spans="10:10" ht="35.450000000000003" hidden="1" customHeight="1">
      <c r="J2971" s="28">
        <f>IFERROR(VLOOKUP(TEXT(B2971,"0"),STOCK!A:H,7,0),1)</f>
        <v>1</v>
      </c>
    </row>
    <row r="2972" spans="10:10" ht="35.450000000000003" hidden="1" customHeight="1">
      <c r="J2972" s="28">
        <f>IFERROR(VLOOKUP(TEXT(B2972,"0"),STOCK!A:H,7,0),1)</f>
        <v>1</v>
      </c>
    </row>
    <row r="2973" spans="10:10" ht="35.450000000000003" hidden="1" customHeight="1">
      <c r="J2973" s="28">
        <f>IFERROR(VLOOKUP(TEXT(B2973,"0"),STOCK!A:H,7,0),1)</f>
        <v>1</v>
      </c>
    </row>
    <row r="2974" spans="10:10" ht="35.450000000000003" hidden="1" customHeight="1">
      <c r="J2974" s="28">
        <f>IFERROR(VLOOKUP(TEXT(B2974,"0"),STOCK!A:H,7,0),1)</f>
        <v>1</v>
      </c>
    </row>
    <row r="2975" spans="10:10" ht="35.450000000000003" hidden="1" customHeight="1">
      <c r="J2975" s="28">
        <f>IFERROR(VLOOKUP(TEXT(B2975,"0"),STOCK!A:H,7,0),1)</f>
        <v>1</v>
      </c>
    </row>
    <row r="2976" spans="10:10" ht="35.450000000000003" hidden="1" customHeight="1">
      <c r="J2976" s="28">
        <f>IFERROR(VLOOKUP(TEXT(B2976,"0"),STOCK!A:H,7,0),1)</f>
        <v>1</v>
      </c>
    </row>
    <row r="2977" spans="10:10" ht="35.450000000000003" hidden="1" customHeight="1">
      <c r="J2977" s="28">
        <f>IFERROR(VLOOKUP(TEXT(B2977,"0"),STOCK!A:H,7,0),1)</f>
        <v>1</v>
      </c>
    </row>
    <row r="2978" spans="10:10" ht="35.450000000000003" hidden="1" customHeight="1">
      <c r="J2978" s="28">
        <f>IFERROR(VLOOKUP(TEXT(B2978,"0"),STOCK!A:H,7,0),1)</f>
        <v>1</v>
      </c>
    </row>
    <row r="2979" spans="10:10" ht="35.450000000000003" hidden="1" customHeight="1">
      <c r="J2979" s="28">
        <f>IFERROR(VLOOKUP(TEXT(B2979,"0"),STOCK!A:H,7,0),1)</f>
        <v>1</v>
      </c>
    </row>
    <row r="2980" spans="10:10" ht="35.450000000000003" hidden="1" customHeight="1">
      <c r="J2980" s="28">
        <f>IFERROR(VLOOKUP(TEXT(B2980,"0"),STOCK!A:H,7,0),1)</f>
        <v>1</v>
      </c>
    </row>
    <row r="2981" spans="10:10" ht="35.450000000000003" hidden="1" customHeight="1">
      <c r="J2981" s="28">
        <f>IFERROR(VLOOKUP(TEXT(B2981,"0"),STOCK!A:H,7,0),1)</f>
        <v>1</v>
      </c>
    </row>
    <row r="2982" spans="10:10" ht="35.450000000000003" hidden="1" customHeight="1">
      <c r="J2982" s="28">
        <f>IFERROR(VLOOKUP(TEXT(B2982,"0"),STOCK!A:H,7,0),1)</f>
        <v>1</v>
      </c>
    </row>
    <row r="2983" spans="10:10" ht="35.450000000000003" hidden="1" customHeight="1">
      <c r="J2983" s="28">
        <f>IFERROR(VLOOKUP(TEXT(B2983,"0"),STOCK!A:H,7,0),1)</f>
        <v>1</v>
      </c>
    </row>
    <row r="2984" spans="10:10" ht="35.450000000000003" hidden="1" customHeight="1">
      <c r="J2984" s="28">
        <f>IFERROR(VLOOKUP(TEXT(B2984,"0"),STOCK!A:H,7,0),1)</f>
        <v>1</v>
      </c>
    </row>
    <row r="2985" spans="10:10" ht="35.450000000000003" hidden="1" customHeight="1">
      <c r="J2985" s="28">
        <f>IFERROR(VLOOKUP(TEXT(B2985,"0"),STOCK!A:H,7,0),1)</f>
        <v>1</v>
      </c>
    </row>
    <row r="2986" spans="10:10" ht="35.450000000000003" hidden="1" customHeight="1">
      <c r="J2986" s="28">
        <f>IFERROR(VLOOKUP(TEXT(B2986,"0"),STOCK!A:H,7,0),1)</f>
        <v>1</v>
      </c>
    </row>
    <row r="2987" spans="10:10" ht="35.450000000000003" hidden="1" customHeight="1">
      <c r="J2987" s="28">
        <f>IFERROR(VLOOKUP(TEXT(B2987,"0"),STOCK!A:H,7,0),1)</f>
        <v>1</v>
      </c>
    </row>
    <row r="2988" spans="10:10" ht="35.450000000000003" hidden="1" customHeight="1">
      <c r="J2988" s="28">
        <f>IFERROR(VLOOKUP(TEXT(B2988,"0"),STOCK!A:H,7,0),1)</f>
        <v>1</v>
      </c>
    </row>
    <row r="2989" spans="10:10" ht="35.450000000000003" hidden="1" customHeight="1">
      <c r="J2989" s="28">
        <f>IFERROR(VLOOKUP(TEXT(B2989,"0"),STOCK!A:H,7,0),1)</f>
        <v>1</v>
      </c>
    </row>
    <row r="2990" spans="10:10" ht="35.450000000000003" hidden="1" customHeight="1">
      <c r="J2990" s="28">
        <f>IFERROR(VLOOKUP(TEXT(B2990,"0"),STOCK!A:H,7,0),1)</f>
        <v>1</v>
      </c>
    </row>
    <row r="2991" spans="10:10" ht="35.450000000000003" hidden="1" customHeight="1">
      <c r="J2991" s="28">
        <f>IFERROR(VLOOKUP(TEXT(B2991,"0"),STOCK!A:H,7,0),1)</f>
        <v>1</v>
      </c>
    </row>
    <row r="2992" spans="10:10" ht="35.450000000000003" hidden="1" customHeight="1">
      <c r="J2992" s="28">
        <f>IFERROR(VLOOKUP(TEXT(B2992,"0"),STOCK!A:H,7,0),1)</f>
        <v>1</v>
      </c>
    </row>
    <row r="2993" spans="10:10" ht="35.450000000000003" hidden="1" customHeight="1">
      <c r="J2993" s="28">
        <f>IFERROR(VLOOKUP(TEXT(B2993,"0"),STOCK!A:H,7,0),1)</f>
        <v>1</v>
      </c>
    </row>
    <row r="2994" spans="10:10" ht="35.450000000000003" hidden="1" customHeight="1">
      <c r="J2994" s="28">
        <f>IFERROR(VLOOKUP(TEXT(B2994,"0"),STOCK!A:H,7,0),1)</f>
        <v>1</v>
      </c>
    </row>
    <row r="2995" spans="10:10" ht="35.450000000000003" hidden="1" customHeight="1">
      <c r="J2995" s="28">
        <f>IFERROR(VLOOKUP(TEXT(B2995,"0"),STOCK!A:H,7,0),1)</f>
        <v>1</v>
      </c>
    </row>
    <row r="2996" spans="10:10" ht="35.450000000000003" hidden="1" customHeight="1">
      <c r="J2996" s="28">
        <f>IFERROR(VLOOKUP(TEXT(B2996,"0"),STOCK!A:H,7,0),1)</f>
        <v>1</v>
      </c>
    </row>
    <row r="2997" spans="10:10" ht="35.450000000000003" hidden="1" customHeight="1">
      <c r="J2997" s="28">
        <f>IFERROR(VLOOKUP(TEXT(B2997,"0"),STOCK!A:H,7,0),1)</f>
        <v>1</v>
      </c>
    </row>
    <row r="2998" spans="10:10" ht="35.450000000000003" hidden="1" customHeight="1">
      <c r="J2998" s="28">
        <f>IFERROR(VLOOKUP(TEXT(B2998,"0"),STOCK!A:H,7,0),1)</f>
        <v>1</v>
      </c>
    </row>
    <row r="2999" spans="10:10" ht="35.450000000000003" hidden="1" customHeight="1">
      <c r="J2999" s="28">
        <f>IFERROR(VLOOKUP(TEXT(B2999,"0"),STOCK!A:H,7,0),1)</f>
        <v>1</v>
      </c>
    </row>
    <row r="3000" spans="10:10" ht="35.450000000000003" hidden="1" customHeight="1">
      <c r="J3000" s="28">
        <f>IFERROR(VLOOKUP(TEXT(B3000,"0"),STOCK!A:H,7,0),1)</f>
        <v>1</v>
      </c>
    </row>
    <row r="3001" spans="10:10" ht="35.450000000000003" hidden="1" customHeight="1">
      <c r="J3001" s="28">
        <f>IFERROR(VLOOKUP(TEXT(B3001,"0"),STOCK!A:H,7,0),1)</f>
        <v>1</v>
      </c>
    </row>
    <row r="3002" spans="10:10" ht="35.450000000000003" hidden="1" customHeight="1">
      <c r="J3002" s="28">
        <f>IFERROR(VLOOKUP(TEXT(B3002,"0"),STOCK!A:H,7,0),1)</f>
        <v>1</v>
      </c>
    </row>
    <row r="3003" spans="10:10" ht="35.450000000000003" hidden="1" customHeight="1">
      <c r="J3003" s="28">
        <f>IFERROR(VLOOKUP(TEXT(B3003,"0"),STOCK!A:H,7,0),1)</f>
        <v>1</v>
      </c>
    </row>
    <row r="3004" spans="10:10" ht="35.450000000000003" hidden="1" customHeight="1">
      <c r="J3004" s="28">
        <f>IFERROR(VLOOKUP(TEXT(B3004,"0"),STOCK!A:H,7,0),1)</f>
        <v>1</v>
      </c>
    </row>
    <row r="3005" spans="10:10" ht="35.450000000000003" hidden="1" customHeight="1">
      <c r="J3005" s="28">
        <f>IFERROR(VLOOKUP(TEXT(B3005,"0"),STOCK!A:H,7,0),1)</f>
        <v>1</v>
      </c>
    </row>
    <row r="3006" spans="10:10" ht="35.450000000000003" hidden="1" customHeight="1">
      <c r="J3006" s="28">
        <f>IFERROR(VLOOKUP(TEXT(B3006,"0"),STOCK!A:H,7,0),1)</f>
        <v>1</v>
      </c>
    </row>
    <row r="3007" spans="10:10" ht="35.450000000000003" hidden="1" customHeight="1">
      <c r="J3007" s="28">
        <f>IFERROR(VLOOKUP(TEXT(B3007,"0"),STOCK!A:H,7,0),1)</f>
        <v>1</v>
      </c>
    </row>
    <row r="3008" spans="10:10" ht="35.450000000000003" hidden="1" customHeight="1">
      <c r="J3008" s="28">
        <f>IFERROR(VLOOKUP(TEXT(B3008,"0"),STOCK!A:H,7,0),1)</f>
        <v>1</v>
      </c>
    </row>
    <row r="3009" spans="10:10" ht="35.450000000000003" hidden="1" customHeight="1">
      <c r="J3009" s="28">
        <f>IFERROR(VLOOKUP(TEXT(B3009,"0"),STOCK!A:H,7,0),1)</f>
        <v>1</v>
      </c>
    </row>
    <row r="3010" spans="10:10" ht="35.450000000000003" hidden="1" customHeight="1">
      <c r="J3010" s="28">
        <f>IFERROR(VLOOKUP(TEXT(B3010,"0"),STOCK!A:H,7,0),1)</f>
        <v>1</v>
      </c>
    </row>
    <row r="3011" spans="10:10" ht="35.450000000000003" hidden="1" customHeight="1">
      <c r="J3011" s="28">
        <f>IFERROR(VLOOKUP(TEXT(B3011,"0"),STOCK!A:H,7,0),1)</f>
        <v>1</v>
      </c>
    </row>
    <row r="3012" spans="10:10" ht="35.450000000000003" hidden="1" customHeight="1">
      <c r="J3012" s="28">
        <f>IFERROR(VLOOKUP(TEXT(B3012,"0"),STOCK!A:H,7,0),1)</f>
        <v>1</v>
      </c>
    </row>
    <row r="3013" spans="10:10" ht="35.450000000000003" hidden="1" customHeight="1">
      <c r="J3013" s="28">
        <f>IFERROR(VLOOKUP(TEXT(B3013,"0"),STOCK!A:H,7,0),1)</f>
        <v>1</v>
      </c>
    </row>
    <row r="3014" spans="10:10" ht="35.450000000000003" hidden="1" customHeight="1">
      <c r="J3014" s="28">
        <f>IFERROR(VLOOKUP(TEXT(B3014,"0"),STOCK!A:H,7,0),1)</f>
        <v>1</v>
      </c>
    </row>
    <row r="3015" spans="10:10" ht="35.450000000000003" hidden="1" customHeight="1">
      <c r="J3015" s="28">
        <f>IFERROR(VLOOKUP(TEXT(B3015,"0"),STOCK!A:H,7,0),1)</f>
        <v>1</v>
      </c>
    </row>
    <row r="3016" spans="10:10" ht="35.450000000000003" hidden="1" customHeight="1">
      <c r="J3016" s="28">
        <f>IFERROR(VLOOKUP(TEXT(B3016,"0"),STOCK!A:H,7,0),1)</f>
        <v>1</v>
      </c>
    </row>
    <row r="3017" spans="10:10" ht="35.450000000000003" hidden="1" customHeight="1">
      <c r="J3017" s="28">
        <f>IFERROR(VLOOKUP(TEXT(B3017,"0"),STOCK!A:H,7,0),1)</f>
        <v>1</v>
      </c>
    </row>
    <row r="3018" spans="10:10" ht="35.450000000000003" hidden="1" customHeight="1">
      <c r="J3018" s="28">
        <f>IFERROR(VLOOKUP(TEXT(B3018,"0"),STOCK!A:H,7,0),1)</f>
        <v>1</v>
      </c>
    </row>
    <row r="3019" spans="10:10" ht="35.450000000000003" hidden="1" customHeight="1">
      <c r="J3019" s="28">
        <f>IFERROR(VLOOKUP(TEXT(B3019,"0"),STOCK!A:H,7,0),1)</f>
        <v>1</v>
      </c>
    </row>
    <row r="3020" spans="10:10" ht="35.450000000000003" hidden="1" customHeight="1">
      <c r="J3020" s="28">
        <f>IFERROR(VLOOKUP(TEXT(B3020,"0"),STOCK!A:H,7,0),1)</f>
        <v>1</v>
      </c>
    </row>
    <row r="3021" spans="10:10" ht="35.450000000000003" hidden="1" customHeight="1">
      <c r="J3021" s="28">
        <f>IFERROR(VLOOKUP(TEXT(B3021,"0"),STOCK!A:H,7,0),1)</f>
        <v>1</v>
      </c>
    </row>
    <row r="3022" spans="10:10" ht="35.450000000000003" hidden="1" customHeight="1">
      <c r="J3022" s="28">
        <f>IFERROR(VLOOKUP(TEXT(B3022,"0"),STOCK!A:H,7,0),1)</f>
        <v>1</v>
      </c>
    </row>
    <row r="3023" spans="10:10" ht="35.450000000000003" hidden="1" customHeight="1">
      <c r="J3023" s="28">
        <f>IFERROR(VLOOKUP(TEXT(B3023,"0"),STOCK!A:H,7,0),1)</f>
        <v>1</v>
      </c>
    </row>
    <row r="3024" spans="10:10" ht="35.450000000000003" hidden="1" customHeight="1">
      <c r="J3024" s="28">
        <f>IFERROR(VLOOKUP(TEXT(B3024,"0"),STOCK!A:H,7,0),1)</f>
        <v>1</v>
      </c>
    </row>
    <row r="3025" spans="10:10" ht="35.450000000000003" hidden="1" customHeight="1">
      <c r="J3025" s="28">
        <f>IFERROR(VLOOKUP(TEXT(B3025,"0"),STOCK!A:H,7,0),1)</f>
        <v>1</v>
      </c>
    </row>
    <row r="3026" spans="10:10" ht="35.450000000000003" hidden="1" customHeight="1">
      <c r="J3026" s="28">
        <f>IFERROR(VLOOKUP(TEXT(B3026,"0"),STOCK!A:H,7,0),1)</f>
        <v>1</v>
      </c>
    </row>
    <row r="3027" spans="10:10" ht="35.450000000000003" hidden="1" customHeight="1">
      <c r="J3027" s="28">
        <f>IFERROR(VLOOKUP(TEXT(B3027,"0"),STOCK!A:H,7,0),1)</f>
        <v>1</v>
      </c>
    </row>
    <row r="3028" spans="10:10" ht="35.450000000000003" hidden="1" customHeight="1">
      <c r="J3028" s="28">
        <f>IFERROR(VLOOKUP(TEXT(B3028,"0"),STOCK!A:H,7,0),1)</f>
        <v>1</v>
      </c>
    </row>
    <row r="3029" spans="10:10" ht="35.450000000000003" hidden="1" customHeight="1">
      <c r="J3029" s="28">
        <f>IFERROR(VLOOKUP(TEXT(B3029,"0"),STOCK!A:H,7,0),1)</f>
        <v>1</v>
      </c>
    </row>
    <row r="3030" spans="10:10" ht="35.450000000000003" hidden="1" customHeight="1">
      <c r="J3030" s="28">
        <f>IFERROR(VLOOKUP(TEXT(B3030,"0"),STOCK!A:H,7,0),1)</f>
        <v>1</v>
      </c>
    </row>
    <row r="3031" spans="10:10" ht="35.450000000000003" hidden="1" customHeight="1">
      <c r="J3031" s="28">
        <f>IFERROR(VLOOKUP(TEXT(B3031,"0"),STOCK!A:H,7,0),1)</f>
        <v>1</v>
      </c>
    </row>
    <row r="3032" spans="10:10" ht="35.450000000000003" hidden="1" customHeight="1">
      <c r="J3032" s="28">
        <f>IFERROR(VLOOKUP(TEXT(B3032,"0"),STOCK!A:H,7,0),1)</f>
        <v>1</v>
      </c>
    </row>
    <row r="3033" spans="10:10" ht="35.450000000000003" hidden="1" customHeight="1">
      <c r="J3033" s="28">
        <f>IFERROR(VLOOKUP(TEXT(B3033,"0"),STOCK!A:H,7,0),1)</f>
        <v>1</v>
      </c>
    </row>
    <row r="3034" spans="10:10" ht="35.450000000000003" hidden="1" customHeight="1">
      <c r="J3034" s="28">
        <f>IFERROR(VLOOKUP(TEXT(B3034,"0"),STOCK!A:H,7,0),1)</f>
        <v>1</v>
      </c>
    </row>
    <row r="3035" spans="10:10" ht="35.450000000000003" hidden="1" customHeight="1">
      <c r="J3035" s="28">
        <f>IFERROR(VLOOKUP(TEXT(B3035,"0"),STOCK!A:H,7,0),1)</f>
        <v>1</v>
      </c>
    </row>
    <row r="3036" spans="10:10" ht="35.450000000000003" hidden="1" customHeight="1">
      <c r="J3036" s="28">
        <f>IFERROR(VLOOKUP(TEXT(B3036,"0"),STOCK!A:H,7,0),1)</f>
        <v>1</v>
      </c>
    </row>
    <row r="3037" spans="10:10" ht="35.450000000000003" hidden="1" customHeight="1">
      <c r="J3037" s="28">
        <f>IFERROR(VLOOKUP(TEXT(B3037,"0"),STOCK!A:H,7,0),1)</f>
        <v>1</v>
      </c>
    </row>
    <row r="3038" spans="10:10" ht="35.450000000000003" hidden="1" customHeight="1">
      <c r="J3038" s="28">
        <f>IFERROR(VLOOKUP(TEXT(B3038,"0"),STOCK!A:H,7,0),1)</f>
        <v>1</v>
      </c>
    </row>
    <row r="3039" spans="10:10" ht="35.450000000000003" hidden="1" customHeight="1">
      <c r="J3039" s="28">
        <f>IFERROR(VLOOKUP(TEXT(B3039,"0"),STOCK!A:H,7,0),1)</f>
        <v>1</v>
      </c>
    </row>
    <row r="3040" spans="10:10" ht="35.450000000000003" hidden="1" customHeight="1">
      <c r="J3040" s="28">
        <f>IFERROR(VLOOKUP(TEXT(B3040,"0"),STOCK!A:H,7,0),1)</f>
        <v>1</v>
      </c>
    </row>
    <row r="3041" spans="10:10" ht="35.450000000000003" hidden="1" customHeight="1">
      <c r="J3041" s="28">
        <f>IFERROR(VLOOKUP(TEXT(B3041,"0"),STOCK!A:H,7,0),1)</f>
        <v>1</v>
      </c>
    </row>
    <row r="3042" spans="10:10" ht="35.450000000000003" hidden="1" customHeight="1">
      <c r="J3042" s="28">
        <f>IFERROR(VLOOKUP(TEXT(B3042,"0"),STOCK!A:H,7,0),1)</f>
        <v>1</v>
      </c>
    </row>
    <row r="3043" spans="10:10" ht="35.450000000000003" hidden="1" customHeight="1">
      <c r="J3043" s="28">
        <f>IFERROR(VLOOKUP(TEXT(B3043,"0"),STOCK!A:H,7,0),1)</f>
        <v>1</v>
      </c>
    </row>
    <row r="3044" spans="10:10" ht="35.450000000000003" hidden="1" customHeight="1">
      <c r="J3044" s="28">
        <f>IFERROR(VLOOKUP(TEXT(B3044,"0"),STOCK!A:H,7,0),1)</f>
        <v>1</v>
      </c>
    </row>
    <row r="3045" spans="10:10" ht="35.450000000000003" hidden="1" customHeight="1">
      <c r="J3045" s="28">
        <f>IFERROR(VLOOKUP(TEXT(B3045,"0"),STOCK!A:H,7,0),1)</f>
        <v>1</v>
      </c>
    </row>
    <row r="3046" spans="10:10" ht="35.450000000000003" hidden="1" customHeight="1">
      <c r="J3046" s="28">
        <f>IFERROR(VLOOKUP(TEXT(B3046,"0"),STOCK!A:H,7,0),1)</f>
        <v>1</v>
      </c>
    </row>
    <row r="3047" spans="10:10" ht="35.450000000000003" hidden="1" customHeight="1">
      <c r="J3047" s="28">
        <f>IFERROR(VLOOKUP(TEXT(B3047,"0"),STOCK!A:H,7,0),1)</f>
        <v>1</v>
      </c>
    </row>
    <row r="3048" spans="10:10" ht="35.450000000000003" hidden="1" customHeight="1">
      <c r="J3048" s="28">
        <f>IFERROR(VLOOKUP(TEXT(B3048,"0"),STOCK!A:H,7,0),1)</f>
        <v>1</v>
      </c>
    </row>
    <row r="3049" spans="10:10" ht="35.450000000000003" hidden="1" customHeight="1">
      <c r="J3049" s="28">
        <f>IFERROR(VLOOKUP(TEXT(B3049,"0"),STOCK!A:H,7,0),1)</f>
        <v>1</v>
      </c>
    </row>
    <row r="3050" spans="10:10" ht="35.450000000000003" hidden="1" customHeight="1">
      <c r="J3050" s="28">
        <f>IFERROR(VLOOKUP(TEXT(B3050,"0"),STOCK!A:H,7,0),1)</f>
        <v>1</v>
      </c>
    </row>
    <row r="3051" spans="10:10" ht="35.450000000000003" hidden="1" customHeight="1">
      <c r="J3051" s="28">
        <f>IFERROR(VLOOKUP(TEXT(B3051,"0"),STOCK!A:H,7,0),1)</f>
        <v>1</v>
      </c>
    </row>
    <row r="3052" spans="10:10" ht="35.450000000000003" hidden="1" customHeight="1">
      <c r="J3052" s="28">
        <f>IFERROR(VLOOKUP(TEXT(B3052,"0"),STOCK!A:H,7,0),1)</f>
        <v>1</v>
      </c>
    </row>
    <row r="3053" spans="10:10" ht="35.450000000000003" hidden="1" customHeight="1">
      <c r="J3053" s="28">
        <f>IFERROR(VLOOKUP(TEXT(B3053,"0"),STOCK!A:H,7,0),1)</f>
        <v>1</v>
      </c>
    </row>
    <row r="3054" spans="10:10" ht="35.450000000000003" hidden="1" customHeight="1">
      <c r="J3054" s="28">
        <f>IFERROR(VLOOKUP(TEXT(B3054,"0"),STOCK!A:H,7,0),1)</f>
        <v>1</v>
      </c>
    </row>
    <row r="3055" spans="10:10" ht="35.450000000000003" hidden="1" customHeight="1">
      <c r="J3055" s="28">
        <f>IFERROR(VLOOKUP(TEXT(B3055,"0"),STOCK!A:H,7,0),1)</f>
        <v>1</v>
      </c>
    </row>
    <row r="3056" spans="10:10" ht="35.450000000000003" hidden="1" customHeight="1">
      <c r="J3056" s="28">
        <f>IFERROR(VLOOKUP(TEXT(B3056,"0"),STOCK!A:H,7,0),1)</f>
        <v>1</v>
      </c>
    </row>
    <row r="3057" spans="10:10" ht="35.450000000000003" hidden="1" customHeight="1">
      <c r="J3057" s="28">
        <f>IFERROR(VLOOKUP(TEXT(B3057,"0"),STOCK!A:H,7,0),1)</f>
        <v>1</v>
      </c>
    </row>
    <row r="3058" spans="10:10" ht="35.450000000000003" hidden="1" customHeight="1">
      <c r="J3058" s="28">
        <f>IFERROR(VLOOKUP(TEXT(B3058,"0"),STOCK!A:H,7,0),1)</f>
        <v>1</v>
      </c>
    </row>
    <row r="3059" spans="10:10" ht="35.450000000000003" hidden="1" customHeight="1">
      <c r="J3059" s="28">
        <f>IFERROR(VLOOKUP(TEXT(B3059,"0"),STOCK!A:H,7,0),1)</f>
        <v>1</v>
      </c>
    </row>
    <row r="3060" spans="10:10" ht="35.450000000000003" hidden="1" customHeight="1">
      <c r="J3060" s="28">
        <f>IFERROR(VLOOKUP(TEXT(B3060,"0"),STOCK!A:H,7,0),1)</f>
        <v>1</v>
      </c>
    </row>
    <row r="3061" spans="10:10" ht="35.450000000000003" hidden="1" customHeight="1">
      <c r="J3061" s="28">
        <f>IFERROR(VLOOKUP(TEXT(B3061,"0"),STOCK!A:H,7,0),1)</f>
        <v>1</v>
      </c>
    </row>
    <row r="3062" spans="10:10" ht="35.450000000000003" hidden="1" customHeight="1">
      <c r="J3062" s="28">
        <f>IFERROR(VLOOKUP(TEXT(B3062,"0"),STOCK!A:H,7,0),1)</f>
        <v>1</v>
      </c>
    </row>
    <row r="3063" spans="10:10" ht="35.450000000000003" hidden="1" customHeight="1">
      <c r="J3063" s="28">
        <f>IFERROR(VLOOKUP(TEXT(B3063,"0"),STOCK!A:H,7,0),1)</f>
        <v>1</v>
      </c>
    </row>
    <row r="3064" spans="10:10" ht="35.450000000000003" hidden="1" customHeight="1">
      <c r="J3064" s="28">
        <f>IFERROR(VLOOKUP(TEXT(B3064,"0"),STOCK!A:H,7,0),1)</f>
        <v>1</v>
      </c>
    </row>
    <row r="3065" spans="10:10" ht="35.450000000000003" hidden="1" customHeight="1">
      <c r="J3065" s="28">
        <f>IFERROR(VLOOKUP(TEXT(B3065,"0"),STOCK!A:H,7,0),1)</f>
        <v>1</v>
      </c>
    </row>
    <row r="3066" spans="10:10" ht="35.450000000000003" hidden="1" customHeight="1">
      <c r="J3066" s="28">
        <f>IFERROR(VLOOKUP(TEXT(B3066,"0"),STOCK!A:H,7,0),1)</f>
        <v>1</v>
      </c>
    </row>
    <row r="3067" spans="10:10" ht="35.450000000000003" hidden="1" customHeight="1">
      <c r="J3067" s="28">
        <f>IFERROR(VLOOKUP(TEXT(B3067,"0"),STOCK!A:H,7,0),1)</f>
        <v>1</v>
      </c>
    </row>
    <row r="3068" spans="10:10" ht="35.450000000000003" hidden="1" customHeight="1">
      <c r="J3068" s="28">
        <f>IFERROR(VLOOKUP(TEXT(B3068,"0"),STOCK!A:H,7,0),1)</f>
        <v>1</v>
      </c>
    </row>
    <row r="3069" spans="10:10" ht="35.450000000000003" hidden="1" customHeight="1">
      <c r="J3069" s="28">
        <f>IFERROR(VLOOKUP(TEXT(B3069,"0"),STOCK!A:H,7,0),1)</f>
        <v>1</v>
      </c>
    </row>
    <row r="3070" spans="10:10" ht="35.450000000000003" hidden="1" customHeight="1">
      <c r="J3070" s="28">
        <f>IFERROR(VLOOKUP(TEXT(B3070,"0"),STOCK!A:H,7,0),1)</f>
        <v>1</v>
      </c>
    </row>
    <row r="3071" spans="10:10" ht="35.450000000000003" hidden="1" customHeight="1">
      <c r="J3071" s="28">
        <f>IFERROR(VLOOKUP(TEXT(B3071,"0"),STOCK!A:H,7,0),1)</f>
        <v>1</v>
      </c>
    </row>
    <row r="3072" spans="10:10" ht="35.450000000000003" hidden="1" customHeight="1">
      <c r="J3072" s="28">
        <f>IFERROR(VLOOKUP(TEXT(B3072,"0"),STOCK!A:H,7,0),1)</f>
        <v>1</v>
      </c>
    </row>
    <row r="3073" spans="10:10" ht="35.450000000000003" hidden="1" customHeight="1">
      <c r="J3073" s="28">
        <f>IFERROR(VLOOKUP(TEXT(B3073,"0"),STOCK!A:H,7,0),1)</f>
        <v>1</v>
      </c>
    </row>
    <row r="3074" spans="10:10" ht="35.450000000000003" hidden="1" customHeight="1">
      <c r="J3074" s="28">
        <f>IFERROR(VLOOKUP(TEXT(B3074,"0"),STOCK!A:H,7,0),1)</f>
        <v>1</v>
      </c>
    </row>
    <row r="3075" spans="10:10" ht="35.450000000000003" hidden="1" customHeight="1">
      <c r="J3075" s="28">
        <f>IFERROR(VLOOKUP(TEXT(B3075,"0"),STOCK!A:H,7,0),1)</f>
        <v>1</v>
      </c>
    </row>
    <row r="3076" spans="10:10" ht="35.450000000000003" hidden="1" customHeight="1">
      <c r="J3076" s="28">
        <f>IFERROR(VLOOKUP(TEXT(B3076,"0"),STOCK!A:H,7,0),1)</f>
        <v>1</v>
      </c>
    </row>
    <row r="3077" spans="10:10" ht="35.450000000000003" hidden="1" customHeight="1">
      <c r="J3077" s="28">
        <f>IFERROR(VLOOKUP(TEXT(B3077,"0"),STOCK!A:H,7,0),1)</f>
        <v>1</v>
      </c>
    </row>
    <row r="3078" spans="10:10" ht="35.450000000000003" hidden="1" customHeight="1">
      <c r="J3078" s="28">
        <f>IFERROR(VLOOKUP(TEXT(B3078,"0"),STOCK!A:H,7,0),1)</f>
        <v>1</v>
      </c>
    </row>
    <row r="3079" spans="10:10" ht="35.450000000000003" hidden="1" customHeight="1">
      <c r="J3079" s="28">
        <f>IFERROR(VLOOKUP(TEXT(B3079,"0"),STOCK!A:H,7,0),1)</f>
        <v>1</v>
      </c>
    </row>
    <row r="3080" spans="10:10" ht="35.450000000000003" hidden="1" customHeight="1">
      <c r="J3080" s="28">
        <f>IFERROR(VLOOKUP(TEXT(B3080,"0"),STOCK!A:H,7,0),1)</f>
        <v>1</v>
      </c>
    </row>
    <row r="3081" spans="10:10" ht="35.450000000000003" hidden="1" customHeight="1">
      <c r="J3081" s="28">
        <f>IFERROR(VLOOKUP(TEXT(B3081,"0"),STOCK!A:H,7,0),1)</f>
        <v>1</v>
      </c>
    </row>
    <row r="3082" spans="10:10" ht="35.450000000000003" hidden="1" customHeight="1">
      <c r="J3082" s="28">
        <f>IFERROR(VLOOKUP(TEXT(B3082,"0"),STOCK!A:H,7,0),1)</f>
        <v>1</v>
      </c>
    </row>
    <row r="3083" spans="10:10" ht="35.450000000000003" hidden="1" customHeight="1">
      <c r="J3083" s="28">
        <f>IFERROR(VLOOKUP(TEXT(B3083,"0"),STOCK!A:H,7,0),1)</f>
        <v>1</v>
      </c>
    </row>
    <row r="3084" spans="10:10" ht="35.450000000000003" hidden="1" customHeight="1">
      <c r="J3084" s="28">
        <f>IFERROR(VLOOKUP(TEXT(B3084,"0"),STOCK!A:H,7,0),1)</f>
        <v>1</v>
      </c>
    </row>
    <row r="3085" spans="10:10" ht="35.450000000000003" hidden="1" customHeight="1">
      <c r="J3085" s="28">
        <f>IFERROR(VLOOKUP(TEXT(B3085,"0"),STOCK!A:H,7,0),1)</f>
        <v>1</v>
      </c>
    </row>
    <row r="3086" spans="10:10" ht="35.450000000000003" hidden="1" customHeight="1">
      <c r="J3086" s="28">
        <f>IFERROR(VLOOKUP(TEXT(B3086,"0"),STOCK!A:H,7,0),1)</f>
        <v>1</v>
      </c>
    </row>
    <row r="3087" spans="10:10" ht="35.450000000000003" hidden="1" customHeight="1">
      <c r="J3087" s="28">
        <f>IFERROR(VLOOKUP(TEXT(B3087,"0"),STOCK!A:H,7,0),1)</f>
        <v>1</v>
      </c>
    </row>
    <row r="3088" spans="10:10" ht="35.450000000000003" hidden="1" customHeight="1">
      <c r="J3088" s="28">
        <f>IFERROR(VLOOKUP(TEXT(B3088,"0"),STOCK!A:H,7,0),1)</f>
        <v>1</v>
      </c>
    </row>
    <row r="3089" spans="10:10" ht="35.450000000000003" hidden="1" customHeight="1">
      <c r="J3089" s="28">
        <f>IFERROR(VLOOKUP(TEXT(B3089,"0"),STOCK!A:H,7,0),1)</f>
        <v>1</v>
      </c>
    </row>
    <row r="3090" spans="10:10" ht="35.450000000000003" hidden="1" customHeight="1">
      <c r="J3090" s="28">
        <f>IFERROR(VLOOKUP(TEXT(B3090,"0"),STOCK!A:H,7,0),1)</f>
        <v>1</v>
      </c>
    </row>
    <row r="3091" spans="10:10" ht="35.450000000000003" hidden="1" customHeight="1">
      <c r="J3091" s="28">
        <f>IFERROR(VLOOKUP(TEXT(B3091,"0"),STOCK!A:H,7,0),1)</f>
        <v>1</v>
      </c>
    </row>
    <row r="3092" spans="10:10" ht="35.450000000000003" hidden="1" customHeight="1">
      <c r="J3092" s="28">
        <f>IFERROR(VLOOKUP(TEXT(B3092,"0"),STOCK!A:H,7,0),1)</f>
        <v>1</v>
      </c>
    </row>
    <row r="3093" spans="10:10" ht="35.450000000000003" hidden="1" customHeight="1">
      <c r="J3093" s="28">
        <f>IFERROR(VLOOKUP(TEXT(B3093,"0"),STOCK!A:H,7,0),1)</f>
        <v>1</v>
      </c>
    </row>
    <row r="3094" spans="10:10" ht="35.450000000000003" hidden="1" customHeight="1">
      <c r="J3094" s="28">
        <f>IFERROR(VLOOKUP(TEXT(B3094,"0"),STOCK!A:H,7,0),1)</f>
        <v>1</v>
      </c>
    </row>
    <row r="3095" spans="10:10" ht="35.450000000000003" hidden="1" customHeight="1">
      <c r="J3095" s="28">
        <f>IFERROR(VLOOKUP(TEXT(B3095,"0"),STOCK!A:H,7,0),1)</f>
        <v>1</v>
      </c>
    </row>
    <row r="3096" spans="10:10" ht="35.450000000000003" hidden="1" customHeight="1">
      <c r="J3096" s="28">
        <f>IFERROR(VLOOKUP(TEXT(B3096,"0"),STOCK!A:H,7,0),1)</f>
        <v>1</v>
      </c>
    </row>
    <row r="3097" spans="10:10" ht="35.450000000000003" hidden="1" customHeight="1">
      <c r="J3097" s="28">
        <f>IFERROR(VLOOKUP(TEXT(B3097,"0"),STOCK!A:H,7,0),1)</f>
        <v>1</v>
      </c>
    </row>
    <row r="3098" spans="10:10" ht="35.450000000000003" hidden="1" customHeight="1">
      <c r="J3098" s="28">
        <f>IFERROR(VLOOKUP(TEXT(B3098,"0"),STOCK!A:H,7,0),1)</f>
        <v>1</v>
      </c>
    </row>
    <row r="3099" spans="10:10" ht="35.450000000000003" hidden="1" customHeight="1">
      <c r="J3099" s="28">
        <f>IFERROR(VLOOKUP(TEXT(B3099,"0"),STOCK!A:H,7,0),1)</f>
        <v>1</v>
      </c>
    </row>
    <row r="3100" spans="10:10" ht="35.450000000000003" hidden="1" customHeight="1">
      <c r="J3100" s="28">
        <f>IFERROR(VLOOKUP(TEXT(B3100,"0"),STOCK!A:H,7,0),1)</f>
        <v>1</v>
      </c>
    </row>
    <row r="3101" spans="10:10" ht="35.450000000000003" hidden="1" customHeight="1">
      <c r="J3101" s="28">
        <f>IFERROR(VLOOKUP(TEXT(B3101,"0"),STOCK!A:H,7,0),1)</f>
        <v>1</v>
      </c>
    </row>
    <row r="3102" spans="10:10" ht="35.450000000000003" hidden="1" customHeight="1">
      <c r="J3102" s="28">
        <f>IFERROR(VLOOKUP(TEXT(B3102,"0"),STOCK!A:H,7,0),1)</f>
        <v>1</v>
      </c>
    </row>
    <row r="3103" spans="10:10" ht="35.450000000000003" hidden="1" customHeight="1">
      <c r="J3103" s="28">
        <f>IFERROR(VLOOKUP(TEXT(B3103,"0"),STOCK!A:H,7,0),1)</f>
        <v>1</v>
      </c>
    </row>
    <row r="3104" spans="10:10" ht="35.450000000000003" hidden="1" customHeight="1">
      <c r="J3104" s="28">
        <f>IFERROR(VLOOKUP(TEXT(B3104,"0"),STOCK!A:H,7,0),1)</f>
        <v>1</v>
      </c>
    </row>
    <row r="3105" spans="10:10" ht="35.450000000000003" hidden="1" customHeight="1">
      <c r="J3105" s="28">
        <f>IFERROR(VLOOKUP(TEXT(B3105,"0"),STOCK!A:H,7,0),1)</f>
        <v>1</v>
      </c>
    </row>
    <row r="3106" spans="10:10" ht="35.450000000000003" hidden="1" customHeight="1">
      <c r="J3106" s="28">
        <f>IFERROR(VLOOKUP(TEXT(B3106,"0"),STOCK!A:H,7,0),1)</f>
        <v>1</v>
      </c>
    </row>
    <row r="3107" spans="10:10" ht="35.450000000000003" hidden="1" customHeight="1">
      <c r="J3107" s="28">
        <f>IFERROR(VLOOKUP(TEXT(B3107,"0"),STOCK!A:H,7,0),1)</f>
        <v>1</v>
      </c>
    </row>
    <row r="3108" spans="10:10" ht="35.450000000000003" hidden="1" customHeight="1">
      <c r="J3108" s="28">
        <f>IFERROR(VLOOKUP(TEXT(B3108,"0"),STOCK!A:H,7,0),1)</f>
        <v>1</v>
      </c>
    </row>
    <row r="3109" spans="10:10" ht="35.450000000000003" hidden="1" customHeight="1">
      <c r="J3109" s="28">
        <f>IFERROR(VLOOKUP(TEXT(B3109,"0"),STOCK!A:H,7,0),1)</f>
        <v>1</v>
      </c>
    </row>
    <row r="3110" spans="10:10" ht="35.450000000000003" hidden="1" customHeight="1">
      <c r="J3110" s="28">
        <f>IFERROR(VLOOKUP(TEXT(B3110,"0"),STOCK!A:H,7,0),1)</f>
        <v>1</v>
      </c>
    </row>
    <row r="3111" spans="10:10" ht="35.450000000000003" hidden="1" customHeight="1">
      <c r="J3111" s="28">
        <f>IFERROR(VLOOKUP(TEXT(B3111,"0"),STOCK!A:H,7,0),1)</f>
        <v>1</v>
      </c>
    </row>
    <row r="3112" spans="10:10" ht="35.450000000000003" hidden="1" customHeight="1">
      <c r="J3112" s="28">
        <f>IFERROR(VLOOKUP(TEXT(B3112,"0"),STOCK!A:H,7,0),1)</f>
        <v>1</v>
      </c>
    </row>
    <row r="3113" spans="10:10" ht="35.450000000000003" hidden="1" customHeight="1">
      <c r="J3113" s="28">
        <f>IFERROR(VLOOKUP(TEXT(B3113,"0"),STOCK!A:H,7,0),1)</f>
        <v>1</v>
      </c>
    </row>
    <row r="3114" spans="10:10" ht="35.450000000000003" hidden="1" customHeight="1">
      <c r="J3114" s="28">
        <f>IFERROR(VLOOKUP(TEXT(B3114,"0"),STOCK!A:H,7,0),1)</f>
        <v>1</v>
      </c>
    </row>
    <row r="3115" spans="10:10" ht="35.450000000000003" hidden="1" customHeight="1">
      <c r="J3115" s="28">
        <f>IFERROR(VLOOKUP(TEXT(B3115,"0"),STOCK!A:H,7,0),1)</f>
        <v>1</v>
      </c>
    </row>
    <row r="3116" spans="10:10" ht="35.450000000000003" hidden="1" customHeight="1">
      <c r="J3116" s="28">
        <f>IFERROR(VLOOKUP(TEXT(B3116,"0"),STOCK!A:H,7,0),1)</f>
        <v>1</v>
      </c>
    </row>
    <row r="3117" spans="10:10" ht="35.450000000000003" hidden="1" customHeight="1">
      <c r="J3117" s="28">
        <f>IFERROR(VLOOKUP(TEXT(B3117,"0"),STOCK!A:H,7,0),1)</f>
        <v>1</v>
      </c>
    </row>
    <row r="3118" spans="10:10" ht="35.450000000000003" hidden="1" customHeight="1">
      <c r="J3118" s="28">
        <f>IFERROR(VLOOKUP(TEXT(B3118,"0"),STOCK!A:H,7,0),1)</f>
        <v>1</v>
      </c>
    </row>
    <row r="3119" spans="10:10" ht="35.450000000000003" hidden="1" customHeight="1">
      <c r="J3119" s="28">
        <f>IFERROR(VLOOKUP(TEXT(B3119,"0"),STOCK!A:H,7,0),1)</f>
        <v>1</v>
      </c>
    </row>
    <row r="3120" spans="10:10" ht="35.450000000000003" hidden="1" customHeight="1">
      <c r="J3120" s="28">
        <f>IFERROR(VLOOKUP(TEXT(B3120,"0"),STOCK!A:H,7,0),1)</f>
        <v>1</v>
      </c>
    </row>
    <row r="3121" spans="10:10" ht="35.450000000000003" hidden="1" customHeight="1">
      <c r="J3121" s="28">
        <f>IFERROR(VLOOKUP(TEXT(B3121,"0"),STOCK!A:H,7,0),1)</f>
        <v>1</v>
      </c>
    </row>
    <row r="3122" spans="10:10" ht="35.450000000000003" hidden="1" customHeight="1">
      <c r="J3122" s="28">
        <f>IFERROR(VLOOKUP(TEXT(B3122,"0"),STOCK!A:H,7,0),1)</f>
        <v>1</v>
      </c>
    </row>
    <row r="3123" spans="10:10" ht="35.450000000000003" hidden="1" customHeight="1">
      <c r="J3123" s="28">
        <f>IFERROR(VLOOKUP(TEXT(B3123,"0"),STOCK!A:H,7,0),1)</f>
        <v>1</v>
      </c>
    </row>
    <row r="3124" spans="10:10" ht="35.450000000000003" hidden="1" customHeight="1">
      <c r="J3124" s="28">
        <f>IFERROR(VLOOKUP(TEXT(B3124,"0"),STOCK!A:H,7,0),1)</f>
        <v>1</v>
      </c>
    </row>
    <row r="3125" spans="10:10" ht="35.450000000000003" hidden="1" customHeight="1">
      <c r="J3125" s="28">
        <f>IFERROR(VLOOKUP(TEXT(B3125,"0"),STOCK!A:H,7,0),1)</f>
        <v>1</v>
      </c>
    </row>
    <row r="3126" spans="10:10" ht="35.450000000000003" hidden="1" customHeight="1">
      <c r="J3126" s="28">
        <f>IFERROR(VLOOKUP(TEXT(B3126,"0"),STOCK!A:H,7,0),1)</f>
        <v>1</v>
      </c>
    </row>
    <row r="3127" spans="10:10" ht="35.450000000000003" hidden="1" customHeight="1">
      <c r="J3127" s="28">
        <f>IFERROR(VLOOKUP(TEXT(B3127,"0"),STOCK!A:H,7,0),1)</f>
        <v>1</v>
      </c>
    </row>
    <row r="3128" spans="10:10" ht="35.450000000000003" hidden="1" customHeight="1">
      <c r="J3128" s="28">
        <f>IFERROR(VLOOKUP(TEXT(B3128,"0"),STOCK!A:H,7,0),1)</f>
        <v>1</v>
      </c>
    </row>
    <row r="3129" spans="10:10" ht="35.450000000000003" hidden="1" customHeight="1">
      <c r="J3129" s="28">
        <f>IFERROR(VLOOKUP(TEXT(B3129,"0"),STOCK!A:H,7,0),1)</f>
        <v>1</v>
      </c>
    </row>
    <row r="3130" spans="10:10" ht="35.450000000000003" hidden="1" customHeight="1">
      <c r="J3130" s="28">
        <f>IFERROR(VLOOKUP(TEXT(B3130,"0"),STOCK!A:H,7,0),1)</f>
        <v>1</v>
      </c>
    </row>
    <row r="3131" spans="10:10" ht="35.450000000000003" hidden="1" customHeight="1">
      <c r="J3131" s="28">
        <f>IFERROR(VLOOKUP(TEXT(B3131,"0"),STOCK!A:H,7,0),1)</f>
        <v>1</v>
      </c>
    </row>
    <row r="3132" spans="10:10" ht="35.450000000000003" hidden="1" customHeight="1">
      <c r="J3132" s="28">
        <f>IFERROR(VLOOKUP(TEXT(B3132,"0"),STOCK!A:H,7,0),1)</f>
        <v>1</v>
      </c>
    </row>
    <row r="3133" spans="10:10" ht="35.450000000000003" hidden="1" customHeight="1">
      <c r="J3133" s="28">
        <f>IFERROR(VLOOKUP(TEXT(B3133,"0"),STOCK!A:H,7,0),1)</f>
        <v>1</v>
      </c>
    </row>
    <row r="3134" spans="10:10" ht="35.450000000000003" hidden="1" customHeight="1">
      <c r="J3134" s="28">
        <f>IFERROR(VLOOKUP(TEXT(B3134,"0"),STOCK!A:H,7,0),1)</f>
        <v>1</v>
      </c>
    </row>
    <row r="3135" spans="10:10" ht="35.450000000000003" hidden="1" customHeight="1">
      <c r="J3135" s="28">
        <f>IFERROR(VLOOKUP(TEXT(B3135,"0"),STOCK!A:H,7,0),1)</f>
        <v>1</v>
      </c>
    </row>
    <row r="3136" spans="10:10" ht="35.450000000000003" hidden="1" customHeight="1">
      <c r="J3136" s="28">
        <f>IFERROR(VLOOKUP(TEXT(B3136,"0"),STOCK!A:H,7,0),1)</f>
        <v>1</v>
      </c>
    </row>
    <row r="3137" spans="10:10" ht="35.450000000000003" hidden="1" customHeight="1">
      <c r="J3137" s="28">
        <f>IFERROR(VLOOKUP(TEXT(B3137,"0"),STOCK!A:H,7,0),1)</f>
        <v>1</v>
      </c>
    </row>
    <row r="3138" spans="10:10" ht="35.450000000000003" hidden="1" customHeight="1">
      <c r="J3138" s="28">
        <f>IFERROR(VLOOKUP(TEXT(B3138,"0"),STOCK!A:H,7,0),1)</f>
        <v>1</v>
      </c>
    </row>
    <row r="3139" spans="10:10" ht="35.450000000000003" hidden="1" customHeight="1">
      <c r="J3139" s="28">
        <f>IFERROR(VLOOKUP(TEXT(B3139,"0"),STOCK!A:H,7,0),1)</f>
        <v>1</v>
      </c>
    </row>
    <row r="3140" spans="10:10" ht="35.450000000000003" hidden="1" customHeight="1">
      <c r="J3140" s="28">
        <f>IFERROR(VLOOKUP(TEXT(B3140,"0"),STOCK!A:H,7,0),1)</f>
        <v>1</v>
      </c>
    </row>
    <row r="3141" spans="10:10" ht="35.450000000000003" hidden="1" customHeight="1">
      <c r="J3141" s="28">
        <f>IFERROR(VLOOKUP(TEXT(B3141,"0"),STOCK!A:H,7,0),1)</f>
        <v>1</v>
      </c>
    </row>
    <row r="3142" spans="10:10" ht="35.450000000000003" hidden="1" customHeight="1">
      <c r="J3142" s="28">
        <f>IFERROR(VLOOKUP(TEXT(B3142,"0"),STOCK!A:H,7,0),1)</f>
        <v>1</v>
      </c>
    </row>
    <row r="3143" spans="10:10" ht="35.450000000000003" hidden="1" customHeight="1">
      <c r="J3143" s="28">
        <f>IFERROR(VLOOKUP(TEXT(B3143,"0"),STOCK!A:H,7,0),1)</f>
        <v>1</v>
      </c>
    </row>
    <row r="3144" spans="10:10" ht="35.450000000000003" hidden="1" customHeight="1">
      <c r="J3144" s="28">
        <f>IFERROR(VLOOKUP(TEXT(B3144,"0"),STOCK!A:H,7,0),1)</f>
        <v>1</v>
      </c>
    </row>
    <row r="3145" spans="10:10" ht="35.450000000000003" hidden="1" customHeight="1">
      <c r="J3145" s="28">
        <f>IFERROR(VLOOKUP(TEXT(B3145,"0"),STOCK!A:H,7,0),1)</f>
        <v>1</v>
      </c>
    </row>
    <row r="3146" spans="10:10" ht="35.450000000000003" hidden="1" customHeight="1">
      <c r="J3146" s="28">
        <f>IFERROR(VLOOKUP(TEXT(B3146,"0"),STOCK!A:H,7,0),1)</f>
        <v>1</v>
      </c>
    </row>
    <row r="3147" spans="10:10" ht="35.450000000000003" hidden="1" customHeight="1">
      <c r="J3147" s="28">
        <f>IFERROR(VLOOKUP(TEXT(B3147,"0"),STOCK!A:H,7,0),1)</f>
        <v>1</v>
      </c>
    </row>
    <row r="3148" spans="10:10" ht="35.450000000000003" hidden="1" customHeight="1">
      <c r="J3148" s="28">
        <f>IFERROR(VLOOKUP(TEXT(B3148,"0"),STOCK!A:H,7,0),1)</f>
        <v>1</v>
      </c>
    </row>
    <row r="3149" spans="10:10" ht="35.450000000000003" hidden="1" customHeight="1">
      <c r="J3149" s="28">
        <f>IFERROR(VLOOKUP(TEXT(B3149,"0"),STOCK!A:H,7,0),1)</f>
        <v>1</v>
      </c>
    </row>
    <row r="3150" spans="10:10" ht="35.450000000000003" hidden="1" customHeight="1">
      <c r="J3150" s="28">
        <f>IFERROR(VLOOKUP(TEXT(B3150,"0"),STOCK!A:H,7,0),1)</f>
        <v>1</v>
      </c>
    </row>
    <row r="3151" spans="10:10" ht="35.450000000000003" hidden="1" customHeight="1">
      <c r="J3151" s="28">
        <f>IFERROR(VLOOKUP(TEXT(B3151,"0"),STOCK!A:H,7,0),1)</f>
        <v>1</v>
      </c>
    </row>
    <row r="3152" spans="10:10" ht="35.450000000000003" hidden="1" customHeight="1">
      <c r="J3152" s="28">
        <f>IFERROR(VLOOKUP(TEXT(B3152,"0"),STOCK!A:H,7,0),1)</f>
        <v>1</v>
      </c>
    </row>
    <row r="3153" spans="10:10" ht="35.450000000000003" hidden="1" customHeight="1">
      <c r="J3153" s="28">
        <f>IFERROR(VLOOKUP(TEXT(B3153,"0"),STOCK!A:H,7,0),1)</f>
        <v>1</v>
      </c>
    </row>
    <row r="3154" spans="10:10" ht="35.450000000000003" hidden="1" customHeight="1">
      <c r="J3154" s="28">
        <f>IFERROR(VLOOKUP(TEXT(B3154,"0"),STOCK!A:H,7,0),1)</f>
        <v>1</v>
      </c>
    </row>
    <row r="3155" spans="10:10" ht="35.450000000000003" hidden="1" customHeight="1">
      <c r="J3155" s="28">
        <f>IFERROR(VLOOKUP(TEXT(B3155,"0"),STOCK!A:H,7,0),1)</f>
        <v>1</v>
      </c>
    </row>
    <row r="3156" spans="10:10" ht="35.450000000000003" hidden="1" customHeight="1">
      <c r="J3156" s="28">
        <f>IFERROR(VLOOKUP(TEXT(B3156,"0"),STOCK!A:H,7,0),1)</f>
        <v>1</v>
      </c>
    </row>
    <row r="3157" spans="10:10" ht="35.450000000000003" hidden="1" customHeight="1">
      <c r="J3157" s="28">
        <f>IFERROR(VLOOKUP(TEXT(B3157,"0"),STOCK!A:H,7,0),1)</f>
        <v>1</v>
      </c>
    </row>
    <row r="3158" spans="10:10" ht="35.450000000000003" hidden="1" customHeight="1">
      <c r="J3158" s="28">
        <f>IFERROR(VLOOKUP(TEXT(B3158,"0"),STOCK!A:H,7,0),1)</f>
        <v>1</v>
      </c>
    </row>
    <row r="3159" spans="10:10" ht="35.450000000000003" hidden="1" customHeight="1">
      <c r="J3159" s="28">
        <f>IFERROR(VLOOKUP(TEXT(B3159,"0"),STOCK!A:H,7,0),1)</f>
        <v>1</v>
      </c>
    </row>
    <row r="3160" spans="10:10" ht="35.450000000000003" hidden="1" customHeight="1">
      <c r="J3160" s="28">
        <f>IFERROR(VLOOKUP(TEXT(B3160,"0"),STOCK!A:H,7,0),1)</f>
        <v>1</v>
      </c>
    </row>
    <row r="3161" spans="10:10" ht="35.450000000000003" hidden="1" customHeight="1">
      <c r="J3161" s="28">
        <f>IFERROR(VLOOKUP(TEXT(B3161,"0"),STOCK!A:H,7,0),1)</f>
        <v>1</v>
      </c>
    </row>
    <row r="3162" spans="10:10" ht="35.450000000000003" hidden="1" customHeight="1">
      <c r="J3162" s="28">
        <f>IFERROR(VLOOKUP(TEXT(B3162,"0"),STOCK!A:H,7,0),1)</f>
        <v>1</v>
      </c>
    </row>
    <row r="3163" spans="10:10" ht="35.450000000000003" hidden="1" customHeight="1">
      <c r="J3163" s="28">
        <f>IFERROR(VLOOKUP(TEXT(B3163,"0"),STOCK!A:H,7,0),1)</f>
        <v>1</v>
      </c>
    </row>
    <row r="3164" spans="10:10" ht="35.450000000000003" hidden="1" customHeight="1">
      <c r="J3164" s="28">
        <f>IFERROR(VLOOKUP(TEXT(B3164,"0"),STOCK!A:H,7,0),1)</f>
        <v>1</v>
      </c>
    </row>
    <row r="3165" spans="10:10" ht="35.450000000000003" hidden="1" customHeight="1">
      <c r="J3165" s="28">
        <f>IFERROR(VLOOKUP(TEXT(B3165,"0"),STOCK!A:H,7,0),1)</f>
        <v>1</v>
      </c>
    </row>
    <row r="3166" spans="10:10" ht="35.450000000000003" hidden="1" customHeight="1">
      <c r="J3166" s="28">
        <f>IFERROR(VLOOKUP(TEXT(B3166,"0"),STOCK!A:H,7,0),1)</f>
        <v>1</v>
      </c>
    </row>
    <row r="3167" spans="10:10" ht="35.450000000000003" hidden="1" customHeight="1">
      <c r="J3167" s="28">
        <f>IFERROR(VLOOKUP(TEXT(B3167,"0"),STOCK!A:H,7,0),1)</f>
        <v>1</v>
      </c>
    </row>
    <row r="3168" spans="10:10" ht="35.450000000000003" hidden="1" customHeight="1">
      <c r="J3168" s="28">
        <f>IFERROR(VLOOKUP(TEXT(B3168,"0"),STOCK!A:H,7,0),1)</f>
        <v>1</v>
      </c>
    </row>
    <row r="3169" spans="10:10" ht="35.450000000000003" hidden="1" customHeight="1">
      <c r="J3169" s="28">
        <f>IFERROR(VLOOKUP(TEXT(B3169,"0"),STOCK!A:H,7,0),1)</f>
        <v>1</v>
      </c>
    </row>
    <row r="3170" spans="10:10" ht="35.450000000000003" hidden="1" customHeight="1">
      <c r="J3170" s="28">
        <f>IFERROR(VLOOKUP(TEXT(B3170,"0"),STOCK!A:H,7,0),1)</f>
        <v>1</v>
      </c>
    </row>
    <row r="3171" spans="10:10" ht="35.450000000000003" hidden="1" customHeight="1">
      <c r="J3171" s="28">
        <f>IFERROR(VLOOKUP(TEXT(B3171,"0"),STOCK!A:H,7,0),1)</f>
        <v>1</v>
      </c>
    </row>
    <row r="3172" spans="10:10" ht="35.450000000000003" hidden="1" customHeight="1">
      <c r="J3172" s="28">
        <f>IFERROR(VLOOKUP(TEXT(B3172,"0"),STOCK!A:H,7,0),1)</f>
        <v>1</v>
      </c>
    </row>
    <row r="3173" spans="10:10" ht="35.450000000000003" hidden="1" customHeight="1">
      <c r="J3173" s="28">
        <f>IFERROR(VLOOKUP(TEXT(B3173,"0"),STOCK!A:H,7,0),1)</f>
        <v>1</v>
      </c>
    </row>
    <row r="3174" spans="10:10" ht="35.450000000000003" hidden="1" customHeight="1">
      <c r="J3174" s="28">
        <f>IFERROR(VLOOKUP(TEXT(B3174,"0"),STOCK!A:H,7,0),1)</f>
        <v>1</v>
      </c>
    </row>
    <row r="3175" spans="10:10" ht="35.450000000000003" hidden="1" customHeight="1">
      <c r="J3175" s="28">
        <f>IFERROR(VLOOKUP(TEXT(B3175,"0"),STOCK!A:H,7,0),1)</f>
        <v>1</v>
      </c>
    </row>
    <row r="3176" spans="10:10" ht="35.450000000000003" hidden="1" customHeight="1">
      <c r="J3176" s="28">
        <f>IFERROR(VLOOKUP(TEXT(B3176,"0"),STOCK!A:H,7,0),1)</f>
        <v>1</v>
      </c>
    </row>
    <row r="3177" spans="10:10" ht="35.450000000000003" hidden="1" customHeight="1">
      <c r="J3177" s="28">
        <f>IFERROR(VLOOKUP(TEXT(B3177,"0"),STOCK!A:H,7,0),1)</f>
        <v>1</v>
      </c>
    </row>
    <row r="3178" spans="10:10" ht="35.450000000000003" hidden="1" customHeight="1">
      <c r="J3178" s="28">
        <f>IFERROR(VLOOKUP(TEXT(B3178,"0"),STOCK!A:H,7,0),1)</f>
        <v>1</v>
      </c>
    </row>
    <row r="3179" spans="10:10" ht="35.450000000000003" hidden="1" customHeight="1">
      <c r="J3179" s="28">
        <f>IFERROR(VLOOKUP(TEXT(B3179,"0"),STOCK!A:H,7,0),1)</f>
        <v>1</v>
      </c>
    </row>
    <row r="3180" spans="10:10" ht="35.450000000000003" hidden="1" customHeight="1">
      <c r="J3180" s="28">
        <f>IFERROR(VLOOKUP(TEXT(B3180,"0"),STOCK!A:H,7,0),1)</f>
        <v>1</v>
      </c>
    </row>
    <row r="3181" spans="10:10" ht="35.450000000000003" hidden="1" customHeight="1">
      <c r="J3181" s="28">
        <f>IFERROR(VLOOKUP(TEXT(B3181,"0"),STOCK!A:H,7,0),1)</f>
        <v>1</v>
      </c>
    </row>
    <row r="3182" spans="10:10" ht="35.450000000000003" hidden="1" customHeight="1">
      <c r="J3182" s="28">
        <f>IFERROR(VLOOKUP(TEXT(B3182,"0"),STOCK!A:H,7,0),1)</f>
        <v>1</v>
      </c>
    </row>
    <row r="3183" spans="10:10" ht="35.450000000000003" hidden="1" customHeight="1">
      <c r="J3183" s="28">
        <f>IFERROR(VLOOKUP(TEXT(B3183,"0"),STOCK!A:H,7,0),1)</f>
        <v>1</v>
      </c>
    </row>
    <row r="3184" spans="10:10" ht="35.450000000000003" hidden="1" customHeight="1">
      <c r="J3184" s="28">
        <f>IFERROR(VLOOKUP(TEXT(B3184,"0"),STOCK!A:H,7,0),1)</f>
        <v>1</v>
      </c>
    </row>
    <row r="3185" spans="10:10" ht="35.450000000000003" hidden="1" customHeight="1">
      <c r="J3185" s="28">
        <f>IFERROR(VLOOKUP(TEXT(B3185,"0"),STOCK!A:H,7,0),1)</f>
        <v>1</v>
      </c>
    </row>
    <row r="3186" spans="10:10" ht="35.450000000000003" hidden="1" customHeight="1">
      <c r="J3186" s="28">
        <f>IFERROR(VLOOKUP(TEXT(B3186,"0"),STOCK!A:H,7,0),1)</f>
        <v>1</v>
      </c>
    </row>
    <row r="3187" spans="10:10" ht="35.450000000000003" hidden="1" customHeight="1">
      <c r="J3187" s="28">
        <f>IFERROR(VLOOKUP(TEXT(B3187,"0"),STOCK!A:H,7,0),1)</f>
        <v>1</v>
      </c>
    </row>
    <row r="3188" spans="10:10" ht="35.450000000000003" hidden="1" customHeight="1">
      <c r="J3188" s="28">
        <f>IFERROR(VLOOKUP(TEXT(B3188,"0"),STOCK!A:H,7,0),1)</f>
        <v>1</v>
      </c>
    </row>
    <row r="3189" spans="10:10" ht="35.450000000000003" hidden="1" customHeight="1">
      <c r="J3189" s="28">
        <f>IFERROR(VLOOKUP(TEXT(B3189,"0"),STOCK!A:H,7,0),1)</f>
        <v>1</v>
      </c>
    </row>
    <row r="3190" spans="10:10" ht="35.450000000000003" hidden="1" customHeight="1">
      <c r="J3190" s="28">
        <f>IFERROR(VLOOKUP(TEXT(B3190,"0"),STOCK!A:H,7,0),1)</f>
        <v>1</v>
      </c>
    </row>
    <row r="3191" spans="10:10" ht="35.450000000000003" hidden="1" customHeight="1">
      <c r="J3191" s="28">
        <f>IFERROR(VLOOKUP(TEXT(B3191,"0"),STOCK!A:H,7,0),1)</f>
        <v>1</v>
      </c>
    </row>
    <row r="3192" spans="10:10" ht="35.450000000000003" hidden="1" customHeight="1">
      <c r="J3192" s="28">
        <f>IFERROR(VLOOKUP(TEXT(B3192,"0"),STOCK!A:H,7,0),1)</f>
        <v>1</v>
      </c>
    </row>
    <row r="3193" spans="10:10" ht="35.450000000000003" hidden="1" customHeight="1">
      <c r="J3193" s="28">
        <f>IFERROR(VLOOKUP(TEXT(B3193,"0"),STOCK!A:H,7,0),1)</f>
        <v>1</v>
      </c>
    </row>
    <row r="3194" spans="10:10" ht="35.450000000000003" hidden="1" customHeight="1">
      <c r="J3194" s="28">
        <f>IFERROR(VLOOKUP(TEXT(B3194,"0"),STOCK!A:H,7,0),1)</f>
        <v>1</v>
      </c>
    </row>
    <row r="3195" spans="10:10" ht="35.450000000000003" hidden="1" customHeight="1">
      <c r="J3195" s="28">
        <f>IFERROR(VLOOKUP(TEXT(B3195,"0"),STOCK!A:H,7,0),1)</f>
        <v>1</v>
      </c>
    </row>
    <row r="3196" spans="10:10" ht="35.450000000000003" hidden="1" customHeight="1">
      <c r="J3196" s="28">
        <f>IFERROR(VLOOKUP(TEXT(B3196,"0"),STOCK!A:H,7,0),1)</f>
        <v>1</v>
      </c>
    </row>
    <row r="3197" spans="10:10" ht="35.450000000000003" hidden="1" customHeight="1">
      <c r="J3197" s="28">
        <f>IFERROR(VLOOKUP(TEXT(B3197,"0"),STOCK!A:H,7,0),1)</f>
        <v>1</v>
      </c>
    </row>
    <row r="3198" spans="10:10" ht="35.450000000000003" hidden="1" customHeight="1">
      <c r="J3198" s="28">
        <f>IFERROR(VLOOKUP(TEXT(B3198,"0"),STOCK!A:H,7,0),1)</f>
        <v>1</v>
      </c>
    </row>
    <row r="3199" spans="10:10" ht="35.450000000000003" hidden="1" customHeight="1">
      <c r="J3199" s="28">
        <f>IFERROR(VLOOKUP(TEXT(B3199,"0"),STOCK!A:H,7,0),1)</f>
        <v>1</v>
      </c>
    </row>
    <row r="3200" spans="10:10" ht="35.450000000000003" hidden="1" customHeight="1">
      <c r="J3200" s="28">
        <f>IFERROR(VLOOKUP(TEXT(B3200,"0"),STOCK!A:H,7,0),1)</f>
        <v>1</v>
      </c>
    </row>
    <row r="3201" spans="10:10" ht="35.450000000000003" hidden="1" customHeight="1">
      <c r="J3201" s="28">
        <f>IFERROR(VLOOKUP(TEXT(B3201,"0"),STOCK!A:H,7,0),1)</f>
        <v>1</v>
      </c>
    </row>
    <row r="3202" spans="10:10" ht="35.450000000000003" hidden="1" customHeight="1">
      <c r="J3202" s="28">
        <f>IFERROR(VLOOKUP(TEXT(B3202,"0"),STOCK!A:H,7,0),1)</f>
        <v>1</v>
      </c>
    </row>
    <row r="3203" spans="10:10" ht="35.450000000000003" hidden="1" customHeight="1">
      <c r="J3203" s="28">
        <f>IFERROR(VLOOKUP(TEXT(B3203,"0"),STOCK!A:H,7,0),1)</f>
        <v>1</v>
      </c>
    </row>
    <row r="3204" spans="10:10" ht="35.450000000000003" hidden="1" customHeight="1">
      <c r="J3204" s="28">
        <f>IFERROR(VLOOKUP(TEXT(B3204,"0"),STOCK!A:H,7,0),1)</f>
        <v>1</v>
      </c>
    </row>
    <row r="3205" spans="10:10" ht="35.450000000000003" hidden="1" customHeight="1">
      <c r="J3205" s="28">
        <f>IFERROR(VLOOKUP(TEXT(B3205,"0"),STOCK!A:H,7,0),1)</f>
        <v>1</v>
      </c>
    </row>
    <row r="3206" spans="10:10" ht="35.450000000000003" hidden="1" customHeight="1">
      <c r="J3206" s="28">
        <f>IFERROR(VLOOKUP(TEXT(B3206,"0"),STOCK!A:H,7,0),1)</f>
        <v>1</v>
      </c>
    </row>
    <row r="3207" spans="10:10" ht="35.450000000000003" hidden="1" customHeight="1">
      <c r="J3207" s="28">
        <f>IFERROR(VLOOKUP(TEXT(B3207,"0"),STOCK!A:H,7,0),1)</f>
        <v>1</v>
      </c>
    </row>
    <row r="3208" spans="10:10" ht="35.450000000000003" hidden="1" customHeight="1">
      <c r="J3208" s="28">
        <f>IFERROR(VLOOKUP(TEXT(B3208,"0"),STOCK!A:H,7,0),1)</f>
        <v>1</v>
      </c>
    </row>
    <row r="3209" spans="10:10" ht="35.450000000000003" hidden="1" customHeight="1">
      <c r="J3209" s="28">
        <f>IFERROR(VLOOKUP(TEXT(B3209,"0"),STOCK!A:H,7,0),1)</f>
        <v>1</v>
      </c>
    </row>
    <row r="3210" spans="10:10" ht="35.450000000000003" hidden="1" customHeight="1">
      <c r="J3210" s="28">
        <f>IFERROR(VLOOKUP(TEXT(B3210,"0"),STOCK!A:H,7,0),1)</f>
        <v>1</v>
      </c>
    </row>
    <row r="3211" spans="10:10" ht="35.450000000000003" hidden="1" customHeight="1">
      <c r="J3211" s="28">
        <f>IFERROR(VLOOKUP(TEXT(B3211,"0"),STOCK!A:H,7,0),1)</f>
        <v>1</v>
      </c>
    </row>
    <row r="3212" spans="10:10" ht="35.450000000000003" hidden="1" customHeight="1">
      <c r="J3212" s="28">
        <f>IFERROR(VLOOKUP(TEXT(B3212,"0"),STOCK!A:H,7,0),1)</f>
        <v>1</v>
      </c>
    </row>
    <row r="3213" spans="10:10" ht="35.450000000000003" hidden="1" customHeight="1">
      <c r="J3213" s="28">
        <f>IFERROR(VLOOKUP(TEXT(B3213,"0"),STOCK!A:H,7,0),1)</f>
        <v>1</v>
      </c>
    </row>
    <row r="3214" spans="10:10" ht="35.450000000000003" hidden="1" customHeight="1">
      <c r="J3214" s="28">
        <f>IFERROR(VLOOKUP(TEXT(B3214,"0"),STOCK!A:H,7,0),1)</f>
        <v>1</v>
      </c>
    </row>
    <row r="3215" spans="10:10" ht="35.450000000000003" hidden="1" customHeight="1">
      <c r="J3215" s="28">
        <f>IFERROR(VLOOKUP(TEXT(B3215,"0"),STOCK!A:H,7,0),1)</f>
        <v>1</v>
      </c>
    </row>
    <row r="3216" spans="10:10" ht="35.450000000000003" hidden="1" customHeight="1">
      <c r="J3216" s="28">
        <f>IFERROR(VLOOKUP(TEXT(B3216,"0"),STOCK!A:H,7,0),1)</f>
        <v>1</v>
      </c>
    </row>
    <row r="3217" spans="10:10" ht="35.450000000000003" hidden="1" customHeight="1">
      <c r="J3217" s="28">
        <f>IFERROR(VLOOKUP(TEXT(B3217,"0"),STOCK!A:H,7,0),1)</f>
        <v>1</v>
      </c>
    </row>
    <row r="3218" spans="10:10" ht="35.450000000000003" hidden="1" customHeight="1">
      <c r="J3218" s="28">
        <f>IFERROR(VLOOKUP(TEXT(B3218,"0"),STOCK!A:H,7,0),1)</f>
        <v>1</v>
      </c>
    </row>
    <row r="3219" spans="10:10" ht="35.450000000000003" hidden="1" customHeight="1">
      <c r="J3219" s="28">
        <f>IFERROR(VLOOKUP(TEXT(B3219,"0"),STOCK!A:H,7,0),1)</f>
        <v>1</v>
      </c>
    </row>
    <row r="3220" spans="10:10" ht="35.450000000000003" hidden="1" customHeight="1">
      <c r="J3220" s="28">
        <f>IFERROR(VLOOKUP(TEXT(B3220,"0"),STOCK!A:H,7,0),1)</f>
        <v>1</v>
      </c>
    </row>
    <row r="3221" spans="10:10" ht="35.450000000000003" hidden="1" customHeight="1">
      <c r="J3221" s="28">
        <f>IFERROR(VLOOKUP(TEXT(B3221,"0"),STOCK!A:H,7,0),1)</f>
        <v>1</v>
      </c>
    </row>
    <row r="3222" spans="10:10" ht="35.450000000000003" hidden="1" customHeight="1">
      <c r="J3222" s="28">
        <f>IFERROR(VLOOKUP(TEXT(B3222,"0"),STOCK!A:H,7,0),1)</f>
        <v>1</v>
      </c>
    </row>
    <row r="3223" spans="10:10" ht="35.450000000000003" hidden="1" customHeight="1">
      <c r="J3223" s="28">
        <f>IFERROR(VLOOKUP(TEXT(B3223,"0"),STOCK!A:H,7,0),1)</f>
        <v>1</v>
      </c>
    </row>
    <row r="3224" spans="10:10" ht="35.450000000000003" hidden="1" customHeight="1">
      <c r="J3224" s="28">
        <f>IFERROR(VLOOKUP(TEXT(B3224,"0"),STOCK!A:H,7,0),1)</f>
        <v>1</v>
      </c>
    </row>
    <row r="3225" spans="10:10" ht="35.450000000000003" hidden="1" customHeight="1">
      <c r="J3225" s="28">
        <f>IFERROR(VLOOKUP(TEXT(B3225,"0"),STOCK!A:H,7,0),1)</f>
        <v>1</v>
      </c>
    </row>
    <row r="3226" spans="10:10" ht="35.450000000000003" hidden="1" customHeight="1">
      <c r="J3226" s="28">
        <f>IFERROR(VLOOKUP(TEXT(B3226,"0"),STOCK!A:H,7,0),1)</f>
        <v>1</v>
      </c>
    </row>
    <row r="3227" spans="10:10" ht="35.450000000000003" hidden="1" customHeight="1">
      <c r="J3227" s="28">
        <f>IFERROR(VLOOKUP(TEXT(B3227,"0"),STOCK!A:H,7,0),1)</f>
        <v>1</v>
      </c>
    </row>
    <row r="3228" spans="10:10" ht="35.450000000000003" hidden="1" customHeight="1">
      <c r="J3228" s="28">
        <f>IFERROR(VLOOKUP(TEXT(B3228,"0"),STOCK!A:H,7,0),1)</f>
        <v>1</v>
      </c>
    </row>
    <row r="3229" spans="10:10" ht="35.450000000000003" hidden="1" customHeight="1">
      <c r="J3229" s="28">
        <f>IFERROR(VLOOKUP(TEXT(B3229,"0"),STOCK!A:H,7,0),1)</f>
        <v>1</v>
      </c>
    </row>
    <row r="3230" spans="10:10" ht="35.450000000000003" hidden="1" customHeight="1">
      <c r="J3230" s="28">
        <f>IFERROR(VLOOKUP(TEXT(B3230,"0"),STOCK!A:H,7,0),1)</f>
        <v>1</v>
      </c>
    </row>
    <row r="3231" spans="10:10" ht="35.450000000000003" hidden="1" customHeight="1">
      <c r="J3231" s="28">
        <f>IFERROR(VLOOKUP(TEXT(B3231,"0"),STOCK!A:H,7,0),1)</f>
        <v>1</v>
      </c>
    </row>
    <row r="3232" spans="10:10" ht="35.450000000000003" hidden="1" customHeight="1">
      <c r="J3232" s="28">
        <f>IFERROR(VLOOKUP(TEXT(B3232,"0"),STOCK!A:H,7,0),1)</f>
        <v>1</v>
      </c>
    </row>
    <row r="3233" spans="10:10" ht="35.450000000000003" hidden="1" customHeight="1">
      <c r="J3233" s="28">
        <f>IFERROR(VLOOKUP(TEXT(B3233,"0"),STOCK!A:H,7,0),1)</f>
        <v>1</v>
      </c>
    </row>
    <row r="3234" spans="10:10" ht="35.450000000000003" hidden="1" customHeight="1">
      <c r="J3234" s="28">
        <f>IFERROR(VLOOKUP(TEXT(B3234,"0"),STOCK!A:H,7,0),1)</f>
        <v>1</v>
      </c>
    </row>
    <row r="3235" spans="10:10" ht="35.450000000000003" hidden="1" customHeight="1">
      <c r="J3235" s="28">
        <f>IFERROR(VLOOKUP(TEXT(B3235,"0"),STOCK!A:H,7,0),1)</f>
        <v>1</v>
      </c>
    </row>
    <row r="3236" spans="10:10" ht="35.450000000000003" hidden="1" customHeight="1">
      <c r="J3236" s="28">
        <f>IFERROR(VLOOKUP(TEXT(B3236,"0"),STOCK!A:H,7,0),1)</f>
        <v>1</v>
      </c>
    </row>
    <row r="3237" spans="10:10" ht="35.450000000000003" hidden="1" customHeight="1">
      <c r="J3237" s="28">
        <f>IFERROR(VLOOKUP(TEXT(B3237,"0"),STOCK!A:H,7,0),1)</f>
        <v>1</v>
      </c>
    </row>
    <row r="3238" spans="10:10" ht="35.450000000000003" hidden="1" customHeight="1">
      <c r="J3238" s="28">
        <f>IFERROR(VLOOKUP(TEXT(B3238,"0"),STOCK!A:H,7,0),1)</f>
        <v>1</v>
      </c>
    </row>
    <row r="3239" spans="10:10" ht="35.450000000000003" hidden="1" customHeight="1">
      <c r="J3239" s="28">
        <f>IFERROR(VLOOKUP(TEXT(B3239,"0"),STOCK!A:H,7,0),1)</f>
        <v>1</v>
      </c>
    </row>
    <row r="3240" spans="10:10" ht="35.450000000000003" hidden="1" customHeight="1">
      <c r="J3240" s="28">
        <f>IFERROR(VLOOKUP(TEXT(B3240,"0"),STOCK!A:H,7,0),1)</f>
        <v>1</v>
      </c>
    </row>
    <row r="3241" spans="10:10" ht="35.450000000000003" hidden="1" customHeight="1">
      <c r="J3241" s="28">
        <f>IFERROR(VLOOKUP(TEXT(B3241,"0"),STOCK!A:H,7,0),1)</f>
        <v>1</v>
      </c>
    </row>
    <row r="3242" spans="10:10" ht="35.450000000000003" hidden="1" customHeight="1">
      <c r="J3242" s="28">
        <f>IFERROR(VLOOKUP(TEXT(B3242,"0"),STOCK!A:H,7,0),1)</f>
        <v>1</v>
      </c>
    </row>
    <row r="3243" spans="10:10" ht="35.450000000000003" hidden="1" customHeight="1">
      <c r="J3243" s="28">
        <f>IFERROR(VLOOKUP(TEXT(B3243,"0"),STOCK!A:H,7,0),1)</f>
        <v>1</v>
      </c>
    </row>
    <row r="3244" spans="10:10" ht="35.450000000000003" hidden="1" customHeight="1">
      <c r="J3244" s="28">
        <f>IFERROR(VLOOKUP(TEXT(B3244,"0"),STOCK!A:H,7,0),1)</f>
        <v>1</v>
      </c>
    </row>
    <row r="3245" spans="10:10" ht="35.450000000000003" hidden="1" customHeight="1">
      <c r="J3245" s="28">
        <f>IFERROR(VLOOKUP(TEXT(B3245,"0"),STOCK!A:H,7,0),1)</f>
        <v>1</v>
      </c>
    </row>
    <row r="3246" spans="10:10" ht="35.450000000000003" hidden="1" customHeight="1">
      <c r="J3246" s="28">
        <f>IFERROR(VLOOKUP(TEXT(B3246,"0"),STOCK!A:H,7,0),1)</f>
        <v>1</v>
      </c>
    </row>
    <row r="3247" spans="10:10" ht="35.450000000000003" hidden="1" customHeight="1">
      <c r="J3247" s="28">
        <f>IFERROR(VLOOKUP(TEXT(B3247,"0"),STOCK!A:H,7,0),1)</f>
        <v>1</v>
      </c>
    </row>
    <row r="3248" spans="10:10" ht="35.450000000000003" hidden="1" customHeight="1">
      <c r="J3248" s="28">
        <f>IFERROR(VLOOKUP(TEXT(B3248,"0"),STOCK!A:H,7,0),1)</f>
        <v>1</v>
      </c>
    </row>
    <row r="3249" spans="10:10" ht="35.450000000000003" hidden="1" customHeight="1">
      <c r="J3249" s="28">
        <f>IFERROR(VLOOKUP(TEXT(B3249,"0"),STOCK!A:H,7,0),1)</f>
        <v>1</v>
      </c>
    </row>
    <row r="3250" spans="10:10" ht="35.450000000000003" hidden="1" customHeight="1">
      <c r="J3250" s="28">
        <f>IFERROR(VLOOKUP(TEXT(B3250,"0"),STOCK!A:H,7,0),1)</f>
        <v>1</v>
      </c>
    </row>
    <row r="3251" spans="10:10" ht="35.450000000000003" hidden="1" customHeight="1">
      <c r="J3251" s="28">
        <f>IFERROR(VLOOKUP(TEXT(B3251,"0"),STOCK!A:H,7,0),1)</f>
        <v>1</v>
      </c>
    </row>
    <row r="3252" spans="10:10" ht="35.450000000000003" hidden="1" customHeight="1">
      <c r="J3252" s="28">
        <f>IFERROR(VLOOKUP(TEXT(B3252,"0"),STOCK!A:H,7,0),1)</f>
        <v>1</v>
      </c>
    </row>
    <row r="3253" spans="10:10" ht="35.450000000000003" hidden="1" customHeight="1">
      <c r="J3253" s="28">
        <f>IFERROR(VLOOKUP(TEXT(B3253,"0"),STOCK!A:H,7,0),1)</f>
        <v>1</v>
      </c>
    </row>
    <row r="3254" spans="10:10" ht="35.450000000000003" hidden="1" customHeight="1">
      <c r="J3254" s="28">
        <f>IFERROR(VLOOKUP(TEXT(B3254,"0"),STOCK!A:H,7,0),1)</f>
        <v>1</v>
      </c>
    </row>
    <row r="3255" spans="10:10" ht="35.450000000000003" hidden="1" customHeight="1">
      <c r="J3255" s="28">
        <f>IFERROR(VLOOKUP(TEXT(B3255,"0"),STOCK!A:H,7,0),1)</f>
        <v>1</v>
      </c>
    </row>
    <row r="3256" spans="10:10" ht="35.450000000000003" hidden="1" customHeight="1">
      <c r="J3256" s="28">
        <f>IFERROR(VLOOKUP(TEXT(B3256,"0"),STOCK!A:H,7,0),1)</f>
        <v>1</v>
      </c>
    </row>
    <row r="3257" spans="10:10" ht="35.450000000000003" hidden="1" customHeight="1">
      <c r="J3257" s="28">
        <f>IFERROR(VLOOKUP(TEXT(B3257,"0"),STOCK!A:H,7,0),1)</f>
        <v>1</v>
      </c>
    </row>
    <row r="3258" spans="10:10" ht="35.450000000000003" hidden="1" customHeight="1">
      <c r="J3258" s="28">
        <f>IFERROR(VLOOKUP(TEXT(B3258,"0"),STOCK!A:H,7,0),1)</f>
        <v>1</v>
      </c>
    </row>
    <row r="3259" spans="10:10" ht="35.450000000000003" hidden="1" customHeight="1">
      <c r="J3259" s="28">
        <f>IFERROR(VLOOKUP(TEXT(B3259,"0"),STOCK!A:H,7,0),1)</f>
        <v>1</v>
      </c>
    </row>
    <row r="3260" spans="10:10" ht="35.450000000000003" hidden="1" customHeight="1">
      <c r="J3260" s="28">
        <f>IFERROR(VLOOKUP(TEXT(B3260,"0"),STOCK!A:H,7,0),1)</f>
        <v>1</v>
      </c>
    </row>
    <row r="3261" spans="10:10" ht="35.450000000000003" hidden="1" customHeight="1">
      <c r="J3261" s="28">
        <f>IFERROR(VLOOKUP(TEXT(B3261,"0"),STOCK!A:H,7,0),1)</f>
        <v>1</v>
      </c>
    </row>
    <row r="3262" spans="10:10" ht="35.450000000000003" hidden="1" customHeight="1">
      <c r="J3262" s="28">
        <f>IFERROR(VLOOKUP(TEXT(B3262,"0"),STOCK!A:H,7,0),1)</f>
        <v>1</v>
      </c>
    </row>
    <row r="3263" spans="10:10" ht="35.450000000000003" hidden="1" customHeight="1">
      <c r="J3263" s="28">
        <f>IFERROR(VLOOKUP(TEXT(B3263,"0"),STOCK!A:H,7,0),1)</f>
        <v>1</v>
      </c>
    </row>
    <row r="3264" spans="10:10" ht="35.450000000000003" hidden="1" customHeight="1">
      <c r="J3264" s="28">
        <f>IFERROR(VLOOKUP(TEXT(B3264,"0"),STOCK!A:H,7,0),1)</f>
        <v>1</v>
      </c>
    </row>
    <row r="3265" spans="10:10" ht="35.450000000000003" hidden="1" customHeight="1">
      <c r="J3265" s="28">
        <f>IFERROR(VLOOKUP(TEXT(B3265,"0"),STOCK!A:H,7,0),1)</f>
        <v>1</v>
      </c>
    </row>
    <row r="3266" spans="10:10" ht="35.450000000000003" hidden="1" customHeight="1">
      <c r="J3266" s="28">
        <f>IFERROR(VLOOKUP(TEXT(B3266,"0"),STOCK!A:H,7,0),1)</f>
        <v>1</v>
      </c>
    </row>
    <row r="3267" spans="10:10" ht="35.450000000000003" hidden="1" customHeight="1">
      <c r="J3267" s="28">
        <f>IFERROR(VLOOKUP(TEXT(B3267,"0"),STOCK!A:H,7,0),1)</f>
        <v>1</v>
      </c>
    </row>
    <row r="3268" spans="10:10" ht="35.450000000000003" hidden="1" customHeight="1">
      <c r="J3268" s="28">
        <f>IFERROR(VLOOKUP(TEXT(B3268,"0"),STOCK!A:H,7,0),1)</f>
        <v>1</v>
      </c>
    </row>
    <row r="3269" spans="10:10" ht="35.450000000000003" hidden="1" customHeight="1">
      <c r="J3269" s="28">
        <f>IFERROR(VLOOKUP(TEXT(B3269,"0"),STOCK!A:H,7,0),1)</f>
        <v>1</v>
      </c>
    </row>
    <row r="3270" spans="10:10" ht="35.450000000000003" hidden="1" customHeight="1">
      <c r="J3270" s="28">
        <f>IFERROR(VLOOKUP(TEXT(B3270,"0"),STOCK!A:H,7,0),1)</f>
        <v>1</v>
      </c>
    </row>
    <row r="3271" spans="10:10" ht="35.450000000000003" hidden="1" customHeight="1">
      <c r="J3271" s="28">
        <f>IFERROR(VLOOKUP(TEXT(B3271,"0"),STOCK!A:H,7,0),1)</f>
        <v>1</v>
      </c>
    </row>
    <row r="3272" spans="10:10" ht="35.450000000000003" hidden="1" customHeight="1">
      <c r="J3272" s="28">
        <f>IFERROR(VLOOKUP(TEXT(B3272,"0"),STOCK!A:H,7,0),1)</f>
        <v>1</v>
      </c>
    </row>
    <row r="3273" spans="10:10" ht="35.450000000000003" hidden="1" customHeight="1">
      <c r="J3273" s="28">
        <f>IFERROR(VLOOKUP(TEXT(B3273,"0"),STOCK!A:H,7,0),1)</f>
        <v>1</v>
      </c>
    </row>
    <row r="3274" spans="10:10" ht="35.450000000000003" hidden="1" customHeight="1">
      <c r="J3274" s="28">
        <f>IFERROR(VLOOKUP(TEXT(B3274,"0"),STOCK!A:H,7,0),1)</f>
        <v>1</v>
      </c>
    </row>
    <row r="3275" spans="10:10" ht="35.450000000000003" hidden="1" customHeight="1">
      <c r="J3275" s="28">
        <f>IFERROR(VLOOKUP(TEXT(B3275,"0"),STOCK!A:H,7,0),1)</f>
        <v>1</v>
      </c>
    </row>
    <row r="3276" spans="10:10" ht="35.450000000000003" hidden="1" customHeight="1">
      <c r="J3276" s="28">
        <f>IFERROR(VLOOKUP(TEXT(B3276,"0"),STOCK!A:H,7,0),1)</f>
        <v>1</v>
      </c>
    </row>
    <row r="3277" spans="10:10" ht="35.450000000000003" hidden="1" customHeight="1">
      <c r="J3277" s="28">
        <f>IFERROR(VLOOKUP(TEXT(B3277,"0"),STOCK!A:H,7,0),1)</f>
        <v>1</v>
      </c>
    </row>
    <row r="3278" spans="10:10" ht="35.450000000000003" hidden="1" customHeight="1">
      <c r="J3278" s="28">
        <f>IFERROR(VLOOKUP(TEXT(B3278,"0"),STOCK!A:H,7,0),1)</f>
        <v>1</v>
      </c>
    </row>
    <row r="3279" spans="10:10" ht="35.450000000000003" hidden="1" customHeight="1">
      <c r="J3279" s="28">
        <f>IFERROR(VLOOKUP(TEXT(B3279,"0"),STOCK!A:H,7,0),1)</f>
        <v>1</v>
      </c>
    </row>
    <row r="3280" spans="10:10" ht="35.450000000000003" hidden="1" customHeight="1">
      <c r="J3280" s="28">
        <f>IFERROR(VLOOKUP(TEXT(B3280,"0"),STOCK!A:H,7,0),1)</f>
        <v>1</v>
      </c>
    </row>
    <row r="3281" spans="10:10" ht="35.450000000000003" hidden="1" customHeight="1">
      <c r="J3281" s="28">
        <f>IFERROR(VLOOKUP(TEXT(B3281,"0"),STOCK!A:H,7,0),1)</f>
        <v>1</v>
      </c>
    </row>
    <row r="3282" spans="10:10" ht="35.450000000000003" hidden="1" customHeight="1">
      <c r="J3282" s="28">
        <f>IFERROR(VLOOKUP(TEXT(B3282,"0"),STOCK!A:H,7,0),1)</f>
        <v>1</v>
      </c>
    </row>
    <row r="3283" spans="10:10" ht="35.450000000000003" hidden="1" customHeight="1">
      <c r="J3283" s="28">
        <f>IFERROR(VLOOKUP(TEXT(B3283,"0"),STOCK!A:H,7,0),1)</f>
        <v>1</v>
      </c>
    </row>
    <row r="3284" spans="10:10" ht="35.450000000000003" hidden="1" customHeight="1">
      <c r="J3284" s="28">
        <f>IFERROR(VLOOKUP(TEXT(B3284,"0"),STOCK!A:H,7,0),1)</f>
        <v>1</v>
      </c>
    </row>
    <row r="3285" spans="10:10" ht="35.450000000000003" hidden="1" customHeight="1">
      <c r="J3285" s="28">
        <f>IFERROR(VLOOKUP(TEXT(B3285,"0"),STOCK!A:H,7,0),1)</f>
        <v>1</v>
      </c>
    </row>
    <row r="3286" spans="10:10" ht="35.450000000000003" hidden="1" customHeight="1">
      <c r="J3286" s="28">
        <f>IFERROR(VLOOKUP(TEXT(B3286,"0"),STOCK!A:H,7,0),1)</f>
        <v>1</v>
      </c>
    </row>
    <row r="3287" spans="10:10" ht="35.450000000000003" hidden="1" customHeight="1">
      <c r="J3287" s="28">
        <f>IFERROR(VLOOKUP(TEXT(B3287,"0"),STOCK!A:H,7,0),1)</f>
        <v>1</v>
      </c>
    </row>
    <row r="3288" spans="10:10" ht="35.450000000000003" hidden="1" customHeight="1">
      <c r="J3288" s="28">
        <f>IFERROR(VLOOKUP(TEXT(B3288,"0"),STOCK!A:H,7,0),1)</f>
        <v>1</v>
      </c>
    </row>
    <row r="3289" spans="10:10" ht="35.450000000000003" hidden="1" customHeight="1">
      <c r="J3289" s="28">
        <f>IFERROR(VLOOKUP(TEXT(B3289,"0"),STOCK!A:H,7,0),1)</f>
        <v>1</v>
      </c>
    </row>
    <row r="3290" spans="10:10" ht="35.450000000000003" hidden="1" customHeight="1">
      <c r="J3290" s="28">
        <f>IFERROR(VLOOKUP(TEXT(B3290,"0"),STOCK!A:H,7,0),1)</f>
        <v>1</v>
      </c>
    </row>
    <row r="3291" spans="10:10" ht="35.450000000000003" hidden="1" customHeight="1">
      <c r="J3291" s="28">
        <f>IFERROR(VLOOKUP(TEXT(B3291,"0"),STOCK!A:H,7,0),1)</f>
        <v>1</v>
      </c>
    </row>
    <row r="3292" spans="10:10" ht="35.450000000000003" hidden="1" customHeight="1">
      <c r="J3292" s="28">
        <f>IFERROR(VLOOKUP(TEXT(B3292,"0"),STOCK!A:H,7,0),1)</f>
        <v>1</v>
      </c>
    </row>
    <row r="3293" spans="10:10" ht="35.450000000000003" hidden="1" customHeight="1">
      <c r="J3293" s="28">
        <f>IFERROR(VLOOKUP(TEXT(B3293,"0"),STOCK!A:H,7,0),1)</f>
        <v>1</v>
      </c>
    </row>
    <row r="3294" spans="10:10" ht="35.450000000000003" hidden="1" customHeight="1">
      <c r="J3294" s="28">
        <f>IFERROR(VLOOKUP(TEXT(B3294,"0"),STOCK!A:H,7,0),1)</f>
        <v>1</v>
      </c>
    </row>
    <row r="3295" spans="10:10" ht="35.450000000000003" hidden="1" customHeight="1">
      <c r="J3295" s="28">
        <f>IFERROR(VLOOKUP(TEXT(B3295,"0"),STOCK!A:H,7,0),1)</f>
        <v>1</v>
      </c>
    </row>
    <row r="3296" spans="10:10" ht="35.450000000000003" hidden="1" customHeight="1">
      <c r="J3296" s="28">
        <f>IFERROR(VLOOKUP(TEXT(B3296,"0"),STOCK!A:H,7,0),1)</f>
        <v>1</v>
      </c>
    </row>
    <row r="3297" spans="10:10" ht="35.450000000000003" hidden="1" customHeight="1">
      <c r="J3297" s="28">
        <f>IFERROR(VLOOKUP(TEXT(B3297,"0"),STOCK!A:H,7,0),1)</f>
        <v>1</v>
      </c>
    </row>
    <row r="3298" spans="10:10" ht="35.450000000000003" hidden="1" customHeight="1">
      <c r="J3298" s="28">
        <f>IFERROR(VLOOKUP(TEXT(B3298,"0"),STOCK!A:H,7,0),1)</f>
        <v>1</v>
      </c>
    </row>
    <row r="3299" spans="10:10" ht="35.450000000000003" hidden="1" customHeight="1">
      <c r="J3299" s="28">
        <f>IFERROR(VLOOKUP(TEXT(B3299,"0"),STOCK!A:H,7,0),1)</f>
        <v>1</v>
      </c>
    </row>
    <row r="3300" spans="10:10" ht="35.450000000000003" hidden="1" customHeight="1">
      <c r="J3300" s="28">
        <f>IFERROR(VLOOKUP(TEXT(B3300,"0"),STOCK!A:H,7,0),1)</f>
        <v>1</v>
      </c>
    </row>
    <row r="3301" spans="10:10" ht="35.450000000000003" hidden="1" customHeight="1">
      <c r="J3301" s="28">
        <f>IFERROR(VLOOKUP(TEXT(B3301,"0"),STOCK!A:H,7,0),1)</f>
        <v>1</v>
      </c>
    </row>
    <row r="3302" spans="10:10" ht="35.450000000000003" hidden="1" customHeight="1">
      <c r="J3302" s="28">
        <f>IFERROR(VLOOKUP(TEXT(B3302,"0"),STOCK!A:H,7,0),1)</f>
        <v>1</v>
      </c>
    </row>
    <row r="3303" spans="10:10" ht="35.450000000000003" hidden="1" customHeight="1">
      <c r="J3303" s="28">
        <f>IFERROR(VLOOKUP(TEXT(B3303,"0"),STOCK!A:H,7,0),1)</f>
        <v>1</v>
      </c>
    </row>
    <row r="3304" spans="10:10" ht="35.450000000000003" hidden="1" customHeight="1">
      <c r="J3304" s="28">
        <f>IFERROR(VLOOKUP(TEXT(B3304,"0"),STOCK!A:H,7,0),1)</f>
        <v>1</v>
      </c>
    </row>
    <row r="3305" spans="10:10" ht="35.450000000000003" hidden="1" customHeight="1">
      <c r="J3305" s="28">
        <f>IFERROR(VLOOKUP(TEXT(B3305,"0"),STOCK!A:H,7,0),1)</f>
        <v>1</v>
      </c>
    </row>
    <row r="3306" spans="10:10" ht="35.450000000000003" hidden="1" customHeight="1">
      <c r="J3306" s="28">
        <f>IFERROR(VLOOKUP(TEXT(B3306,"0"),STOCK!A:H,7,0),1)</f>
        <v>1</v>
      </c>
    </row>
    <row r="3307" spans="10:10" ht="35.450000000000003" hidden="1" customHeight="1">
      <c r="J3307" s="28">
        <f>IFERROR(VLOOKUP(TEXT(B3307,"0"),STOCK!A:H,7,0),1)</f>
        <v>1</v>
      </c>
    </row>
    <row r="3308" spans="10:10" ht="35.450000000000003" hidden="1" customHeight="1">
      <c r="J3308" s="28">
        <f>IFERROR(VLOOKUP(TEXT(B3308,"0"),STOCK!A:H,7,0),1)</f>
        <v>1</v>
      </c>
    </row>
    <row r="3309" spans="10:10" ht="35.450000000000003" hidden="1" customHeight="1">
      <c r="J3309" s="28">
        <f>IFERROR(VLOOKUP(TEXT(B3309,"0"),STOCK!A:H,7,0),1)</f>
        <v>1</v>
      </c>
    </row>
    <row r="3310" spans="10:10" ht="35.450000000000003" hidden="1" customHeight="1">
      <c r="J3310" s="28">
        <f>IFERROR(VLOOKUP(TEXT(B3310,"0"),STOCK!A:H,7,0),1)</f>
        <v>1</v>
      </c>
    </row>
    <row r="3311" spans="10:10" ht="35.450000000000003" hidden="1" customHeight="1">
      <c r="J3311" s="28">
        <f>IFERROR(VLOOKUP(TEXT(B3311,"0"),STOCK!A:H,7,0),1)</f>
        <v>1</v>
      </c>
    </row>
    <row r="3312" spans="10:10" ht="35.450000000000003" hidden="1" customHeight="1">
      <c r="J3312" s="28">
        <f>IFERROR(VLOOKUP(TEXT(B3312,"0"),STOCK!A:H,7,0),1)</f>
        <v>1</v>
      </c>
    </row>
    <row r="3313" spans="10:10" ht="35.450000000000003" hidden="1" customHeight="1">
      <c r="J3313" s="28">
        <f>IFERROR(VLOOKUP(TEXT(B3313,"0"),STOCK!A:H,7,0),1)</f>
        <v>1</v>
      </c>
    </row>
    <row r="3314" spans="10:10" ht="35.450000000000003" hidden="1" customHeight="1">
      <c r="J3314" s="28">
        <f>IFERROR(VLOOKUP(TEXT(B3314,"0"),STOCK!A:H,7,0),1)</f>
        <v>1</v>
      </c>
    </row>
    <row r="3315" spans="10:10" ht="35.450000000000003" hidden="1" customHeight="1">
      <c r="J3315" s="28">
        <f>IFERROR(VLOOKUP(TEXT(B3315,"0"),STOCK!A:H,7,0),1)</f>
        <v>1</v>
      </c>
    </row>
    <row r="3316" spans="10:10" ht="35.450000000000003" hidden="1" customHeight="1">
      <c r="J3316" s="28">
        <f>IFERROR(VLOOKUP(TEXT(B3316,"0"),STOCK!A:H,7,0),1)</f>
        <v>1</v>
      </c>
    </row>
    <row r="3317" spans="10:10" ht="35.450000000000003" hidden="1" customHeight="1">
      <c r="J3317" s="28">
        <f>IFERROR(VLOOKUP(TEXT(B3317,"0"),STOCK!A:H,7,0),1)</f>
        <v>1</v>
      </c>
    </row>
    <row r="3318" spans="10:10" ht="35.450000000000003" hidden="1" customHeight="1">
      <c r="J3318" s="28">
        <f>IFERROR(VLOOKUP(TEXT(B3318,"0"),STOCK!A:H,7,0),1)</f>
        <v>1</v>
      </c>
    </row>
    <row r="3319" spans="10:10" ht="35.450000000000003" hidden="1" customHeight="1">
      <c r="J3319" s="28">
        <f>IFERROR(VLOOKUP(TEXT(B3319,"0"),STOCK!A:H,7,0),1)</f>
        <v>1</v>
      </c>
    </row>
    <row r="3320" spans="10:10" ht="35.450000000000003" hidden="1" customHeight="1">
      <c r="J3320" s="28">
        <f>IFERROR(VLOOKUP(TEXT(B3320,"0"),STOCK!A:H,7,0),1)</f>
        <v>1</v>
      </c>
    </row>
    <row r="3321" spans="10:10" ht="35.450000000000003" hidden="1" customHeight="1">
      <c r="J3321" s="28">
        <f>IFERROR(VLOOKUP(TEXT(B3321,"0"),STOCK!A:H,7,0),1)</f>
        <v>1</v>
      </c>
    </row>
    <row r="3322" spans="10:10" ht="35.450000000000003" hidden="1" customHeight="1">
      <c r="J3322" s="28">
        <f>IFERROR(VLOOKUP(TEXT(B3322,"0"),STOCK!A:H,7,0),1)</f>
        <v>1</v>
      </c>
    </row>
    <row r="3323" spans="10:10" ht="35.450000000000003" hidden="1" customHeight="1">
      <c r="J3323" s="28">
        <f>IFERROR(VLOOKUP(TEXT(B3323,"0"),STOCK!A:H,7,0),1)</f>
        <v>1</v>
      </c>
    </row>
    <row r="3324" spans="10:10" ht="35.450000000000003" hidden="1" customHeight="1">
      <c r="J3324" s="28">
        <f>IFERROR(VLOOKUP(TEXT(B3324,"0"),STOCK!A:H,7,0),1)</f>
        <v>1</v>
      </c>
    </row>
    <row r="3325" spans="10:10" ht="35.450000000000003" hidden="1" customHeight="1">
      <c r="J3325" s="28">
        <f>IFERROR(VLOOKUP(TEXT(B3325,"0"),STOCK!A:H,7,0),1)</f>
        <v>1</v>
      </c>
    </row>
    <row r="3326" spans="10:10" ht="35.450000000000003" hidden="1" customHeight="1">
      <c r="J3326" s="28">
        <f>IFERROR(VLOOKUP(TEXT(B3326,"0"),STOCK!A:H,7,0),1)</f>
        <v>1</v>
      </c>
    </row>
    <row r="3327" spans="10:10" ht="35.450000000000003" hidden="1" customHeight="1">
      <c r="J3327" s="28">
        <f>IFERROR(VLOOKUP(TEXT(B3327,"0"),STOCK!A:H,7,0),1)</f>
        <v>1</v>
      </c>
    </row>
    <row r="3328" spans="10:10" ht="35.450000000000003" hidden="1" customHeight="1">
      <c r="J3328" s="28">
        <f>IFERROR(VLOOKUP(TEXT(B3328,"0"),STOCK!A:H,7,0),1)</f>
        <v>1</v>
      </c>
    </row>
    <row r="3329" spans="10:10" ht="35.450000000000003" hidden="1" customHeight="1">
      <c r="J3329" s="28">
        <f>IFERROR(VLOOKUP(TEXT(B3329,"0"),STOCK!A:H,7,0),1)</f>
        <v>1</v>
      </c>
    </row>
    <row r="3330" spans="10:10" ht="35.450000000000003" hidden="1" customHeight="1">
      <c r="J3330" s="28">
        <f>IFERROR(VLOOKUP(TEXT(B3330,"0"),STOCK!A:H,7,0),1)</f>
        <v>1</v>
      </c>
    </row>
    <row r="3331" spans="10:10" ht="35.450000000000003" hidden="1" customHeight="1">
      <c r="J3331" s="28">
        <f>IFERROR(VLOOKUP(TEXT(B3331,"0"),STOCK!A:H,7,0),1)</f>
        <v>1</v>
      </c>
    </row>
    <row r="3332" spans="10:10" ht="35.450000000000003" hidden="1" customHeight="1">
      <c r="J3332" s="28">
        <f>IFERROR(VLOOKUP(TEXT(B3332,"0"),STOCK!A:H,7,0),1)</f>
        <v>1</v>
      </c>
    </row>
    <row r="3333" spans="10:10" ht="35.450000000000003" hidden="1" customHeight="1">
      <c r="J3333" s="28">
        <f>IFERROR(VLOOKUP(TEXT(B3333,"0"),STOCK!A:H,7,0),1)</f>
        <v>1</v>
      </c>
    </row>
    <row r="3334" spans="10:10" ht="35.450000000000003" hidden="1" customHeight="1">
      <c r="J3334" s="28">
        <f>IFERROR(VLOOKUP(TEXT(B3334,"0"),STOCK!A:H,7,0),1)</f>
        <v>1</v>
      </c>
    </row>
    <row r="3335" spans="10:10" ht="35.450000000000003" hidden="1" customHeight="1">
      <c r="J3335" s="28">
        <f>IFERROR(VLOOKUP(TEXT(B3335,"0"),STOCK!A:H,7,0),1)</f>
        <v>1</v>
      </c>
    </row>
    <row r="3336" spans="10:10" ht="35.450000000000003" hidden="1" customHeight="1">
      <c r="J3336" s="28">
        <f>IFERROR(VLOOKUP(TEXT(B3336,"0"),STOCK!A:H,7,0),1)</f>
        <v>1</v>
      </c>
    </row>
    <row r="3337" spans="10:10" ht="35.450000000000003" hidden="1" customHeight="1">
      <c r="J3337" s="28">
        <f>IFERROR(VLOOKUP(TEXT(B3337,"0"),STOCK!A:H,7,0),1)</f>
        <v>1</v>
      </c>
    </row>
    <row r="3338" spans="10:10" ht="35.450000000000003" hidden="1" customHeight="1">
      <c r="J3338" s="28">
        <f>IFERROR(VLOOKUP(TEXT(B3338,"0"),STOCK!A:H,7,0),1)</f>
        <v>1</v>
      </c>
    </row>
    <row r="3339" spans="10:10" ht="35.450000000000003" hidden="1" customHeight="1">
      <c r="J3339" s="28">
        <f>IFERROR(VLOOKUP(TEXT(B3339,"0"),STOCK!A:H,7,0),1)</f>
        <v>1</v>
      </c>
    </row>
    <row r="3340" spans="10:10" ht="35.450000000000003" hidden="1" customHeight="1">
      <c r="J3340" s="28">
        <f>IFERROR(VLOOKUP(TEXT(B3340,"0"),STOCK!A:H,7,0),1)</f>
        <v>1</v>
      </c>
    </row>
    <row r="3341" spans="10:10" ht="35.450000000000003" hidden="1" customHeight="1">
      <c r="J3341" s="28">
        <f>IFERROR(VLOOKUP(TEXT(B3341,"0"),STOCK!A:H,7,0),1)</f>
        <v>1</v>
      </c>
    </row>
    <row r="3342" spans="10:10" ht="35.450000000000003" hidden="1" customHeight="1">
      <c r="J3342" s="28">
        <f>IFERROR(VLOOKUP(TEXT(B3342,"0"),STOCK!A:H,7,0),1)</f>
        <v>1</v>
      </c>
    </row>
    <row r="3343" spans="10:10" ht="35.450000000000003" hidden="1" customHeight="1">
      <c r="J3343" s="28">
        <f>IFERROR(VLOOKUP(TEXT(B3343,"0"),STOCK!A:H,7,0),1)</f>
        <v>1</v>
      </c>
    </row>
    <row r="3344" spans="10:10" ht="35.450000000000003" hidden="1" customHeight="1">
      <c r="J3344" s="28">
        <f>IFERROR(VLOOKUP(TEXT(B3344,"0"),STOCK!A:H,7,0),1)</f>
        <v>1</v>
      </c>
    </row>
    <row r="3345" spans="10:10" ht="35.450000000000003" hidden="1" customHeight="1">
      <c r="J3345" s="28">
        <f>IFERROR(VLOOKUP(TEXT(B3345,"0"),STOCK!A:H,7,0),1)</f>
        <v>1</v>
      </c>
    </row>
    <row r="3346" spans="10:10" ht="35.450000000000003" hidden="1" customHeight="1">
      <c r="J3346" s="28">
        <f>IFERROR(VLOOKUP(TEXT(B3346,"0"),STOCK!A:H,7,0),1)</f>
        <v>1</v>
      </c>
    </row>
    <row r="3347" spans="10:10" ht="35.450000000000003" hidden="1" customHeight="1">
      <c r="J3347" s="28">
        <f>IFERROR(VLOOKUP(TEXT(B3347,"0"),STOCK!A:H,7,0),1)</f>
        <v>1</v>
      </c>
    </row>
    <row r="3348" spans="10:10" ht="35.450000000000003" hidden="1" customHeight="1">
      <c r="J3348" s="28">
        <f>IFERROR(VLOOKUP(TEXT(B3348,"0"),STOCK!A:H,7,0),1)</f>
        <v>1</v>
      </c>
    </row>
    <row r="3349" spans="10:10" ht="35.450000000000003" hidden="1" customHeight="1">
      <c r="J3349" s="28">
        <f>IFERROR(VLOOKUP(TEXT(B3349,"0"),STOCK!A:H,7,0),1)</f>
        <v>1</v>
      </c>
    </row>
    <row r="3350" spans="10:10" ht="35.450000000000003" hidden="1" customHeight="1">
      <c r="J3350" s="28">
        <f>IFERROR(VLOOKUP(TEXT(B3350,"0"),STOCK!A:H,7,0),1)</f>
        <v>1</v>
      </c>
    </row>
    <row r="3351" spans="10:10" ht="35.450000000000003" hidden="1" customHeight="1">
      <c r="J3351" s="28">
        <f>IFERROR(VLOOKUP(TEXT(B3351,"0"),STOCK!A:H,7,0),1)</f>
        <v>1</v>
      </c>
    </row>
    <row r="3352" spans="10:10" ht="35.450000000000003" hidden="1" customHeight="1">
      <c r="J3352" s="28">
        <f>IFERROR(VLOOKUP(TEXT(B3352,"0"),STOCK!A:H,7,0),1)</f>
        <v>1</v>
      </c>
    </row>
    <row r="3353" spans="10:10" ht="35.450000000000003" hidden="1" customHeight="1">
      <c r="J3353" s="28">
        <f>IFERROR(VLOOKUP(TEXT(B3353,"0"),STOCK!A:H,7,0),1)</f>
        <v>1</v>
      </c>
    </row>
    <row r="3354" spans="10:10" ht="35.450000000000003" hidden="1" customHeight="1">
      <c r="J3354" s="28">
        <f>IFERROR(VLOOKUP(TEXT(B3354,"0"),STOCK!A:H,7,0),1)</f>
        <v>1</v>
      </c>
    </row>
    <row r="3355" spans="10:10" ht="35.450000000000003" hidden="1" customHeight="1">
      <c r="J3355" s="28">
        <f>IFERROR(VLOOKUP(TEXT(B3355,"0"),STOCK!A:H,7,0),1)</f>
        <v>1</v>
      </c>
    </row>
    <row r="3356" spans="10:10" ht="35.450000000000003" hidden="1" customHeight="1">
      <c r="J3356" s="28">
        <f>IFERROR(VLOOKUP(TEXT(B3356,"0"),STOCK!A:H,7,0),1)</f>
        <v>1</v>
      </c>
    </row>
    <row r="3357" spans="10:10" ht="35.450000000000003" hidden="1" customHeight="1">
      <c r="J3357" s="28">
        <f>IFERROR(VLOOKUP(TEXT(B3357,"0"),STOCK!A:H,7,0),1)</f>
        <v>1</v>
      </c>
    </row>
    <row r="3358" spans="10:10" ht="35.450000000000003" hidden="1" customHeight="1">
      <c r="J3358" s="28">
        <f>IFERROR(VLOOKUP(TEXT(B3358,"0"),STOCK!A:H,7,0),1)</f>
        <v>1</v>
      </c>
    </row>
    <row r="3359" spans="10:10" ht="35.450000000000003" hidden="1" customHeight="1">
      <c r="J3359" s="28">
        <f>IFERROR(VLOOKUP(TEXT(B3359,"0"),STOCK!A:H,7,0),1)</f>
        <v>1</v>
      </c>
    </row>
    <row r="3360" spans="10:10" ht="35.450000000000003" hidden="1" customHeight="1">
      <c r="J3360" s="28">
        <f>IFERROR(VLOOKUP(TEXT(B3360,"0"),STOCK!A:H,7,0),1)</f>
        <v>1</v>
      </c>
    </row>
    <row r="3361" spans="10:10" ht="35.450000000000003" hidden="1" customHeight="1">
      <c r="J3361" s="28">
        <f>IFERROR(VLOOKUP(TEXT(B3361,"0"),STOCK!A:H,7,0),1)</f>
        <v>1</v>
      </c>
    </row>
    <row r="3362" spans="10:10" ht="35.450000000000003" hidden="1" customHeight="1">
      <c r="J3362" s="28">
        <f>IFERROR(VLOOKUP(TEXT(B3362,"0"),STOCK!A:H,7,0),1)</f>
        <v>1</v>
      </c>
    </row>
    <row r="3363" spans="10:10" ht="35.450000000000003" hidden="1" customHeight="1">
      <c r="J3363" s="28">
        <f>IFERROR(VLOOKUP(TEXT(B3363,"0"),STOCK!A:H,7,0),1)</f>
        <v>1</v>
      </c>
    </row>
    <row r="3364" spans="10:10" ht="35.450000000000003" hidden="1" customHeight="1">
      <c r="J3364" s="28">
        <f>IFERROR(VLOOKUP(TEXT(B3364,"0"),STOCK!A:H,7,0),1)</f>
        <v>1</v>
      </c>
    </row>
    <row r="3365" spans="10:10" ht="35.450000000000003" hidden="1" customHeight="1">
      <c r="J3365" s="28">
        <f>IFERROR(VLOOKUP(TEXT(B3365,"0"),STOCK!A:H,7,0),1)</f>
        <v>1</v>
      </c>
    </row>
    <row r="3366" spans="10:10" ht="35.450000000000003" hidden="1" customHeight="1">
      <c r="J3366" s="28">
        <f>IFERROR(VLOOKUP(TEXT(B3366,"0"),STOCK!A:H,7,0),1)</f>
        <v>1</v>
      </c>
    </row>
    <row r="3367" spans="10:10" ht="35.450000000000003" hidden="1" customHeight="1">
      <c r="J3367" s="28">
        <f>IFERROR(VLOOKUP(TEXT(B3367,"0"),STOCK!A:H,7,0),1)</f>
        <v>1</v>
      </c>
    </row>
    <row r="3368" spans="10:10" ht="35.450000000000003" hidden="1" customHeight="1">
      <c r="J3368" s="28">
        <f>IFERROR(VLOOKUP(TEXT(B3368,"0"),STOCK!A:H,7,0),1)</f>
        <v>1</v>
      </c>
    </row>
    <row r="3369" spans="10:10" ht="35.450000000000003" hidden="1" customHeight="1">
      <c r="J3369" s="28">
        <f>IFERROR(VLOOKUP(TEXT(B3369,"0"),STOCK!A:H,7,0),1)</f>
        <v>1</v>
      </c>
    </row>
    <row r="3370" spans="10:10" ht="35.450000000000003" hidden="1" customHeight="1">
      <c r="J3370" s="28">
        <f>IFERROR(VLOOKUP(TEXT(B3370,"0"),STOCK!A:H,7,0),1)</f>
        <v>1</v>
      </c>
    </row>
    <row r="3371" spans="10:10" ht="35.450000000000003" hidden="1" customHeight="1">
      <c r="J3371" s="28">
        <f>IFERROR(VLOOKUP(TEXT(B3371,"0"),STOCK!A:H,7,0),1)</f>
        <v>1</v>
      </c>
    </row>
    <row r="3372" spans="10:10" ht="35.450000000000003" hidden="1" customHeight="1">
      <c r="J3372" s="28">
        <f>IFERROR(VLOOKUP(TEXT(B3372,"0"),STOCK!A:H,7,0),1)</f>
        <v>1</v>
      </c>
    </row>
    <row r="3373" spans="10:10" ht="35.450000000000003" hidden="1" customHeight="1">
      <c r="J3373" s="28">
        <f>IFERROR(VLOOKUP(TEXT(B3373,"0"),STOCK!A:H,7,0),1)</f>
        <v>1</v>
      </c>
    </row>
    <row r="3374" spans="10:10" ht="35.450000000000003" hidden="1" customHeight="1">
      <c r="J3374" s="28">
        <f>IFERROR(VLOOKUP(TEXT(B3374,"0"),STOCK!A:H,7,0),1)</f>
        <v>1</v>
      </c>
    </row>
    <row r="3375" spans="10:10" ht="35.450000000000003" hidden="1" customHeight="1">
      <c r="J3375" s="28">
        <f>IFERROR(VLOOKUP(TEXT(B3375,"0"),STOCK!A:H,7,0),1)</f>
        <v>1</v>
      </c>
    </row>
    <row r="3376" spans="10:10" ht="35.450000000000003" hidden="1" customHeight="1">
      <c r="J3376" s="28">
        <f>IFERROR(VLOOKUP(TEXT(B3376,"0"),STOCK!A:H,7,0),1)</f>
        <v>1</v>
      </c>
    </row>
    <row r="3377" spans="10:10" ht="35.450000000000003" hidden="1" customHeight="1">
      <c r="J3377" s="28">
        <f>IFERROR(VLOOKUP(TEXT(B3377,"0"),STOCK!A:H,7,0),1)</f>
        <v>1</v>
      </c>
    </row>
    <row r="3378" spans="10:10" ht="35.450000000000003" hidden="1" customHeight="1">
      <c r="J3378" s="28">
        <f>IFERROR(VLOOKUP(TEXT(B3378,"0"),STOCK!A:H,7,0),1)</f>
        <v>1</v>
      </c>
    </row>
    <row r="3379" spans="10:10" ht="35.450000000000003" hidden="1" customHeight="1">
      <c r="J3379" s="28">
        <f>IFERROR(VLOOKUP(TEXT(B3379,"0"),STOCK!A:H,7,0),1)</f>
        <v>1</v>
      </c>
    </row>
    <row r="3380" spans="10:10" ht="35.450000000000003" hidden="1" customHeight="1">
      <c r="J3380" s="28">
        <f>IFERROR(VLOOKUP(TEXT(B3380,"0"),STOCK!A:H,7,0),1)</f>
        <v>1</v>
      </c>
    </row>
    <row r="3381" spans="10:10" ht="35.450000000000003" hidden="1" customHeight="1">
      <c r="J3381" s="28">
        <f>IFERROR(VLOOKUP(TEXT(B3381,"0"),STOCK!A:H,7,0),1)</f>
        <v>1</v>
      </c>
    </row>
    <row r="3382" spans="10:10" ht="35.450000000000003" hidden="1" customHeight="1">
      <c r="J3382" s="28">
        <f>IFERROR(VLOOKUP(TEXT(B3382,"0"),STOCK!A:H,7,0),1)</f>
        <v>1</v>
      </c>
    </row>
    <row r="3383" spans="10:10" ht="35.450000000000003" hidden="1" customHeight="1">
      <c r="J3383" s="28">
        <f>IFERROR(VLOOKUP(TEXT(B3383,"0"),STOCK!A:H,7,0),1)</f>
        <v>1</v>
      </c>
    </row>
    <row r="3384" spans="10:10" ht="35.450000000000003" hidden="1" customHeight="1">
      <c r="J3384" s="28">
        <f>IFERROR(VLOOKUP(TEXT(B3384,"0"),STOCK!A:H,7,0),1)</f>
        <v>1</v>
      </c>
    </row>
    <row r="3385" spans="10:10" ht="35.450000000000003" hidden="1" customHeight="1">
      <c r="J3385" s="28">
        <f>IFERROR(VLOOKUP(TEXT(B3385,"0"),STOCK!A:H,7,0),1)</f>
        <v>1</v>
      </c>
    </row>
    <row r="3386" spans="10:10" ht="35.450000000000003" hidden="1" customHeight="1">
      <c r="J3386" s="28">
        <f>IFERROR(VLOOKUP(TEXT(B3386,"0"),STOCK!A:H,7,0),1)</f>
        <v>1</v>
      </c>
    </row>
    <row r="3387" spans="10:10" ht="35.450000000000003" hidden="1" customHeight="1">
      <c r="J3387" s="28">
        <f>IFERROR(VLOOKUP(TEXT(B3387,"0"),STOCK!A:H,7,0),1)</f>
        <v>1</v>
      </c>
    </row>
    <row r="3388" spans="10:10" ht="35.450000000000003" hidden="1" customHeight="1">
      <c r="J3388" s="28">
        <f>IFERROR(VLOOKUP(TEXT(B3388,"0"),STOCK!A:H,7,0),1)</f>
        <v>1</v>
      </c>
    </row>
    <row r="3389" spans="10:10" ht="35.450000000000003" hidden="1" customHeight="1">
      <c r="J3389" s="28">
        <f>IFERROR(VLOOKUP(TEXT(B3389,"0"),STOCK!A:H,7,0),1)</f>
        <v>1</v>
      </c>
    </row>
    <row r="3390" spans="10:10" ht="35.450000000000003" hidden="1" customHeight="1">
      <c r="J3390" s="28">
        <f>IFERROR(VLOOKUP(TEXT(B3390,"0"),STOCK!A:H,7,0),1)</f>
        <v>1</v>
      </c>
    </row>
    <row r="3391" spans="10:10" ht="35.450000000000003" hidden="1" customHeight="1">
      <c r="J3391" s="28">
        <f>IFERROR(VLOOKUP(TEXT(B3391,"0"),STOCK!A:H,7,0),1)</f>
        <v>1</v>
      </c>
    </row>
    <row r="3392" spans="10:10" ht="35.450000000000003" hidden="1" customHeight="1">
      <c r="J3392" s="28">
        <f>IFERROR(VLOOKUP(TEXT(B3392,"0"),STOCK!A:H,7,0),1)</f>
        <v>1</v>
      </c>
    </row>
    <row r="3393" spans="10:10" ht="35.450000000000003" hidden="1" customHeight="1">
      <c r="J3393" s="28">
        <f>IFERROR(VLOOKUP(TEXT(B3393,"0"),STOCK!A:H,7,0),1)</f>
        <v>1</v>
      </c>
    </row>
    <row r="3394" spans="10:10" ht="35.450000000000003" hidden="1" customHeight="1">
      <c r="J3394" s="28">
        <f>IFERROR(VLOOKUP(TEXT(B3394,"0"),STOCK!A:H,7,0),1)</f>
        <v>1</v>
      </c>
    </row>
    <row r="3395" spans="10:10" ht="35.450000000000003" hidden="1" customHeight="1">
      <c r="J3395" s="28">
        <f>IFERROR(VLOOKUP(TEXT(B3395,"0"),STOCK!A:H,7,0),1)</f>
        <v>1</v>
      </c>
    </row>
    <row r="3396" spans="10:10" ht="35.450000000000003" hidden="1" customHeight="1">
      <c r="J3396" s="28">
        <f>IFERROR(VLOOKUP(TEXT(B3396,"0"),STOCK!A:H,7,0),1)</f>
        <v>1</v>
      </c>
    </row>
    <row r="3397" spans="10:10" ht="35.450000000000003" hidden="1" customHeight="1">
      <c r="J3397" s="28">
        <f>IFERROR(VLOOKUP(TEXT(B3397,"0"),STOCK!A:H,7,0),1)</f>
        <v>1</v>
      </c>
    </row>
    <row r="3398" spans="10:10" ht="35.450000000000003" hidden="1" customHeight="1">
      <c r="J3398" s="28">
        <f>IFERROR(VLOOKUP(TEXT(B3398,"0"),STOCK!A:H,7,0),1)</f>
        <v>1</v>
      </c>
    </row>
    <row r="3399" spans="10:10" ht="35.450000000000003" hidden="1" customHeight="1">
      <c r="J3399" s="28">
        <f>IFERROR(VLOOKUP(TEXT(B3399,"0"),STOCK!A:H,7,0),1)</f>
        <v>1</v>
      </c>
    </row>
    <row r="3400" spans="10:10" ht="35.450000000000003" hidden="1" customHeight="1">
      <c r="J3400" s="28">
        <f>IFERROR(VLOOKUP(TEXT(B3400,"0"),STOCK!A:H,7,0),1)</f>
        <v>1</v>
      </c>
    </row>
    <row r="3401" spans="10:10" ht="35.450000000000003" hidden="1" customHeight="1">
      <c r="J3401" s="28">
        <f>IFERROR(VLOOKUP(TEXT(B3401,"0"),STOCK!A:H,7,0),1)</f>
        <v>1</v>
      </c>
    </row>
    <row r="3402" spans="10:10" ht="35.450000000000003" hidden="1" customHeight="1">
      <c r="J3402" s="28">
        <f>IFERROR(VLOOKUP(TEXT(B3402,"0"),STOCK!A:H,7,0),1)</f>
        <v>1</v>
      </c>
    </row>
    <row r="3403" spans="10:10" ht="35.450000000000003" hidden="1" customHeight="1">
      <c r="J3403" s="28">
        <f>IFERROR(VLOOKUP(TEXT(B3403,"0"),STOCK!A:H,7,0),1)</f>
        <v>1</v>
      </c>
    </row>
    <row r="3404" spans="10:10" ht="35.450000000000003" hidden="1" customHeight="1">
      <c r="J3404" s="28">
        <f>IFERROR(VLOOKUP(TEXT(B3404,"0"),STOCK!A:H,7,0),1)</f>
        <v>1</v>
      </c>
    </row>
    <row r="3405" spans="10:10" ht="35.450000000000003" hidden="1" customHeight="1">
      <c r="J3405" s="28">
        <f>IFERROR(VLOOKUP(TEXT(B3405,"0"),STOCK!A:H,7,0),1)</f>
        <v>1</v>
      </c>
    </row>
    <row r="3406" spans="10:10" ht="35.450000000000003" hidden="1" customHeight="1">
      <c r="J3406" s="28">
        <f>IFERROR(VLOOKUP(TEXT(B3406,"0"),STOCK!A:H,7,0),1)</f>
        <v>1</v>
      </c>
    </row>
    <row r="3407" spans="10:10" ht="35.450000000000003" hidden="1" customHeight="1">
      <c r="J3407" s="28">
        <f>IFERROR(VLOOKUP(TEXT(B3407,"0"),STOCK!A:H,7,0),1)</f>
        <v>1</v>
      </c>
    </row>
    <row r="3408" spans="10:10" ht="35.450000000000003" hidden="1" customHeight="1">
      <c r="J3408" s="28">
        <f>IFERROR(VLOOKUP(TEXT(B3408,"0"),STOCK!A:H,7,0),1)</f>
        <v>1</v>
      </c>
    </row>
    <row r="3409" spans="10:10" ht="35.450000000000003" hidden="1" customHeight="1">
      <c r="J3409" s="28">
        <f>IFERROR(VLOOKUP(TEXT(B3409,"0"),STOCK!A:H,7,0),1)</f>
        <v>1</v>
      </c>
    </row>
    <row r="3410" spans="10:10" ht="35.450000000000003" hidden="1" customHeight="1">
      <c r="J3410" s="28">
        <f>IFERROR(VLOOKUP(TEXT(B3410,"0"),STOCK!A:H,7,0),1)</f>
        <v>1</v>
      </c>
    </row>
    <row r="3411" spans="10:10" ht="35.450000000000003" hidden="1" customHeight="1">
      <c r="J3411" s="28">
        <f>IFERROR(VLOOKUP(TEXT(B3411,"0"),STOCK!A:H,7,0),1)</f>
        <v>1</v>
      </c>
    </row>
    <row r="3412" spans="10:10" ht="35.450000000000003" hidden="1" customHeight="1">
      <c r="J3412" s="28">
        <f>IFERROR(VLOOKUP(TEXT(B3412,"0"),STOCK!A:H,7,0),1)</f>
        <v>1</v>
      </c>
    </row>
    <row r="3413" spans="10:10" ht="35.450000000000003" hidden="1" customHeight="1">
      <c r="J3413" s="28">
        <f>IFERROR(VLOOKUP(TEXT(B3413,"0"),STOCK!A:H,7,0),1)</f>
        <v>1</v>
      </c>
    </row>
    <row r="3414" spans="10:10" ht="35.450000000000003" hidden="1" customHeight="1">
      <c r="J3414" s="28">
        <f>IFERROR(VLOOKUP(TEXT(B3414,"0"),STOCK!A:H,7,0),1)</f>
        <v>1</v>
      </c>
    </row>
    <row r="3415" spans="10:10" ht="35.450000000000003" hidden="1" customHeight="1">
      <c r="J3415" s="28">
        <f>IFERROR(VLOOKUP(TEXT(B3415,"0"),STOCK!A:H,7,0),1)</f>
        <v>1</v>
      </c>
    </row>
    <row r="3416" spans="10:10" ht="35.450000000000003" hidden="1" customHeight="1">
      <c r="J3416" s="28">
        <f>IFERROR(VLOOKUP(TEXT(B3416,"0"),STOCK!A:H,7,0),1)</f>
        <v>1</v>
      </c>
    </row>
    <row r="3417" spans="10:10" ht="35.450000000000003" hidden="1" customHeight="1">
      <c r="J3417" s="28">
        <f>IFERROR(VLOOKUP(TEXT(B3417,"0"),STOCK!A:H,7,0),1)</f>
        <v>1</v>
      </c>
    </row>
    <row r="3418" spans="10:10" ht="35.450000000000003" hidden="1" customHeight="1">
      <c r="J3418" s="28">
        <f>IFERROR(VLOOKUP(TEXT(B3418,"0"),STOCK!A:H,7,0),1)</f>
        <v>1</v>
      </c>
    </row>
    <row r="3419" spans="10:10" ht="35.450000000000003" hidden="1" customHeight="1">
      <c r="J3419" s="28">
        <f>IFERROR(VLOOKUP(TEXT(B3419,"0"),STOCK!A:H,7,0),1)</f>
        <v>1</v>
      </c>
    </row>
    <row r="3420" spans="10:10" ht="35.450000000000003" hidden="1" customHeight="1">
      <c r="J3420" s="28">
        <f>IFERROR(VLOOKUP(TEXT(B3420,"0"),STOCK!A:H,7,0),1)</f>
        <v>1</v>
      </c>
    </row>
    <row r="3421" spans="10:10" ht="35.450000000000003" hidden="1" customHeight="1">
      <c r="J3421" s="28">
        <f>IFERROR(VLOOKUP(TEXT(B3421,"0"),STOCK!A:H,7,0),1)</f>
        <v>1</v>
      </c>
    </row>
    <row r="3422" spans="10:10" ht="35.450000000000003" hidden="1" customHeight="1">
      <c r="J3422" s="28">
        <f>IFERROR(VLOOKUP(TEXT(B3422,"0"),STOCK!A:H,7,0),1)</f>
        <v>1</v>
      </c>
    </row>
    <row r="3423" spans="10:10" ht="35.450000000000003" hidden="1" customHeight="1">
      <c r="J3423" s="28">
        <f>IFERROR(VLOOKUP(TEXT(B3423,"0"),STOCK!A:H,7,0),1)</f>
        <v>1</v>
      </c>
    </row>
    <row r="3424" spans="10:10" ht="35.450000000000003" hidden="1" customHeight="1">
      <c r="J3424" s="28">
        <f>IFERROR(VLOOKUP(TEXT(B3424,"0"),STOCK!A:H,7,0),1)</f>
        <v>1</v>
      </c>
    </row>
    <row r="3425" spans="10:10" ht="35.450000000000003" hidden="1" customHeight="1">
      <c r="J3425" s="28">
        <f>IFERROR(VLOOKUP(TEXT(B3425,"0"),STOCK!A:H,7,0),1)</f>
        <v>1</v>
      </c>
    </row>
    <row r="3426" spans="10:10" ht="35.450000000000003" hidden="1" customHeight="1">
      <c r="J3426" s="28">
        <f>IFERROR(VLOOKUP(TEXT(B3426,"0"),STOCK!A:H,7,0),1)</f>
        <v>1</v>
      </c>
    </row>
    <row r="3427" spans="10:10" ht="35.450000000000003" hidden="1" customHeight="1">
      <c r="J3427" s="28">
        <f>IFERROR(VLOOKUP(TEXT(B3427,"0"),STOCK!A:H,7,0),1)</f>
        <v>1</v>
      </c>
    </row>
    <row r="3428" spans="10:10" ht="35.450000000000003" hidden="1" customHeight="1">
      <c r="J3428" s="28">
        <f>IFERROR(VLOOKUP(TEXT(B3428,"0"),STOCK!A:H,7,0),1)</f>
        <v>1</v>
      </c>
    </row>
    <row r="3429" spans="10:10" ht="35.450000000000003" hidden="1" customHeight="1">
      <c r="J3429" s="28">
        <f>IFERROR(VLOOKUP(TEXT(B3429,"0"),STOCK!A:H,7,0),1)</f>
        <v>1</v>
      </c>
    </row>
    <row r="3430" spans="10:10" ht="35.450000000000003" hidden="1" customHeight="1">
      <c r="J3430" s="28">
        <f>IFERROR(VLOOKUP(TEXT(B3430,"0"),STOCK!A:H,7,0),1)</f>
        <v>1</v>
      </c>
    </row>
    <row r="3431" spans="10:10" ht="35.450000000000003" hidden="1" customHeight="1">
      <c r="J3431" s="28">
        <f>IFERROR(VLOOKUP(TEXT(B3431,"0"),STOCK!A:H,7,0),1)</f>
        <v>1</v>
      </c>
    </row>
    <row r="3432" spans="10:10" ht="35.450000000000003" hidden="1" customHeight="1">
      <c r="J3432" s="28">
        <f>IFERROR(VLOOKUP(TEXT(B3432,"0"),STOCK!A:H,7,0),1)</f>
        <v>1</v>
      </c>
    </row>
    <row r="3433" spans="10:10" ht="35.450000000000003" hidden="1" customHeight="1">
      <c r="J3433" s="28">
        <f>IFERROR(VLOOKUP(TEXT(B3433,"0"),STOCK!A:H,7,0),1)</f>
        <v>1</v>
      </c>
    </row>
    <row r="3434" spans="10:10" ht="35.450000000000003" hidden="1" customHeight="1">
      <c r="J3434" s="28">
        <f>IFERROR(VLOOKUP(TEXT(B3434,"0"),STOCK!A:H,7,0),1)</f>
        <v>1</v>
      </c>
    </row>
    <row r="3435" spans="10:10" ht="35.450000000000003" hidden="1" customHeight="1">
      <c r="J3435" s="28">
        <f>IFERROR(VLOOKUP(TEXT(B3435,"0"),STOCK!A:H,7,0),1)</f>
        <v>1</v>
      </c>
    </row>
    <row r="3436" spans="10:10" ht="35.450000000000003" hidden="1" customHeight="1">
      <c r="J3436" s="28">
        <f>IFERROR(VLOOKUP(TEXT(B3436,"0"),STOCK!A:H,7,0),1)</f>
        <v>1</v>
      </c>
    </row>
    <row r="3437" spans="10:10" ht="35.450000000000003" hidden="1" customHeight="1">
      <c r="J3437" s="28">
        <f>IFERROR(VLOOKUP(TEXT(B3437,"0"),STOCK!A:H,7,0),1)</f>
        <v>1</v>
      </c>
    </row>
    <row r="3438" spans="10:10" ht="35.450000000000003" hidden="1" customHeight="1">
      <c r="J3438" s="28">
        <f>IFERROR(VLOOKUP(TEXT(B3438,"0"),STOCK!A:H,7,0),1)</f>
        <v>1</v>
      </c>
    </row>
    <row r="3439" spans="10:10" ht="35.450000000000003" hidden="1" customHeight="1">
      <c r="J3439" s="28">
        <f>IFERROR(VLOOKUP(TEXT(B3439,"0"),STOCK!A:H,7,0),1)</f>
        <v>1</v>
      </c>
    </row>
    <row r="3440" spans="10:10" ht="35.450000000000003" hidden="1" customHeight="1">
      <c r="J3440" s="28">
        <f>IFERROR(VLOOKUP(TEXT(B3440,"0"),STOCK!A:H,7,0),1)</f>
        <v>1</v>
      </c>
    </row>
    <row r="3441" spans="10:10" ht="35.450000000000003" hidden="1" customHeight="1">
      <c r="J3441" s="28">
        <f>IFERROR(VLOOKUP(TEXT(B3441,"0"),STOCK!A:H,7,0),1)</f>
        <v>1</v>
      </c>
    </row>
    <row r="3442" spans="10:10" ht="35.450000000000003" hidden="1" customHeight="1">
      <c r="J3442" s="28">
        <f>IFERROR(VLOOKUP(TEXT(B3442,"0"),STOCK!A:H,7,0),1)</f>
        <v>1</v>
      </c>
    </row>
    <row r="3443" spans="10:10" ht="35.450000000000003" hidden="1" customHeight="1">
      <c r="J3443" s="28">
        <f>IFERROR(VLOOKUP(TEXT(B3443,"0"),STOCK!A:H,7,0),1)</f>
        <v>1</v>
      </c>
    </row>
    <row r="3444" spans="10:10" ht="35.450000000000003" hidden="1" customHeight="1">
      <c r="J3444" s="28">
        <f>IFERROR(VLOOKUP(TEXT(B3444,"0"),STOCK!A:H,7,0),1)</f>
        <v>1</v>
      </c>
    </row>
    <row r="3445" spans="10:10" ht="35.450000000000003" hidden="1" customHeight="1">
      <c r="J3445" s="28">
        <f>IFERROR(VLOOKUP(TEXT(B3445,"0"),STOCK!A:H,7,0),1)</f>
        <v>1</v>
      </c>
    </row>
    <row r="3446" spans="10:10" ht="35.450000000000003" hidden="1" customHeight="1">
      <c r="J3446" s="28">
        <f>IFERROR(VLOOKUP(TEXT(B3446,"0"),STOCK!A:H,7,0),1)</f>
        <v>1</v>
      </c>
    </row>
    <row r="3447" spans="10:10" ht="35.450000000000003" hidden="1" customHeight="1">
      <c r="J3447" s="28">
        <f>IFERROR(VLOOKUP(TEXT(B3447,"0"),STOCK!A:H,7,0),1)</f>
        <v>1</v>
      </c>
    </row>
    <row r="3448" spans="10:10" ht="35.450000000000003" hidden="1" customHeight="1">
      <c r="J3448" s="28">
        <f>IFERROR(VLOOKUP(TEXT(B3448,"0"),STOCK!A:H,7,0),1)</f>
        <v>1</v>
      </c>
    </row>
    <row r="3449" spans="10:10" ht="35.450000000000003" hidden="1" customHeight="1">
      <c r="J3449" s="28">
        <f>IFERROR(VLOOKUP(TEXT(B3449,"0"),STOCK!A:H,7,0),1)</f>
        <v>1</v>
      </c>
    </row>
    <row r="3450" spans="10:10" ht="35.450000000000003" hidden="1" customHeight="1">
      <c r="J3450" s="28">
        <f>IFERROR(VLOOKUP(TEXT(B3450,"0"),STOCK!A:H,7,0),1)</f>
        <v>1</v>
      </c>
    </row>
    <row r="3451" spans="10:10" ht="35.450000000000003" hidden="1" customHeight="1">
      <c r="J3451" s="28">
        <f>IFERROR(VLOOKUP(TEXT(B3451,"0"),STOCK!A:H,7,0),1)</f>
        <v>1</v>
      </c>
    </row>
    <row r="3452" spans="10:10" ht="35.450000000000003" hidden="1" customHeight="1">
      <c r="J3452" s="28">
        <f>IFERROR(VLOOKUP(TEXT(B3452,"0"),STOCK!A:H,7,0),1)</f>
        <v>1</v>
      </c>
    </row>
    <row r="3453" spans="10:10" ht="35.450000000000003" hidden="1" customHeight="1">
      <c r="J3453" s="28">
        <f>IFERROR(VLOOKUP(TEXT(B3453,"0"),STOCK!A:H,7,0),1)</f>
        <v>1</v>
      </c>
    </row>
    <row r="3454" spans="10:10" ht="35.450000000000003" hidden="1" customHeight="1">
      <c r="J3454" s="28">
        <f>IFERROR(VLOOKUP(TEXT(B3454,"0"),STOCK!A:H,7,0),1)</f>
        <v>1</v>
      </c>
    </row>
    <row r="3455" spans="10:10" ht="35.450000000000003" hidden="1" customHeight="1">
      <c r="J3455" s="28">
        <f>IFERROR(VLOOKUP(TEXT(B3455,"0"),STOCK!A:H,7,0),1)</f>
        <v>1</v>
      </c>
    </row>
    <row r="3456" spans="10:10" ht="35.450000000000003" hidden="1" customHeight="1">
      <c r="J3456" s="28">
        <f>IFERROR(VLOOKUP(TEXT(B3456,"0"),STOCK!A:H,7,0),1)</f>
        <v>1</v>
      </c>
    </row>
    <row r="3457" spans="10:10" ht="35.450000000000003" hidden="1" customHeight="1">
      <c r="J3457" s="28">
        <f>IFERROR(VLOOKUP(TEXT(B3457,"0"),STOCK!A:H,7,0),1)</f>
        <v>1</v>
      </c>
    </row>
    <row r="3458" spans="10:10" ht="35.450000000000003" hidden="1" customHeight="1">
      <c r="J3458" s="28">
        <f>IFERROR(VLOOKUP(TEXT(B3458,"0"),STOCK!A:H,7,0),1)</f>
        <v>1</v>
      </c>
    </row>
    <row r="3459" spans="10:10" ht="35.450000000000003" hidden="1" customHeight="1">
      <c r="J3459" s="28">
        <f>IFERROR(VLOOKUP(TEXT(B3459,"0"),STOCK!A:H,7,0),1)</f>
        <v>1</v>
      </c>
    </row>
    <row r="3460" spans="10:10" ht="35.450000000000003" hidden="1" customHeight="1">
      <c r="J3460" s="28">
        <f>IFERROR(VLOOKUP(TEXT(B3460,"0"),STOCK!A:H,7,0),1)</f>
        <v>1</v>
      </c>
    </row>
    <row r="3461" spans="10:10" ht="35.450000000000003" hidden="1" customHeight="1">
      <c r="J3461" s="28">
        <f>IFERROR(VLOOKUP(TEXT(B3461,"0"),STOCK!A:H,7,0),1)</f>
        <v>1</v>
      </c>
    </row>
    <row r="3462" spans="10:10" ht="35.450000000000003" hidden="1" customHeight="1">
      <c r="J3462" s="28">
        <f>IFERROR(VLOOKUP(TEXT(B3462,"0"),STOCK!A:H,7,0),1)</f>
        <v>1</v>
      </c>
    </row>
    <row r="3463" spans="10:10" ht="35.450000000000003" hidden="1" customHeight="1">
      <c r="J3463" s="28">
        <f>IFERROR(VLOOKUP(TEXT(B3463,"0"),STOCK!A:H,7,0),1)</f>
        <v>1</v>
      </c>
    </row>
    <row r="3464" spans="10:10" ht="35.450000000000003" hidden="1" customHeight="1">
      <c r="J3464" s="28">
        <f>IFERROR(VLOOKUP(TEXT(B3464,"0"),STOCK!A:H,7,0),1)</f>
        <v>1</v>
      </c>
    </row>
    <row r="3465" spans="10:10" ht="35.450000000000003" hidden="1" customHeight="1">
      <c r="J3465" s="28">
        <f>IFERROR(VLOOKUP(TEXT(B3465,"0"),STOCK!A:H,7,0),1)</f>
        <v>1</v>
      </c>
    </row>
    <row r="3466" spans="10:10" ht="35.450000000000003" hidden="1" customHeight="1">
      <c r="J3466" s="28">
        <f>IFERROR(VLOOKUP(TEXT(B3466,"0"),STOCK!A:H,7,0),1)</f>
        <v>1</v>
      </c>
    </row>
    <row r="3467" spans="10:10" ht="35.450000000000003" hidden="1" customHeight="1">
      <c r="J3467" s="28">
        <f>IFERROR(VLOOKUP(TEXT(B3467,"0"),STOCK!A:H,7,0),1)</f>
        <v>1</v>
      </c>
    </row>
    <row r="3468" spans="10:10" ht="35.450000000000003" hidden="1" customHeight="1">
      <c r="J3468" s="28">
        <f>IFERROR(VLOOKUP(TEXT(B3468,"0"),STOCK!A:H,7,0),1)</f>
        <v>1</v>
      </c>
    </row>
    <row r="3469" spans="10:10" ht="35.450000000000003" hidden="1" customHeight="1">
      <c r="J3469" s="28">
        <f>IFERROR(VLOOKUP(TEXT(B3469,"0"),STOCK!A:H,7,0),1)</f>
        <v>1</v>
      </c>
    </row>
    <row r="3470" spans="10:10" ht="35.450000000000003" hidden="1" customHeight="1">
      <c r="J3470" s="28">
        <f>IFERROR(VLOOKUP(TEXT(B3470,"0"),STOCK!A:H,7,0),1)</f>
        <v>1</v>
      </c>
    </row>
    <row r="3471" spans="10:10" ht="35.450000000000003" hidden="1" customHeight="1">
      <c r="J3471" s="28">
        <f>IFERROR(VLOOKUP(TEXT(B3471,"0"),STOCK!A:H,7,0),1)</f>
        <v>1</v>
      </c>
    </row>
    <row r="3472" spans="10:10" ht="35.450000000000003" hidden="1" customHeight="1">
      <c r="J3472" s="28">
        <f>IFERROR(VLOOKUP(TEXT(B3472,"0"),STOCK!A:H,7,0),1)</f>
        <v>1</v>
      </c>
    </row>
    <row r="3473" spans="10:10" ht="35.450000000000003" hidden="1" customHeight="1">
      <c r="J3473" s="28">
        <f>IFERROR(VLOOKUP(TEXT(B3473,"0"),STOCK!A:H,7,0),1)</f>
        <v>1</v>
      </c>
    </row>
    <row r="3474" spans="10:10" ht="35.450000000000003" hidden="1" customHeight="1">
      <c r="J3474" s="28">
        <f>IFERROR(VLOOKUP(TEXT(B3474,"0"),STOCK!A:H,7,0),1)</f>
        <v>1</v>
      </c>
    </row>
    <row r="3475" spans="10:10" ht="35.450000000000003" hidden="1" customHeight="1">
      <c r="J3475" s="28">
        <f>IFERROR(VLOOKUP(TEXT(B3475,"0"),STOCK!A:H,7,0),1)</f>
        <v>1</v>
      </c>
    </row>
    <row r="3476" spans="10:10" ht="35.450000000000003" hidden="1" customHeight="1">
      <c r="J3476" s="28">
        <f>IFERROR(VLOOKUP(TEXT(B3476,"0"),STOCK!A:H,7,0),1)</f>
        <v>1</v>
      </c>
    </row>
    <row r="3477" spans="10:10" ht="35.450000000000003" hidden="1" customHeight="1">
      <c r="J3477" s="28">
        <f>IFERROR(VLOOKUP(TEXT(B3477,"0"),STOCK!A:H,7,0),1)</f>
        <v>1</v>
      </c>
    </row>
    <row r="3478" spans="10:10" ht="35.450000000000003" hidden="1" customHeight="1">
      <c r="J3478" s="28">
        <f>IFERROR(VLOOKUP(TEXT(B3478,"0"),STOCK!A:H,7,0),1)</f>
        <v>1</v>
      </c>
    </row>
    <row r="3479" spans="10:10" ht="35.450000000000003" hidden="1" customHeight="1">
      <c r="J3479" s="28">
        <f>IFERROR(VLOOKUP(TEXT(B3479,"0"),STOCK!A:H,7,0),1)</f>
        <v>1</v>
      </c>
    </row>
    <row r="3480" spans="10:10" ht="35.450000000000003" hidden="1" customHeight="1">
      <c r="J3480" s="28">
        <f>IFERROR(VLOOKUP(TEXT(B3480,"0"),STOCK!A:H,7,0),1)</f>
        <v>1</v>
      </c>
    </row>
    <row r="3481" spans="10:10" ht="35.450000000000003" hidden="1" customHeight="1">
      <c r="J3481" s="28">
        <f>IFERROR(VLOOKUP(TEXT(B3481,"0"),STOCK!A:H,7,0),1)</f>
        <v>1</v>
      </c>
    </row>
    <row r="3482" spans="10:10" ht="35.450000000000003" hidden="1" customHeight="1">
      <c r="J3482" s="28">
        <f>IFERROR(VLOOKUP(TEXT(B3482,"0"),STOCK!A:H,7,0),1)</f>
        <v>1</v>
      </c>
    </row>
    <row r="3483" spans="10:10" ht="35.450000000000003" hidden="1" customHeight="1">
      <c r="J3483" s="28">
        <f>IFERROR(VLOOKUP(TEXT(B3483,"0"),STOCK!A:H,7,0),1)</f>
        <v>1</v>
      </c>
    </row>
    <row r="3484" spans="10:10" ht="35.450000000000003" hidden="1" customHeight="1">
      <c r="J3484" s="28">
        <f>IFERROR(VLOOKUP(TEXT(B3484,"0"),STOCK!A:H,7,0),1)</f>
        <v>1</v>
      </c>
    </row>
    <row r="3485" spans="10:10" ht="35.450000000000003" hidden="1" customHeight="1">
      <c r="J3485" s="28">
        <f>IFERROR(VLOOKUP(TEXT(B3485,"0"),STOCK!A:H,7,0),1)</f>
        <v>1</v>
      </c>
    </row>
    <row r="3486" spans="10:10" ht="35.450000000000003" hidden="1" customHeight="1">
      <c r="J3486" s="28">
        <f>IFERROR(VLOOKUP(TEXT(B3486,"0"),STOCK!A:H,7,0),1)</f>
        <v>1</v>
      </c>
    </row>
    <row r="3487" spans="10:10" ht="35.450000000000003" hidden="1" customHeight="1">
      <c r="J3487" s="28">
        <f>IFERROR(VLOOKUP(TEXT(B3487,"0"),STOCK!A:H,7,0),1)</f>
        <v>1</v>
      </c>
    </row>
    <row r="3488" spans="10:10" ht="35.450000000000003" hidden="1" customHeight="1">
      <c r="J3488" s="28">
        <f>IFERROR(VLOOKUP(TEXT(B3488,"0"),STOCK!A:H,7,0),1)</f>
        <v>1</v>
      </c>
    </row>
    <row r="3489" spans="10:10" ht="35.450000000000003" hidden="1" customHeight="1">
      <c r="J3489" s="28">
        <f>IFERROR(VLOOKUP(TEXT(B3489,"0"),STOCK!A:H,7,0),1)</f>
        <v>1</v>
      </c>
    </row>
    <row r="3490" spans="10:10" ht="35.450000000000003" hidden="1" customHeight="1">
      <c r="J3490" s="28">
        <f>IFERROR(VLOOKUP(TEXT(B3490,"0"),STOCK!A:H,7,0),1)</f>
        <v>1</v>
      </c>
    </row>
    <row r="3491" spans="10:10" ht="35.450000000000003" hidden="1" customHeight="1">
      <c r="J3491" s="28">
        <f>IFERROR(VLOOKUP(TEXT(B3491,"0"),STOCK!A:H,7,0),1)</f>
        <v>1</v>
      </c>
    </row>
    <row r="3492" spans="10:10" ht="35.450000000000003" hidden="1" customHeight="1">
      <c r="J3492" s="28">
        <f>IFERROR(VLOOKUP(TEXT(B3492,"0"),STOCK!A:H,7,0),1)</f>
        <v>1</v>
      </c>
    </row>
    <row r="3493" spans="10:10" ht="35.450000000000003" hidden="1" customHeight="1">
      <c r="J3493" s="28">
        <f>IFERROR(VLOOKUP(TEXT(B3493,"0"),STOCK!A:H,7,0),1)</f>
        <v>1</v>
      </c>
    </row>
    <row r="3494" spans="10:10" ht="35.450000000000003" hidden="1" customHeight="1">
      <c r="J3494" s="28">
        <f>IFERROR(VLOOKUP(TEXT(B3494,"0"),STOCK!A:H,7,0),1)</f>
        <v>1</v>
      </c>
    </row>
    <row r="3495" spans="10:10" ht="35.450000000000003" hidden="1" customHeight="1">
      <c r="J3495" s="28">
        <f>IFERROR(VLOOKUP(TEXT(B3495,"0"),STOCK!A:H,7,0),1)</f>
        <v>1</v>
      </c>
    </row>
    <row r="3496" spans="10:10" ht="35.450000000000003" hidden="1" customHeight="1">
      <c r="J3496" s="28">
        <f>IFERROR(VLOOKUP(TEXT(B3496,"0"),STOCK!A:H,7,0),1)</f>
        <v>1</v>
      </c>
    </row>
    <row r="3497" spans="10:10" ht="35.450000000000003" hidden="1" customHeight="1">
      <c r="J3497" s="28">
        <f>IFERROR(VLOOKUP(TEXT(B3497,"0"),STOCK!A:H,7,0),1)</f>
        <v>1</v>
      </c>
    </row>
    <row r="3498" spans="10:10" ht="35.450000000000003" hidden="1" customHeight="1">
      <c r="J3498" s="28">
        <f>IFERROR(VLOOKUP(TEXT(B3498,"0"),STOCK!A:H,7,0),1)</f>
        <v>1</v>
      </c>
    </row>
    <row r="3499" spans="10:10" ht="35.450000000000003" hidden="1" customHeight="1">
      <c r="J3499" s="28">
        <f>IFERROR(VLOOKUP(TEXT(B3499,"0"),STOCK!A:H,7,0),1)</f>
        <v>1</v>
      </c>
    </row>
    <row r="3500" spans="10:10" ht="35.450000000000003" hidden="1" customHeight="1">
      <c r="J3500" s="28">
        <f>IFERROR(VLOOKUP(TEXT(B3500,"0"),STOCK!A:H,7,0),1)</f>
        <v>1</v>
      </c>
    </row>
    <row r="3501" spans="10:10" ht="35.450000000000003" hidden="1" customHeight="1">
      <c r="J3501" s="28">
        <f>IFERROR(VLOOKUP(TEXT(B3501,"0"),STOCK!A:H,7,0),1)</f>
        <v>1</v>
      </c>
    </row>
    <row r="3502" spans="10:10" ht="35.450000000000003" hidden="1" customHeight="1">
      <c r="J3502" s="28">
        <f>IFERROR(VLOOKUP(TEXT(B3502,"0"),STOCK!A:H,7,0),1)</f>
        <v>1</v>
      </c>
    </row>
    <row r="3503" spans="10:10" ht="35.450000000000003" hidden="1" customHeight="1">
      <c r="J3503" s="28">
        <f>IFERROR(VLOOKUP(TEXT(B3503,"0"),STOCK!A:H,7,0),1)</f>
        <v>1</v>
      </c>
    </row>
    <row r="3504" spans="10:10" ht="35.450000000000003" hidden="1" customHeight="1">
      <c r="J3504" s="28">
        <f>IFERROR(VLOOKUP(TEXT(B3504,"0"),STOCK!A:H,7,0),1)</f>
        <v>1</v>
      </c>
    </row>
    <row r="3505" spans="10:10" ht="35.450000000000003" hidden="1" customHeight="1">
      <c r="J3505" s="28">
        <f>IFERROR(VLOOKUP(TEXT(B3505,"0"),STOCK!A:H,7,0),1)</f>
        <v>1</v>
      </c>
    </row>
    <row r="3506" spans="10:10" ht="35.450000000000003" hidden="1" customHeight="1">
      <c r="J3506" s="28">
        <f>IFERROR(VLOOKUP(TEXT(B3506,"0"),STOCK!A:H,7,0),1)</f>
        <v>1</v>
      </c>
    </row>
    <row r="3507" spans="10:10" ht="35.450000000000003" hidden="1" customHeight="1">
      <c r="J3507" s="28">
        <f>IFERROR(VLOOKUP(TEXT(B3507,"0"),STOCK!A:H,7,0),1)</f>
        <v>1</v>
      </c>
    </row>
    <row r="3508" spans="10:10" ht="35.450000000000003" hidden="1" customHeight="1">
      <c r="J3508" s="28">
        <f>IFERROR(VLOOKUP(TEXT(B3508,"0"),STOCK!A:H,7,0),1)</f>
        <v>1</v>
      </c>
    </row>
    <row r="3509" spans="10:10" ht="35.450000000000003" hidden="1" customHeight="1">
      <c r="J3509" s="28">
        <f>IFERROR(VLOOKUP(TEXT(B3509,"0"),STOCK!A:H,7,0),1)</f>
        <v>1</v>
      </c>
    </row>
    <row r="3510" spans="10:10" ht="35.450000000000003" hidden="1" customHeight="1">
      <c r="J3510" s="28">
        <f>IFERROR(VLOOKUP(TEXT(B3510,"0"),STOCK!A:H,7,0),1)</f>
        <v>1</v>
      </c>
    </row>
    <row r="3511" spans="10:10" ht="35.450000000000003" hidden="1" customHeight="1">
      <c r="J3511" s="28">
        <f>IFERROR(VLOOKUP(TEXT(B3511,"0"),STOCK!A:H,7,0),1)</f>
        <v>1</v>
      </c>
    </row>
    <row r="3512" spans="10:10" ht="35.450000000000003" hidden="1" customHeight="1">
      <c r="J3512" s="28">
        <f>IFERROR(VLOOKUP(TEXT(B3512,"0"),STOCK!A:H,7,0),1)</f>
        <v>1</v>
      </c>
    </row>
    <row r="3513" spans="10:10" ht="35.450000000000003" hidden="1" customHeight="1">
      <c r="J3513" s="28">
        <f>IFERROR(VLOOKUP(TEXT(B3513,"0"),STOCK!A:H,7,0),1)</f>
        <v>1</v>
      </c>
    </row>
    <row r="3514" spans="10:10" ht="35.450000000000003" hidden="1" customHeight="1">
      <c r="J3514" s="28">
        <f>IFERROR(VLOOKUP(TEXT(B3514,"0"),STOCK!A:H,7,0),1)</f>
        <v>1</v>
      </c>
    </row>
    <row r="3515" spans="10:10" ht="35.450000000000003" hidden="1" customHeight="1">
      <c r="J3515" s="28">
        <f>IFERROR(VLOOKUP(TEXT(B3515,"0"),STOCK!A:H,7,0),1)</f>
        <v>1</v>
      </c>
    </row>
    <row r="3516" spans="10:10" ht="35.450000000000003" hidden="1" customHeight="1">
      <c r="J3516" s="28">
        <f>IFERROR(VLOOKUP(TEXT(B3516,"0"),STOCK!A:H,7,0),1)</f>
        <v>1</v>
      </c>
    </row>
    <row r="3517" spans="10:10" ht="35.450000000000003" hidden="1" customHeight="1">
      <c r="J3517" s="28">
        <f>IFERROR(VLOOKUP(TEXT(B3517,"0"),STOCK!A:H,7,0),1)</f>
        <v>1</v>
      </c>
    </row>
    <row r="3518" spans="10:10" ht="35.450000000000003" hidden="1" customHeight="1">
      <c r="J3518" s="28">
        <f>IFERROR(VLOOKUP(TEXT(B3518,"0"),STOCK!A:H,7,0),1)</f>
        <v>1</v>
      </c>
    </row>
    <row r="3519" spans="10:10" ht="35.450000000000003" hidden="1" customHeight="1">
      <c r="J3519" s="28">
        <f>IFERROR(VLOOKUP(TEXT(B3519,"0"),STOCK!A:H,7,0),1)</f>
        <v>1</v>
      </c>
    </row>
    <row r="3520" spans="10:10" ht="35.450000000000003" hidden="1" customHeight="1">
      <c r="J3520" s="28">
        <f>IFERROR(VLOOKUP(TEXT(B3520,"0"),STOCK!A:H,7,0),1)</f>
        <v>1</v>
      </c>
    </row>
    <row r="3521" spans="10:10" ht="35.450000000000003" hidden="1" customHeight="1">
      <c r="J3521" s="28">
        <f>IFERROR(VLOOKUP(TEXT(B3521,"0"),STOCK!A:H,7,0),1)</f>
        <v>1</v>
      </c>
    </row>
    <row r="3522" spans="10:10" ht="35.450000000000003" hidden="1" customHeight="1">
      <c r="J3522" s="28">
        <f>IFERROR(VLOOKUP(TEXT(B3522,"0"),STOCK!A:H,7,0),1)</f>
        <v>1</v>
      </c>
    </row>
    <row r="3523" spans="10:10" ht="35.450000000000003" hidden="1" customHeight="1">
      <c r="J3523" s="28">
        <f>IFERROR(VLOOKUP(TEXT(B3523,"0"),STOCK!A:H,7,0),1)</f>
        <v>1</v>
      </c>
    </row>
    <row r="3524" spans="10:10" ht="35.450000000000003" hidden="1" customHeight="1">
      <c r="J3524" s="28">
        <f>IFERROR(VLOOKUP(TEXT(B3524,"0"),STOCK!A:H,7,0),1)</f>
        <v>1</v>
      </c>
    </row>
    <row r="3525" spans="10:10" ht="35.450000000000003" hidden="1" customHeight="1">
      <c r="J3525" s="28">
        <f>IFERROR(VLOOKUP(TEXT(B3525,"0"),STOCK!A:H,7,0),1)</f>
        <v>1</v>
      </c>
    </row>
    <row r="3526" spans="10:10" ht="35.450000000000003" hidden="1" customHeight="1">
      <c r="J3526" s="28">
        <f>IFERROR(VLOOKUP(TEXT(B3526,"0"),STOCK!A:H,7,0),1)</f>
        <v>1</v>
      </c>
    </row>
    <row r="3527" spans="10:10" ht="35.450000000000003" hidden="1" customHeight="1">
      <c r="J3527" s="28">
        <f>IFERROR(VLOOKUP(TEXT(B3527,"0"),STOCK!A:H,7,0),1)</f>
        <v>1</v>
      </c>
    </row>
    <row r="3528" spans="10:10" ht="35.450000000000003" hidden="1" customHeight="1">
      <c r="J3528" s="28">
        <f>IFERROR(VLOOKUP(TEXT(B3528,"0"),STOCK!A:H,7,0),1)</f>
        <v>1</v>
      </c>
    </row>
    <row r="3529" spans="10:10" ht="35.450000000000003" hidden="1" customHeight="1">
      <c r="J3529" s="28">
        <f>IFERROR(VLOOKUP(TEXT(B3529,"0"),STOCK!A:H,7,0),1)</f>
        <v>1</v>
      </c>
    </row>
    <row r="3530" spans="10:10" ht="35.450000000000003" hidden="1" customHeight="1">
      <c r="J3530" s="28">
        <f>IFERROR(VLOOKUP(TEXT(B3530,"0"),STOCK!A:H,7,0),1)</f>
        <v>1</v>
      </c>
    </row>
    <row r="3531" spans="10:10" ht="35.450000000000003" hidden="1" customHeight="1">
      <c r="J3531" s="28">
        <f>IFERROR(VLOOKUP(TEXT(B3531,"0"),STOCK!A:H,7,0),1)</f>
        <v>1</v>
      </c>
    </row>
    <row r="3532" spans="10:10" ht="35.450000000000003" hidden="1" customHeight="1">
      <c r="J3532" s="28">
        <f>IFERROR(VLOOKUP(TEXT(B3532,"0"),STOCK!A:H,7,0),1)</f>
        <v>1</v>
      </c>
    </row>
    <row r="3533" spans="10:10" ht="35.450000000000003" hidden="1" customHeight="1">
      <c r="J3533" s="28">
        <f>IFERROR(VLOOKUP(TEXT(B3533,"0"),STOCK!A:H,7,0),1)</f>
        <v>1</v>
      </c>
    </row>
    <row r="3534" spans="10:10" ht="35.450000000000003" hidden="1" customHeight="1">
      <c r="J3534" s="28">
        <f>IFERROR(VLOOKUP(TEXT(B3534,"0"),STOCK!A:H,7,0),1)</f>
        <v>1</v>
      </c>
    </row>
    <row r="3535" spans="10:10" ht="35.450000000000003" hidden="1" customHeight="1">
      <c r="J3535" s="28">
        <f>IFERROR(VLOOKUP(TEXT(B3535,"0"),STOCK!A:H,7,0),1)</f>
        <v>1</v>
      </c>
    </row>
    <row r="3536" spans="10:10" ht="35.450000000000003" hidden="1" customHeight="1">
      <c r="J3536" s="28">
        <f>IFERROR(VLOOKUP(TEXT(B3536,"0"),STOCK!A:H,7,0),1)</f>
        <v>1</v>
      </c>
    </row>
    <row r="3537" spans="10:10" ht="35.450000000000003" hidden="1" customHeight="1">
      <c r="J3537" s="28">
        <f>IFERROR(VLOOKUP(TEXT(B3537,"0"),STOCK!A:H,7,0),1)</f>
        <v>1</v>
      </c>
    </row>
    <row r="3538" spans="10:10" ht="35.450000000000003" hidden="1" customHeight="1">
      <c r="J3538" s="28">
        <f>IFERROR(VLOOKUP(TEXT(B3538,"0"),STOCK!A:H,7,0),1)</f>
        <v>1</v>
      </c>
    </row>
    <row r="3539" spans="10:10" ht="35.450000000000003" hidden="1" customHeight="1">
      <c r="J3539" s="28">
        <f>IFERROR(VLOOKUP(TEXT(B3539,"0"),STOCK!A:H,7,0),1)</f>
        <v>1</v>
      </c>
    </row>
    <row r="3540" spans="10:10" ht="35.450000000000003" hidden="1" customHeight="1">
      <c r="J3540" s="28">
        <f>IFERROR(VLOOKUP(TEXT(B3540,"0"),STOCK!A:H,7,0),1)</f>
        <v>1</v>
      </c>
    </row>
    <row r="3541" spans="10:10" ht="35.450000000000003" hidden="1" customHeight="1">
      <c r="J3541" s="28">
        <f>IFERROR(VLOOKUP(TEXT(B3541,"0"),STOCK!A:H,7,0),1)</f>
        <v>1</v>
      </c>
    </row>
    <row r="3542" spans="10:10" ht="35.450000000000003" hidden="1" customHeight="1">
      <c r="J3542" s="28">
        <f>IFERROR(VLOOKUP(TEXT(B3542,"0"),STOCK!A:H,7,0),1)</f>
        <v>1</v>
      </c>
    </row>
    <row r="3543" spans="10:10" ht="35.450000000000003" hidden="1" customHeight="1">
      <c r="J3543" s="28">
        <f>IFERROR(VLOOKUP(TEXT(B3543,"0"),STOCK!A:H,7,0),1)</f>
        <v>1</v>
      </c>
    </row>
    <row r="3544" spans="10:10" ht="35.450000000000003" hidden="1" customHeight="1">
      <c r="J3544" s="28">
        <f>IFERROR(VLOOKUP(TEXT(B3544,"0"),STOCK!A:H,7,0),1)</f>
        <v>1</v>
      </c>
    </row>
    <row r="3545" spans="10:10" ht="35.450000000000003" hidden="1" customHeight="1">
      <c r="J3545" s="28">
        <f>IFERROR(VLOOKUP(TEXT(B3545,"0"),STOCK!A:H,7,0),1)</f>
        <v>1</v>
      </c>
    </row>
    <row r="3546" spans="10:10" ht="35.450000000000003" hidden="1" customHeight="1">
      <c r="J3546" s="28">
        <f>IFERROR(VLOOKUP(TEXT(B3546,"0"),STOCK!A:H,7,0),1)</f>
        <v>1</v>
      </c>
    </row>
    <row r="3547" spans="10:10" ht="35.450000000000003" hidden="1" customHeight="1">
      <c r="J3547" s="28">
        <f>IFERROR(VLOOKUP(TEXT(B3547,"0"),STOCK!A:H,7,0),1)</f>
        <v>1</v>
      </c>
    </row>
    <row r="3548" spans="10:10" ht="35.450000000000003" hidden="1" customHeight="1">
      <c r="J3548" s="28">
        <f>IFERROR(VLOOKUP(TEXT(B3548,"0"),STOCK!A:H,7,0),1)</f>
        <v>1</v>
      </c>
    </row>
    <row r="3549" spans="10:10" ht="35.450000000000003" hidden="1" customHeight="1">
      <c r="J3549" s="28">
        <f>IFERROR(VLOOKUP(TEXT(B3549,"0"),STOCK!A:H,7,0),1)</f>
        <v>1</v>
      </c>
    </row>
    <row r="3550" spans="10:10" ht="35.450000000000003" hidden="1" customHeight="1">
      <c r="J3550" s="28">
        <f>IFERROR(VLOOKUP(TEXT(B3550,"0"),STOCK!A:H,7,0),1)</f>
        <v>1</v>
      </c>
    </row>
    <row r="3551" spans="10:10" ht="35.450000000000003" hidden="1" customHeight="1">
      <c r="J3551" s="28">
        <f>IFERROR(VLOOKUP(TEXT(B3551,"0"),STOCK!A:H,7,0),1)</f>
        <v>1</v>
      </c>
    </row>
    <row r="3552" spans="10:10" ht="35.450000000000003" hidden="1" customHeight="1">
      <c r="J3552" s="28">
        <f>IFERROR(VLOOKUP(TEXT(B3552,"0"),STOCK!A:H,7,0),1)</f>
        <v>1</v>
      </c>
    </row>
    <row r="3553" spans="10:10" ht="35.450000000000003" hidden="1" customHeight="1">
      <c r="J3553" s="28">
        <f>IFERROR(VLOOKUP(TEXT(B3553,"0"),STOCK!A:H,7,0),1)</f>
        <v>1</v>
      </c>
    </row>
    <row r="3554" spans="10:10" ht="35.450000000000003" hidden="1" customHeight="1">
      <c r="J3554" s="28">
        <f>IFERROR(VLOOKUP(TEXT(B3554,"0"),STOCK!A:H,7,0),1)</f>
        <v>1</v>
      </c>
    </row>
    <row r="3555" spans="10:10" ht="35.450000000000003" hidden="1" customHeight="1">
      <c r="J3555" s="28">
        <f>IFERROR(VLOOKUP(TEXT(B3555,"0"),STOCK!A:H,7,0),1)</f>
        <v>1</v>
      </c>
    </row>
    <row r="3556" spans="10:10" ht="35.450000000000003" hidden="1" customHeight="1">
      <c r="J3556" s="28">
        <f>IFERROR(VLOOKUP(TEXT(B3556,"0"),STOCK!A:H,7,0),1)</f>
        <v>1</v>
      </c>
    </row>
    <row r="3557" spans="10:10" ht="35.450000000000003" hidden="1" customHeight="1">
      <c r="J3557" s="28">
        <f>IFERROR(VLOOKUP(TEXT(B3557,"0"),STOCK!A:H,7,0),1)</f>
        <v>1</v>
      </c>
    </row>
    <row r="3558" spans="10:10" ht="35.450000000000003" hidden="1" customHeight="1">
      <c r="J3558" s="28">
        <f>IFERROR(VLOOKUP(TEXT(B3558,"0"),STOCK!A:H,7,0),1)</f>
        <v>1</v>
      </c>
    </row>
    <row r="3559" spans="10:10" ht="35.450000000000003" hidden="1" customHeight="1">
      <c r="J3559" s="28">
        <f>IFERROR(VLOOKUP(TEXT(B3559,"0"),STOCK!A:H,7,0),1)</f>
        <v>1</v>
      </c>
    </row>
    <row r="3560" spans="10:10" ht="35.450000000000003" hidden="1" customHeight="1">
      <c r="J3560" s="28">
        <f>IFERROR(VLOOKUP(TEXT(B3560,"0"),STOCK!A:H,7,0),1)</f>
        <v>1</v>
      </c>
    </row>
    <row r="3561" spans="10:10" ht="35.450000000000003" hidden="1" customHeight="1">
      <c r="J3561" s="28">
        <f>IFERROR(VLOOKUP(TEXT(B3561,"0"),STOCK!A:H,7,0),1)</f>
        <v>1</v>
      </c>
    </row>
    <row r="3562" spans="10:10" ht="35.450000000000003" hidden="1" customHeight="1">
      <c r="J3562" s="28">
        <f>IFERROR(VLOOKUP(TEXT(B3562,"0"),STOCK!A:H,7,0),1)</f>
        <v>1</v>
      </c>
    </row>
    <row r="3563" spans="10:10" ht="35.450000000000003" hidden="1" customHeight="1">
      <c r="J3563" s="28">
        <f>IFERROR(VLOOKUP(TEXT(B3563,"0"),STOCK!A:H,7,0),1)</f>
        <v>1</v>
      </c>
    </row>
    <row r="3564" spans="10:10" ht="35.450000000000003" hidden="1" customHeight="1">
      <c r="J3564" s="28">
        <f>IFERROR(VLOOKUP(TEXT(B3564,"0"),STOCK!A:H,7,0),1)</f>
        <v>1</v>
      </c>
    </row>
    <row r="3565" spans="10:10" ht="35.450000000000003" hidden="1" customHeight="1">
      <c r="J3565" s="28">
        <f>IFERROR(VLOOKUP(TEXT(B3565,"0"),STOCK!A:H,7,0),1)</f>
        <v>1</v>
      </c>
    </row>
    <row r="3566" spans="10:10" ht="35.450000000000003" hidden="1" customHeight="1">
      <c r="J3566" s="28">
        <f>IFERROR(VLOOKUP(TEXT(B3566,"0"),STOCK!A:H,7,0),1)</f>
        <v>1</v>
      </c>
    </row>
    <row r="3567" spans="10:10" ht="35.450000000000003" hidden="1" customHeight="1">
      <c r="J3567" s="28">
        <f>IFERROR(VLOOKUP(TEXT(B3567,"0"),STOCK!A:H,7,0),1)</f>
        <v>1</v>
      </c>
    </row>
    <row r="3568" spans="10:10" ht="35.450000000000003" hidden="1" customHeight="1">
      <c r="J3568" s="28">
        <f>IFERROR(VLOOKUP(TEXT(B3568,"0"),STOCK!A:H,7,0),1)</f>
        <v>1</v>
      </c>
    </row>
    <row r="3569" spans="10:10" ht="35.450000000000003" hidden="1" customHeight="1">
      <c r="J3569" s="28">
        <f>IFERROR(VLOOKUP(TEXT(B3569,"0"),STOCK!A:H,7,0),1)</f>
        <v>1</v>
      </c>
    </row>
    <row r="3570" spans="10:10" ht="35.450000000000003" hidden="1" customHeight="1">
      <c r="J3570" s="28">
        <f>IFERROR(VLOOKUP(TEXT(B3570,"0"),STOCK!A:H,7,0),1)</f>
        <v>1</v>
      </c>
    </row>
    <row r="3571" spans="10:10" ht="35.450000000000003" hidden="1" customHeight="1">
      <c r="J3571" s="28">
        <f>IFERROR(VLOOKUP(TEXT(B3571,"0"),STOCK!A:H,7,0),1)</f>
        <v>1</v>
      </c>
    </row>
    <row r="3572" spans="10:10" ht="35.450000000000003" hidden="1" customHeight="1">
      <c r="J3572" s="28">
        <f>IFERROR(VLOOKUP(TEXT(B3572,"0"),STOCK!A:H,7,0),1)</f>
        <v>1</v>
      </c>
    </row>
    <row r="3573" spans="10:10" ht="35.450000000000003" hidden="1" customHeight="1">
      <c r="J3573" s="28">
        <f>IFERROR(VLOOKUP(TEXT(B3573,"0"),STOCK!A:H,7,0),1)</f>
        <v>1</v>
      </c>
    </row>
    <row r="3574" spans="10:10" ht="35.450000000000003" hidden="1" customHeight="1">
      <c r="J3574" s="28">
        <f>IFERROR(VLOOKUP(TEXT(B3574,"0"),STOCK!A:H,7,0),1)</f>
        <v>1</v>
      </c>
    </row>
    <row r="3575" spans="10:10" ht="35.450000000000003" hidden="1" customHeight="1">
      <c r="J3575" s="28">
        <f>IFERROR(VLOOKUP(TEXT(B3575,"0"),STOCK!A:H,7,0),1)</f>
        <v>1</v>
      </c>
    </row>
    <row r="3576" spans="10:10" ht="35.450000000000003" hidden="1" customHeight="1">
      <c r="J3576" s="28">
        <f>IFERROR(VLOOKUP(TEXT(B3576,"0"),STOCK!A:H,7,0),1)</f>
        <v>1</v>
      </c>
    </row>
    <row r="3577" spans="10:10" ht="35.450000000000003" hidden="1" customHeight="1">
      <c r="J3577" s="28">
        <f>IFERROR(VLOOKUP(TEXT(B3577,"0"),STOCK!A:H,7,0),1)</f>
        <v>1</v>
      </c>
    </row>
    <row r="3578" spans="10:10" ht="35.450000000000003" hidden="1" customHeight="1">
      <c r="J3578" s="28">
        <f>IFERROR(VLOOKUP(TEXT(B3578,"0"),STOCK!A:H,7,0),1)</f>
        <v>1</v>
      </c>
    </row>
    <row r="3579" spans="10:10" ht="35.450000000000003" hidden="1" customHeight="1">
      <c r="J3579" s="28">
        <f>IFERROR(VLOOKUP(TEXT(B3579,"0"),STOCK!A:H,7,0),1)</f>
        <v>1</v>
      </c>
    </row>
    <row r="3580" spans="10:10" ht="35.450000000000003" hidden="1" customHeight="1">
      <c r="J3580" s="28">
        <f>IFERROR(VLOOKUP(TEXT(B3580,"0"),STOCK!A:H,7,0),1)</f>
        <v>1</v>
      </c>
    </row>
    <row r="3581" spans="10:10" ht="35.450000000000003" hidden="1" customHeight="1">
      <c r="J3581" s="28">
        <f>IFERROR(VLOOKUP(TEXT(B3581,"0"),STOCK!A:H,7,0),1)</f>
        <v>1</v>
      </c>
    </row>
    <row r="3582" spans="10:10" ht="35.450000000000003" hidden="1" customHeight="1">
      <c r="J3582" s="28">
        <f>IFERROR(VLOOKUP(TEXT(B3582,"0"),STOCK!A:H,7,0),1)</f>
        <v>1</v>
      </c>
    </row>
    <row r="3583" spans="10:10" ht="35.450000000000003" hidden="1" customHeight="1">
      <c r="J3583" s="28">
        <f>IFERROR(VLOOKUP(TEXT(B3583,"0"),STOCK!A:H,7,0),1)</f>
        <v>1</v>
      </c>
    </row>
    <row r="3584" spans="10:10" ht="35.450000000000003" hidden="1" customHeight="1">
      <c r="J3584" s="28">
        <f>IFERROR(VLOOKUP(TEXT(B3584,"0"),STOCK!A:H,7,0),1)</f>
        <v>1</v>
      </c>
    </row>
    <row r="3585" spans="10:10" ht="35.450000000000003" hidden="1" customHeight="1">
      <c r="J3585" s="28">
        <f>IFERROR(VLOOKUP(TEXT(B3585,"0"),STOCK!A:H,7,0),1)</f>
        <v>1</v>
      </c>
    </row>
    <row r="3586" spans="10:10" ht="35.450000000000003" hidden="1" customHeight="1">
      <c r="J3586" s="28">
        <f>IFERROR(VLOOKUP(TEXT(B3586,"0"),STOCK!A:H,7,0),1)</f>
        <v>1</v>
      </c>
    </row>
    <row r="3587" spans="10:10" ht="35.450000000000003" hidden="1" customHeight="1">
      <c r="J3587" s="28">
        <f>IFERROR(VLOOKUP(TEXT(B3587,"0"),STOCK!A:H,7,0),1)</f>
        <v>1</v>
      </c>
    </row>
    <row r="3588" spans="10:10" ht="35.450000000000003" hidden="1" customHeight="1">
      <c r="J3588" s="28">
        <f>IFERROR(VLOOKUP(TEXT(B3588,"0"),STOCK!A:H,7,0),1)</f>
        <v>1</v>
      </c>
    </row>
    <row r="3589" spans="10:10" ht="35.450000000000003" hidden="1" customHeight="1">
      <c r="J3589" s="28">
        <f>IFERROR(VLOOKUP(TEXT(B3589,"0"),STOCK!A:H,7,0),1)</f>
        <v>1</v>
      </c>
    </row>
    <row r="3590" spans="10:10" ht="35.450000000000003" hidden="1" customHeight="1">
      <c r="J3590" s="28">
        <f>IFERROR(VLOOKUP(TEXT(B3590,"0"),STOCK!A:H,7,0),1)</f>
        <v>1</v>
      </c>
    </row>
    <row r="3591" spans="10:10" ht="35.450000000000003" hidden="1" customHeight="1">
      <c r="J3591" s="28">
        <f>IFERROR(VLOOKUP(TEXT(B3591,"0"),STOCK!A:H,7,0),1)</f>
        <v>1</v>
      </c>
    </row>
    <row r="3592" spans="10:10" ht="35.450000000000003" hidden="1" customHeight="1">
      <c r="J3592" s="28">
        <f>IFERROR(VLOOKUP(TEXT(B3592,"0"),STOCK!A:H,7,0),1)</f>
        <v>1</v>
      </c>
    </row>
    <row r="3593" spans="10:10" ht="35.450000000000003" hidden="1" customHeight="1">
      <c r="J3593" s="28">
        <f>IFERROR(VLOOKUP(TEXT(B3593,"0"),STOCK!A:H,7,0),1)</f>
        <v>1</v>
      </c>
    </row>
    <row r="3594" spans="10:10" ht="35.450000000000003" hidden="1" customHeight="1">
      <c r="J3594" s="28">
        <f>IFERROR(VLOOKUP(TEXT(B3594,"0"),STOCK!A:H,7,0),1)</f>
        <v>1</v>
      </c>
    </row>
    <row r="3595" spans="10:10" ht="35.450000000000003" hidden="1" customHeight="1">
      <c r="J3595" s="28">
        <f>IFERROR(VLOOKUP(TEXT(B3595,"0"),STOCK!A:H,7,0),1)</f>
        <v>1</v>
      </c>
    </row>
    <row r="3596" spans="10:10" ht="35.450000000000003" hidden="1" customHeight="1">
      <c r="J3596" s="28">
        <f>IFERROR(VLOOKUP(TEXT(B3596,"0"),STOCK!A:H,7,0),1)</f>
        <v>1</v>
      </c>
    </row>
    <row r="3597" spans="10:10" ht="35.450000000000003" hidden="1" customHeight="1">
      <c r="J3597" s="28">
        <f>IFERROR(VLOOKUP(TEXT(B3597,"0"),STOCK!A:H,7,0),1)</f>
        <v>1</v>
      </c>
    </row>
    <row r="3598" spans="10:10" ht="35.450000000000003" hidden="1" customHeight="1">
      <c r="J3598" s="28">
        <f>IFERROR(VLOOKUP(TEXT(B3598,"0"),STOCK!A:H,7,0),1)</f>
        <v>1</v>
      </c>
    </row>
    <row r="3599" spans="10:10" ht="35.450000000000003" hidden="1" customHeight="1">
      <c r="J3599" s="28">
        <f>IFERROR(VLOOKUP(TEXT(B3599,"0"),STOCK!A:H,7,0),1)</f>
        <v>1</v>
      </c>
    </row>
    <row r="3600" spans="10:10" ht="35.450000000000003" hidden="1" customHeight="1">
      <c r="J3600" s="28">
        <f>IFERROR(VLOOKUP(TEXT(B3600,"0"),STOCK!A:H,7,0),1)</f>
        <v>1</v>
      </c>
    </row>
    <row r="3601" spans="10:10" ht="35.450000000000003" hidden="1" customHeight="1">
      <c r="J3601" s="28">
        <f>IFERROR(VLOOKUP(TEXT(B3601,"0"),STOCK!A:H,7,0),1)</f>
        <v>1</v>
      </c>
    </row>
    <row r="3602" spans="10:10" ht="35.450000000000003" hidden="1" customHeight="1">
      <c r="J3602" s="28">
        <f>IFERROR(VLOOKUP(TEXT(B3602,"0"),STOCK!A:H,7,0),1)</f>
        <v>1</v>
      </c>
    </row>
    <row r="3603" spans="10:10" ht="35.450000000000003" hidden="1" customHeight="1">
      <c r="J3603" s="28">
        <f>IFERROR(VLOOKUP(TEXT(B3603,"0"),STOCK!A:H,7,0),1)</f>
        <v>1</v>
      </c>
    </row>
    <row r="3604" spans="10:10" ht="35.450000000000003" hidden="1" customHeight="1">
      <c r="J3604" s="28">
        <f>IFERROR(VLOOKUP(TEXT(B3604,"0"),STOCK!A:H,7,0),1)</f>
        <v>1</v>
      </c>
    </row>
    <row r="3605" spans="10:10" ht="35.450000000000003" hidden="1" customHeight="1">
      <c r="J3605" s="28">
        <f>IFERROR(VLOOKUP(TEXT(B3605,"0"),STOCK!A:H,7,0),1)</f>
        <v>1</v>
      </c>
    </row>
    <row r="3606" spans="10:10" ht="35.450000000000003" hidden="1" customHeight="1">
      <c r="J3606" s="28">
        <f>IFERROR(VLOOKUP(TEXT(B3606,"0"),STOCK!A:H,7,0),1)</f>
        <v>1</v>
      </c>
    </row>
    <row r="3607" spans="10:10" ht="35.450000000000003" hidden="1" customHeight="1">
      <c r="J3607" s="28">
        <f>IFERROR(VLOOKUP(TEXT(B3607,"0"),STOCK!A:H,7,0),1)</f>
        <v>1</v>
      </c>
    </row>
    <row r="3608" spans="10:10" ht="35.450000000000003" hidden="1" customHeight="1">
      <c r="J3608" s="28">
        <f>IFERROR(VLOOKUP(TEXT(B3608,"0"),STOCK!A:H,7,0),1)</f>
        <v>1</v>
      </c>
    </row>
    <row r="3609" spans="10:10" ht="35.450000000000003" hidden="1" customHeight="1">
      <c r="J3609" s="28">
        <f>IFERROR(VLOOKUP(TEXT(B3609,"0"),STOCK!A:H,7,0),1)</f>
        <v>1</v>
      </c>
    </row>
    <row r="3610" spans="10:10" ht="35.450000000000003" hidden="1" customHeight="1">
      <c r="J3610" s="28">
        <f>IFERROR(VLOOKUP(TEXT(B3610,"0"),STOCK!A:H,7,0),1)</f>
        <v>1</v>
      </c>
    </row>
    <row r="3611" spans="10:10" ht="35.450000000000003" hidden="1" customHeight="1">
      <c r="J3611" s="28">
        <f>IFERROR(VLOOKUP(TEXT(B3611,"0"),STOCK!A:H,7,0),1)</f>
        <v>1</v>
      </c>
    </row>
    <row r="3612" spans="10:10" ht="35.450000000000003" hidden="1" customHeight="1">
      <c r="J3612" s="28">
        <f>IFERROR(VLOOKUP(TEXT(B3612,"0"),STOCK!A:H,7,0),1)</f>
        <v>1</v>
      </c>
    </row>
    <row r="3613" spans="10:10" ht="35.450000000000003" hidden="1" customHeight="1">
      <c r="J3613" s="28">
        <f>IFERROR(VLOOKUP(TEXT(B3613,"0"),STOCK!A:H,7,0),1)</f>
        <v>1</v>
      </c>
    </row>
    <row r="3614" spans="10:10" ht="35.450000000000003" hidden="1" customHeight="1">
      <c r="J3614" s="28">
        <f>IFERROR(VLOOKUP(TEXT(B3614,"0"),STOCK!A:H,7,0),1)</f>
        <v>1</v>
      </c>
    </row>
    <row r="3615" spans="10:10" ht="35.450000000000003" hidden="1" customHeight="1">
      <c r="J3615" s="28">
        <f>IFERROR(VLOOKUP(TEXT(B3615,"0"),STOCK!A:H,7,0),1)</f>
        <v>1</v>
      </c>
    </row>
    <row r="3616" spans="10:10" ht="35.450000000000003" hidden="1" customHeight="1">
      <c r="J3616" s="28">
        <f>IFERROR(VLOOKUP(TEXT(B3616,"0"),STOCK!A:H,7,0),1)</f>
        <v>1</v>
      </c>
    </row>
    <row r="3617" spans="10:10" ht="35.450000000000003" hidden="1" customHeight="1">
      <c r="J3617" s="28">
        <f>IFERROR(VLOOKUP(TEXT(B3617,"0"),STOCK!A:H,7,0),1)</f>
        <v>1</v>
      </c>
    </row>
    <row r="3618" spans="10:10" ht="35.450000000000003" hidden="1" customHeight="1">
      <c r="J3618" s="28">
        <f>IFERROR(VLOOKUP(TEXT(B3618,"0"),STOCK!A:H,7,0),1)</f>
        <v>1</v>
      </c>
    </row>
    <row r="3619" spans="10:10" ht="35.450000000000003" hidden="1" customHeight="1">
      <c r="J3619" s="28">
        <f>IFERROR(VLOOKUP(TEXT(B3619,"0"),STOCK!A:H,7,0),1)</f>
        <v>1</v>
      </c>
    </row>
    <row r="3620" spans="10:10" ht="35.450000000000003" hidden="1" customHeight="1">
      <c r="J3620" s="28">
        <f>IFERROR(VLOOKUP(TEXT(B3620,"0"),STOCK!A:H,7,0),1)</f>
        <v>1</v>
      </c>
    </row>
    <row r="3621" spans="10:10" ht="35.450000000000003" hidden="1" customHeight="1">
      <c r="J3621" s="28">
        <f>IFERROR(VLOOKUP(TEXT(B3621,"0"),STOCK!A:H,7,0),1)</f>
        <v>1</v>
      </c>
    </row>
    <row r="3622" spans="10:10" ht="35.450000000000003" hidden="1" customHeight="1">
      <c r="J3622" s="28">
        <f>IFERROR(VLOOKUP(TEXT(B3622,"0"),STOCK!A:H,7,0),1)</f>
        <v>1</v>
      </c>
    </row>
    <row r="3623" spans="10:10" ht="35.450000000000003" hidden="1" customHeight="1">
      <c r="J3623" s="28">
        <f>IFERROR(VLOOKUP(TEXT(B3623,"0"),STOCK!A:H,7,0),1)</f>
        <v>1</v>
      </c>
    </row>
    <row r="3624" spans="10:10" ht="35.450000000000003" hidden="1" customHeight="1">
      <c r="J3624" s="28">
        <f>IFERROR(VLOOKUP(TEXT(B3624,"0"),STOCK!A:H,7,0),1)</f>
        <v>1</v>
      </c>
    </row>
    <row r="3625" spans="10:10" ht="35.450000000000003" hidden="1" customHeight="1">
      <c r="J3625" s="28">
        <f>IFERROR(VLOOKUP(TEXT(B3625,"0"),STOCK!A:H,7,0),1)</f>
        <v>1</v>
      </c>
    </row>
    <row r="3626" spans="10:10" ht="35.450000000000003" hidden="1" customHeight="1">
      <c r="J3626" s="28">
        <f>IFERROR(VLOOKUP(TEXT(B3626,"0"),STOCK!A:H,7,0),1)</f>
        <v>1</v>
      </c>
    </row>
    <row r="3627" spans="10:10" ht="35.450000000000003" hidden="1" customHeight="1">
      <c r="J3627" s="28">
        <f>IFERROR(VLOOKUP(TEXT(B3627,"0"),STOCK!A:H,7,0),1)</f>
        <v>1</v>
      </c>
    </row>
    <row r="3628" spans="10:10" ht="35.450000000000003" hidden="1" customHeight="1">
      <c r="J3628" s="28">
        <f>IFERROR(VLOOKUP(TEXT(B3628,"0"),STOCK!A:H,7,0),1)</f>
        <v>1</v>
      </c>
    </row>
    <row r="3629" spans="10:10" ht="35.450000000000003" hidden="1" customHeight="1">
      <c r="J3629" s="28">
        <f>IFERROR(VLOOKUP(TEXT(B3629,"0"),STOCK!A:H,7,0),1)</f>
        <v>1</v>
      </c>
    </row>
    <row r="3630" spans="10:10" ht="35.450000000000003" hidden="1" customHeight="1">
      <c r="J3630" s="28">
        <f>IFERROR(VLOOKUP(TEXT(B3630,"0"),STOCK!A:H,7,0),1)</f>
        <v>1</v>
      </c>
    </row>
    <row r="3631" spans="10:10" ht="35.450000000000003" hidden="1" customHeight="1">
      <c r="J3631" s="28">
        <f>IFERROR(VLOOKUP(TEXT(B3631,"0"),STOCK!A:H,7,0),1)</f>
        <v>1</v>
      </c>
    </row>
    <row r="3632" spans="10:10" ht="35.450000000000003" hidden="1" customHeight="1">
      <c r="J3632" s="28">
        <f>IFERROR(VLOOKUP(TEXT(B3632,"0"),STOCK!A:H,7,0),1)</f>
        <v>1</v>
      </c>
    </row>
    <row r="3633" spans="10:10" ht="35.450000000000003" hidden="1" customHeight="1">
      <c r="J3633" s="28">
        <f>IFERROR(VLOOKUP(TEXT(B3633,"0"),STOCK!A:H,7,0),1)</f>
        <v>1</v>
      </c>
    </row>
    <row r="3634" spans="10:10" ht="35.450000000000003" hidden="1" customHeight="1">
      <c r="J3634" s="28">
        <f>IFERROR(VLOOKUP(TEXT(B3634,"0"),STOCK!A:H,7,0),1)</f>
        <v>1</v>
      </c>
    </row>
    <row r="3635" spans="10:10" ht="35.450000000000003" hidden="1" customHeight="1">
      <c r="J3635" s="28">
        <f>IFERROR(VLOOKUP(TEXT(B3635,"0"),STOCK!A:H,7,0),1)</f>
        <v>1</v>
      </c>
    </row>
    <row r="3636" spans="10:10" ht="35.450000000000003" hidden="1" customHeight="1">
      <c r="J3636" s="28">
        <f>IFERROR(VLOOKUP(TEXT(B3636,"0"),STOCK!A:H,7,0),1)</f>
        <v>1</v>
      </c>
    </row>
    <row r="3637" spans="10:10" ht="35.450000000000003" hidden="1" customHeight="1">
      <c r="J3637" s="28">
        <f>IFERROR(VLOOKUP(TEXT(B3637,"0"),STOCK!A:H,7,0),1)</f>
        <v>1</v>
      </c>
    </row>
    <row r="3638" spans="10:10" ht="35.450000000000003" hidden="1" customHeight="1">
      <c r="J3638" s="28">
        <f>IFERROR(VLOOKUP(TEXT(B3638,"0"),STOCK!A:H,7,0),1)</f>
        <v>1</v>
      </c>
    </row>
    <row r="3639" spans="10:10" ht="35.450000000000003" hidden="1" customHeight="1">
      <c r="J3639" s="28">
        <f>IFERROR(VLOOKUP(TEXT(B3639,"0"),STOCK!A:H,7,0),1)</f>
        <v>1</v>
      </c>
    </row>
    <row r="3640" spans="10:10" ht="35.450000000000003" hidden="1" customHeight="1">
      <c r="J3640" s="28">
        <f>IFERROR(VLOOKUP(TEXT(B3640,"0"),STOCK!A:H,7,0),1)</f>
        <v>1</v>
      </c>
    </row>
    <row r="3641" spans="10:10" ht="35.450000000000003" hidden="1" customHeight="1">
      <c r="J3641" s="28">
        <f>IFERROR(VLOOKUP(TEXT(B3641,"0"),STOCK!A:H,7,0),1)</f>
        <v>1</v>
      </c>
    </row>
    <row r="3642" spans="10:10" ht="35.450000000000003" hidden="1" customHeight="1">
      <c r="J3642" s="28">
        <f>IFERROR(VLOOKUP(TEXT(B3642,"0"),STOCK!A:H,7,0),1)</f>
        <v>1</v>
      </c>
    </row>
    <row r="3643" spans="10:10" ht="35.450000000000003" hidden="1" customHeight="1">
      <c r="J3643" s="28">
        <f>IFERROR(VLOOKUP(TEXT(B3643,"0"),STOCK!A:H,7,0),1)</f>
        <v>1</v>
      </c>
    </row>
    <row r="3644" spans="10:10" ht="35.450000000000003" hidden="1" customHeight="1">
      <c r="J3644" s="28">
        <f>IFERROR(VLOOKUP(TEXT(B3644,"0"),STOCK!A:H,7,0),1)</f>
        <v>1</v>
      </c>
    </row>
    <row r="3645" spans="10:10" ht="35.450000000000003" hidden="1" customHeight="1">
      <c r="J3645" s="28">
        <f>IFERROR(VLOOKUP(TEXT(B3645,"0"),STOCK!A:H,7,0),1)</f>
        <v>1</v>
      </c>
    </row>
    <row r="3646" spans="10:10" ht="35.450000000000003" hidden="1" customHeight="1">
      <c r="J3646" s="28">
        <f>IFERROR(VLOOKUP(TEXT(B3646,"0"),STOCK!A:H,7,0),1)</f>
        <v>1</v>
      </c>
    </row>
    <row r="3647" spans="10:10" ht="35.450000000000003" hidden="1" customHeight="1">
      <c r="J3647" s="28">
        <f>IFERROR(VLOOKUP(TEXT(B3647,"0"),STOCK!A:H,7,0),1)</f>
        <v>1</v>
      </c>
    </row>
    <row r="3648" spans="10:10" ht="35.450000000000003" hidden="1" customHeight="1">
      <c r="J3648" s="28">
        <f>IFERROR(VLOOKUP(TEXT(B3648,"0"),STOCK!A:H,7,0),1)</f>
        <v>1</v>
      </c>
    </row>
    <row r="3649" spans="10:10" ht="35.450000000000003" hidden="1" customHeight="1">
      <c r="J3649" s="28">
        <f>IFERROR(VLOOKUP(TEXT(B3649,"0"),STOCK!A:H,7,0),1)</f>
        <v>1</v>
      </c>
    </row>
    <row r="3650" spans="10:10" ht="35.450000000000003" hidden="1" customHeight="1">
      <c r="J3650" s="28">
        <f>IFERROR(VLOOKUP(TEXT(B3650,"0"),STOCK!A:H,7,0),1)</f>
        <v>1</v>
      </c>
    </row>
    <row r="3651" spans="10:10" ht="35.450000000000003" hidden="1" customHeight="1">
      <c r="J3651" s="28">
        <f>IFERROR(VLOOKUP(TEXT(B3651,"0"),STOCK!A:H,7,0),1)</f>
        <v>1</v>
      </c>
    </row>
    <row r="3652" spans="10:10" ht="35.450000000000003" hidden="1" customHeight="1">
      <c r="J3652" s="28">
        <f>IFERROR(VLOOKUP(TEXT(B3652,"0"),STOCK!A:H,7,0),1)</f>
        <v>1</v>
      </c>
    </row>
    <row r="3653" spans="10:10" ht="35.450000000000003" hidden="1" customHeight="1">
      <c r="J3653" s="28">
        <f>IFERROR(VLOOKUP(TEXT(B3653,"0"),STOCK!A:H,7,0),1)</f>
        <v>1</v>
      </c>
    </row>
    <row r="3654" spans="10:10" ht="35.450000000000003" hidden="1" customHeight="1">
      <c r="J3654" s="28">
        <f>IFERROR(VLOOKUP(TEXT(B3654,"0"),STOCK!A:H,7,0),1)</f>
        <v>1</v>
      </c>
    </row>
    <row r="3655" spans="10:10" ht="35.450000000000003" hidden="1" customHeight="1">
      <c r="J3655" s="28">
        <f>IFERROR(VLOOKUP(TEXT(B3655,"0"),STOCK!A:H,7,0),1)</f>
        <v>1</v>
      </c>
    </row>
    <row r="3656" spans="10:10" ht="35.450000000000003" hidden="1" customHeight="1">
      <c r="J3656" s="28">
        <f>IFERROR(VLOOKUP(TEXT(B3656,"0"),STOCK!A:H,7,0),1)</f>
        <v>1</v>
      </c>
    </row>
    <row r="3657" spans="10:10" ht="35.450000000000003" hidden="1" customHeight="1">
      <c r="J3657" s="28">
        <f>IFERROR(VLOOKUP(TEXT(B3657,"0"),STOCK!A:H,7,0),1)</f>
        <v>1</v>
      </c>
    </row>
    <row r="3658" spans="10:10" ht="35.450000000000003" hidden="1" customHeight="1">
      <c r="J3658" s="28">
        <f>IFERROR(VLOOKUP(TEXT(B3658,"0"),STOCK!A:H,7,0),1)</f>
        <v>1</v>
      </c>
    </row>
    <row r="3659" spans="10:10" ht="35.450000000000003" hidden="1" customHeight="1">
      <c r="J3659" s="28">
        <f>IFERROR(VLOOKUP(TEXT(B3659,"0"),STOCK!A:H,7,0),1)</f>
        <v>1</v>
      </c>
    </row>
    <row r="3660" spans="10:10" ht="35.450000000000003" hidden="1" customHeight="1">
      <c r="J3660" s="28">
        <f>IFERROR(VLOOKUP(TEXT(B3660,"0"),STOCK!A:H,7,0),1)</f>
        <v>1</v>
      </c>
    </row>
    <row r="3661" spans="10:10" ht="35.450000000000003" hidden="1" customHeight="1">
      <c r="J3661" s="28">
        <f>IFERROR(VLOOKUP(TEXT(B3661,"0"),STOCK!A:H,7,0),1)</f>
        <v>1</v>
      </c>
    </row>
    <row r="3662" spans="10:10" ht="35.450000000000003" hidden="1" customHeight="1">
      <c r="J3662" s="28">
        <f>IFERROR(VLOOKUP(TEXT(B3662,"0"),STOCK!A:H,7,0),1)</f>
        <v>1</v>
      </c>
    </row>
    <row r="3663" spans="10:10" ht="35.450000000000003" hidden="1" customHeight="1">
      <c r="J3663" s="28">
        <f>IFERROR(VLOOKUP(TEXT(B3663,"0"),STOCK!A:H,7,0),1)</f>
        <v>1</v>
      </c>
    </row>
    <row r="3664" spans="10:10" ht="35.450000000000003" hidden="1" customHeight="1">
      <c r="J3664" s="28">
        <f>IFERROR(VLOOKUP(TEXT(B3664,"0"),STOCK!A:H,7,0),1)</f>
        <v>1</v>
      </c>
    </row>
    <row r="3665" spans="10:10" ht="35.450000000000003" hidden="1" customHeight="1">
      <c r="J3665" s="28">
        <f>IFERROR(VLOOKUP(TEXT(B3665,"0"),STOCK!A:H,7,0),1)</f>
        <v>1</v>
      </c>
    </row>
    <row r="3666" spans="10:10" ht="35.450000000000003" hidden="1" customHeight="1">
      <c r="J3666" s="28">
        <f>IFERROR(VLOOKUP(TEXT(B3666,"0"),STOCK!A:H,7,0),1)</f>
        <v>1</v>
      </c>
    </row>
    <row r="3667" spans="10:10" ht="35.450000000000003" hidden="1" customHeight="1">
      <c r="J3667" s="28">
        <f>IFERROR(VLOOKUP(TEXT(B3667,"0"),STOCK!A:H,7,0),1)</f>
        <v>1</v>
      </c>
    </row>
    <row r="3668" spans="10:10" ht="35.450000000000003" hidden="1" customHeight="1">
      <c r="J3668" s="28">
        <f>IFERROR(VLOOKUP(TEXT(B3668,"0"),STOCK!A:H,7,0),1)</f>
        <v>1</v>
      </c>
    </row>
    <row r="3669" spans="10:10" ht="35.450000000000003" hidden="1" customHeight="1">
      <c r="J3669" s="28">
        <f>IFERROR(VLOOKUP(TEXT(B3669,"0"),STOCK!A:H,7,0),1)</f>
        <v>1</v>
      </c>
    </row>
    <row r="3670" spans="10:10" ht="35.450000000000003" hidden="1" customHeight="1">
      <c r="J3670" s="28">
        <f>IFERROR(VLOOKUP(TEXT(B3670,"0"),STOCK!A:H,7,0),1)</f>
        <v>1</v>
      </c>
    </row>
    <row r="3671" spans="10:10" ht="35.450000000000003" hidden="1" customHeight="1">
      <c r="J3671" s="28">
        <f>IFERROR(VLOOKUP(TEXT(B3671,"0"),STOCK!A:H,7,0),1)</f>
        <v>1</v>
      </c>
    </row>
    <row r="3672" spans="10:10" ht="35.450000000000003" hidden="1" customHeight="1">
      <c r="J3672" s="28">
        <f>IFERROR(VLOOKUP(TEXT(B3672,"0"),STOCK!A:H,7,0),1)</f>
        <v>1</v>
      </c>
    </row>
    <row r="3673" spans="10:10" ht="35.450000000000003" hidden="1" customHeight="1">
      <c r="J3673" s="28">
        <f>IFERROR(VLOOKUP(TEXT(B3673,"0"),STOCK!A:H,7,0),1)</f>
        <v>1</v>
      </c>
    </row>
    <row r="3674" spans="10:10" ht="35.450000000000003" hidden="1" customHeight="1">
      <c r="J3674" s="28">
        <f>IFERROR(VLOOKUP(TEXT(B3674,"0"),STOCK!A:H,7,0),1)</f>
        <v>1</v>
      </c>
    </row>
    <row r="3675" spans="10:10" ht="35.450000000000003" hidden="1" customHeight="1">
      <c r="J3675" s="28">
        <f>IFERROR(VLOOKUP(TEXT(B3675,"0"),STOCK!A:H,7,0),1)</f>
        <v>1</v>
      </c>
    </row>
    <row r="3676" spans="10:10" ht="35.450000000000003" hidden="1" customHeight="1">
      <c r="J3676" s="28">
        <f>IFERROR(VLOOKUP(TEXT(B3676,"0"),STOCK!A:H,7,0),1)</f>
        <v>1</v>
      </c>
    </row>
    <row r="3677" spans="10:10" ht="35.450000000000003" hidden="1" customHeight="1">
      <c r="J3677" s="28">
        <f>IFERROR(VLOOKUP(TEXT(B3677,"0"),STOCK!A:H,7,0),1)</f>
        <v>1</v>
      </c>
    </row>
    <row r="3678" spans="10:10" ht="35.450000000000003" hidden="1" customHeight="1">
      <c r="J3678" s="28">
        <f>IFERROR(VLOOKUP(TEXT(B3678,"0"),STOCK!A:H,7,0),1)</f>
        <v>1</v>
      </c>
    </row>
    <row r="3679" spans="10:10" ht="35.450000000000003" hidden="1" customHeight="1">
      <c r="J3679" s="28">
        <f>IFERROR(VLOOKUP(TEXT(B3679,"0"),STOCK!A:H,7,0),1)</f>
        <v>1</v>
      </c>
    </row>
    <row r="3680" spans="10:10" ht="35.450000000000003" hidden="1" customHeight="1">
      <c r="J3680" s="28">
        <f>IFERROR(VLOOKUP(TEXT(B3680,"0"),STOCK!A:H,7,0),1)</f>
        <v>1</v>
      </c>
    </row>
    <row r="3681" spans="10:10" ht="35.450000000000003" hidden="1" customHeight="1">
      <c r="J3681" s="28">
        <f>IFERROR(VLOOKUP(TEXT(B3681,"0"),STOCK!A:H,7,0),1)</f>
        <v>1</v>
      </c>
    </row>
    <row r="3682" spans="10:10" ht="35.450000000000003" hidden="1" customHeight="1">
      <c r="J3682" s="28">
        <f>IFERROR(VLOOKUP(TEXT(B3682,"0"),STOCK!A:H,7,0),1)</f>
        <v>1</v>
      </c>
    </row>
    <row r="3683" spans="10:10" ht="35.450000000000003" hidden="1" customHeight="1">
      <c r="J3683" s="28">
        <f>IFERROR(VLOOKUP(TEXT(B3683,"0"),STOCK!A:H,7,0),1)</f>
        <v>1</v>
      </c>
    </row>
    <row r="3684" spans="10:10" ht="35.450000000000003" hidden="1" customHeight="1">
      <c r="J3684" s="28">
        <f>IFERROR(VLOOKUP(TEXT(B3684,"0"),STOCK!A:H,7,0),1)</f>
        <v>1</v>
      </c>
    </row>
    <row r="3685" spans="10:10" ht="35.450000000000003" hidden="1" customHeight="1">
      <c r="J3685" s="28">
        <f>IFERROR(VLOOKUP(TEXT(B3685,"0"),STOCK!A:H,7,0),1)</f>
        <v>1</v>
      </c>
    </row>
    <row r="3686" spans="10:10" ht="35.450000000000003" hidden="1" customHeight="1">
      <c r="J3686" s="28">
        <f>IFERROR(VLOOKUP(TEXT(B3686,"0"),STOCK!A:H,7,0),1)</f>
        <v>1</v>
      </c>
    </row>
    <row r="3687" spans="10:10" ht="35.450000000000003" hidden="1" customHeight="1">
      <c r="J3687" s="28">
        <f>IFERROR(VLOOKUP(TEXT(B3687,"0"),STOCK!A:H,7,0),1)</f>
        <v>1</v>
      </c>
    </row>
    <row r="3688" spans="10:10" ht="35.450000000000003" hidden="1" customHeight="1">
      <c r="J3688" s="28">
        <f>IFERROR(VLOOKUP(TEXT(B3688,"0"),STOCK!A:H,7,0),1)</f>
        <v>1</v>
      </c>
    </row>
    <row r="3689" spans="10:10" ht="35.450000000000003" hidden="1" customHeight="1">
      <c r="J3689" s="28">
        <f>IFERROR(VLOOKUP(TEXT(B3689,"0"),STOCK!A:H,7,0),1)</f>
        <v>1</v>
      </c>
    </row>
    <row r="3690" spans="10:10" ht="35.450000000000003" hidden="1" customHeight="1">
      <c r="J3690" s="28">
        <f>IFERROR(VLOOKUP(TEXT(B3690,"0"),STOCK!A:H,7,0),1)</f>
        <v>1</v>
      </c>
    </row>
    <row r="3691" spans="10:10" ht="35.450000000000003" hidden="1" customHeight="1">
      <c r="J3691" s="28">
        <f>IFERROR(VLOOKUP(TEXT(B3691,"0"),STOCK!A:H,7,0),1)</f>
        <v>1</v>
      </c>
    </row>
    <row r="3692" spans="10:10" ht="35.450000000000003" hidden="1" customHeight="1">
      <c r="J3692" s="28">
        <f>IFERROR(VLOOKUP(TEXT(B3692,"0"),STOCK!A:H,7,0),1)</f>
        <v>1</v>
      </c>
    </row>
    <row r="3693" spans="10:10" ht="35.450000000000003" hidden="1" customHeight="1">
      <c r="J3693" s="28">
        <f>IFERROR(VLOOKUP(TEXT(B3693,"0"),STOCK!A:H,7,0),1)</f>
        <v>1</v>
      </c>
    </row>
    <row r="3694" spans="10:10" ht="35.450000000000003" hidden="1" customHeight="1">
      <c r="J3694" s="28">
        <f>IFERROR(VLOOKUP(TEXT(B3694,"0"),STOCK!A:H,7,0),1)</f>
        <v>1</v>
      </c>
    </row>
    <row r="3695" spans="10:10" ht="35.450000000000003" hidden="1" customHeight="1">
      <c r="J3695" s="28">
        <f>IFERROR(VLOOKUP(TEXT(B3695,"0"),STOCK!A:H,7,0),1)</f>
        <v>1</v>
      </c>
    </row>
    <row r="3696" spans="10:10" ht="35.450000000000003" hidden="1" customHeight="1">
      <c r="J3696" s="28">
        <f>IFERROR(VLOOKUP(TEXT(B3696,"0"),STOCK!A:H,7,0),1)</f>
        <v>1</v>
      </c>
    </row>
    <row r="3697" spans="10:10" ht="35.450000000000003" hidden="1" customHeight="1">
      <c r="J3697" s="28">
        <f>IFERROR(VLOOKUP(TEXT(B3697,"0"),STOCK!A:H,7,0),1)</f>
        <v>1</v>
      </c>
    </row>
    <row r="3698" spans="10:10" ht="35.450000000000003" hidden="1" customHeight="1">
      <c r="J3698" s="28">
        <f>IFERROR(VLOOKUP(TEXT(B3698,"0"),STOCK!A:H,7,0),1)</f>
        <v>1</v>
      </c>
    </row>
    <row r="3699" spans="10:10" ht="35.450000000000003" hidden="1" customHeight="1">
      <c r="J3699" s="28">
        <f>IFERROR(VLOOKUP(TEXT(B3699,"0"),STOCK!A:H,7,0),1)</f>
        <v>1</v>
      </c>
    </row>
    <row r="3700" spans="10:10" ht="35.450000000000003" hidden="1" customHeight="1">
      <c r="J3700" s="28">
        <f>IFERROR(VLOOKUP(TEXT(B3700,"0"),STOCK!A:H,7,0),1)</f>
        <v>1</v>
      </c>
    </row>
    <row r="3701" spans="10:10" ht="35.450000000000003" hidden="1" customHeight="1">
      <c r="J3701" s="28">
        <f>IFERROR(VLOOKUP(TEXT(B3701,"0"),STOCK!A:H,7,0),1)</f>
        <v>1</v>
      </c>
    </row>
    <row r="3702" spans="10:10" ht="35.450000000000003" hidden="1" customHeight="1">
      <c r="J3702" s="28">
        <f>IFERROR(VLOOKUP(TEXT(B3702,"0"),STOCK!A:H,7,0),1)</f>
        <v>1</v>
      </c>
    </row>
    <row r="3703" spans="10:10" ht="35.450000000000003" hidden="1" customHeight="1">
      <c r="J3703" s="28">
        <f>IFERROR(VLOOKUP(TEXT(B3703,"0"),STOCK!A:H,7,0),1)</f>
        <v>1</v>
      </c>
    </row>
    <row r="3704" spans="10:10" ht="35.450000000000003" hidden="1" customHeight="1">
      <c r="J3704" s="28">
        <f>IFERROR(VLOOKUP(TEXT(B3704,"0"),STOCK!A:H,7,0),1)</f>
        <v>1</v>
      </c>
    </row>
    <row r="3705" spans="10:10" ht="35.450000000000003" hidden="1" customHeight="1">
      <c r="J3705" s="28">
        <f>IFERROR(VLOOKUP(TEXT(B3705,"0"),STOCK!A:H,7,0),1)</f>
        <v>1</v>
      </c>
    </row>
    <row r="3706" spans="10:10" ht="35.450000000000003" hidden="1" customHeight="1">
      <c r="J3706" s="28">
        <f>IFERROR(VLOOKUP(TEXT(B3706,"0"),STOCK!A:H,7,0),1)</f>
        <v>1</v>
      </c>
    </row>
    <row r="3707" spans="10:10" ht="35.450000000000003" hidden="1" customHeight="1">
      <c r="J3707" s="28">
        <f>IFERROR(VLOOKUP(TEXT(B3707,"0"),STOCK!A:H,7,0),1)</f>
        <v>1</v>
      </c>
    </row>
    <row r="3708" spans="10:10" ht="35.450000000000003" hidden="1" customHeight="1">
      <c r="J3708" s="28">
        <f>IFERROR(VLOOKUP(TEXT(B3708,"0"),STOCK!A:H,7,0),1)</f>
        <v>1</v>
      </c>
    </row>
    <row r="3709" spans="10:10" ht="35.450000000000003" hidden="1" customHeight="1">
      <c r="J3709" s="28">
        <f>IFERROR(VLOOKUP(TEXT(B3709,"0"),STOCK!A:H,7,0),1)</f>
        <v>1</v>
      </c>
    </row>
    <row r="3710" spans="10:10" ht="35.450000000000003" hidden="1" customHeight="1">
      <c r="J3710" s="28">
        <f>IFERROR(VLOOKUP(TEXT(B3710,"0"),STOCK!A:H,7,0),1)</f>
        <v>1</v>
      </c>
    </row>
    <row r="3711" spans="10:10" ht="35.450000000000003" hidden="1" customHeight="1">
      <c r="J3711" s="28">
        <f>IFERROR(VLOOKUP(TEXT(B3711,"0"),STOCK!A:H,7,0),1)</f>
        <v>1</v>
      </c>
    </row>
    <row r="3712" spans="10:10" ht="35.450000000000003" hidden="1" customHeight="1">
      <c r="J3712" s="28">
        <f>IFERROR(VLOOKUP(TEXT(B3712,"0"),STOCK!A:H,7,0),1)</f>
        <v>1</v>
      </c>
    </row>
    <row r="3713" spans="10:10" ht="35.450000000000003" hidden="1" customHeight="1">
      <c r="J3713" s="28">
        <f>IFERROR(VLOOKUP(TEXT(B3713,"0"),STOCK!A:H,7,0),1)</f>
        <v>1</v>
      </c>
    </row>
    <row r="3714" spans="10:10" ht="35.450000000000003" hidden="1" customHeight="1">
      <c r="J3714" s="28">
        <f>IFERROR(VLOOKUP(TEXT(B3714,"0"),STOCK!A:H,7,0),1)</f>
        <v>1</v>
      </c>
    </row>
    <row r="3715" spans="10:10" ht="35.450000000000003" hidden="1" customHeight="1">
      <c r="J3715" s="28">
        <f>IFERROR(VLOOKUP(TEXT(B3715,"0"),STOCK!A:H,7,0),1)</f>
        <v>1</v>
      </c>
    </row>
    <row r="3716" spans="10:10" ht="35.450000000000003" hidden="1" customHeight="1">
      <c r="J3716" s="28">
        <f>IFERROR(VLOOKUP(TEXT(B3716,"0"),STOCK!A:H,7,0),1)</f>
        <v>1</v>
      </c>
    </row>
    <row r="3717" spans="10:10" ht="35.450000000000003" hidden="1" customHeight="1">
      <c r="J3717" s="28">
        <f>IFERROR(VLOOKUP(TEXT(B3717,"0"),STOCK!A:H,7,0),1)</f>
        <v>1</v>
      </c>
    </row>
    <row r="3718" spans="10:10" ht="35.450000000000003" hidden="1" customHeight="1">
      <c r="J3718" s="28">
        <f>IFERROR(VLOOKUP(TEXT(B3718,"0"),STOCK!A:H,7,0),1)</f>
        <v>1</v>
      </c>
    </row>
    <row r="3719" spans="10:10" ht="35.450000000000003" hidden="1" customHeight="1">
      <c r="J3719" s="28">
        <f>IFERROR(VLOOKUP(TEXT(B3719,"0"),STOCK!A:H,7,0),1)</f>
        <v>1</v>
      </c>
    </row>
    <row r="3720" spans="10:10" ht="35.450000000000003" hidden="1" customHeight="1">
      <c r="J3720" s="28">
        <f>IFERROR(VLOOKUP(TEXT(B3720,"0"),STOCK!A:H,7,0),1)</f>
        <v>1</v>
      </c>
    </row>
    <row r="3721" spans="10:10" ht="35.450000000000003" hidden="1" customHeight="1">
      <c r="J3721" s="28">
        <f>IFERROR(VLOOKUP(TEXT(B3721,"0"),STOCK!A:H,7,0),1)</f>
        <v>1</v>
      </c>
    </row>
    <row r="3722" spans="10:10" ht="35.450000000000003" hidden="1" customHeight="1">
      <c r="J3722" s="28">
        <f>IFERROR(VLOOKUP(TEXT(B3722,"0"),STOCK!A:H,7,0),1)</f>
        <v>1</v>
      </c>
    </row>
    <row r="3723" spans="10:10" ht="35.450000000000003" hidden="1" customHeight="1">
      <c r="J3723" s="28">
        <f>IFERROR(VLOOKUP(TEXT(B3723,"0"),STOCK!A:H,7,0),1)</f>
        <v>1</v>
      </c>
    </row>
    <row r="3724" spans="10:10" ht="35.450000000000003" hidden="1" customHeight="1">
      <c r="J3724" s="28">
        <f>IFERROR(VLOOKUP(TEXT(B3724,"0"),STOCK!A:H,7,0),1)</f>
        <v>1</v>
      </c>
    </row>
    <row r="3725" spans="10:10" ht="35.450000000000003" hidden="1" customHeight="1">
      <c r="J3725" s="28">
        <f>IFERROR(VLOOKUP(TEXT(B3725,"0"),STOCK!A:H,7,0),1)</f>
        <v>1</v>
      </c>
    </row>
    <row r="3726" spans="10:10" ht="35.450000000000003" hidden="1" customHeight="1">
      <c r="J3726" s="28">
        <f>IFERROR(VLOOKUP(TEXT(B3726,"0"),STOCK!A:H,7,0),1)</f>
        <v>1</v>
      </c>
    </row>
    <row r="3727" spans="10:10" ht="35.450000000000003" hidden="1" customHeight="1">
      <c r="J3727" s="28">
        <f>IFERROR(VLOOKUP(TEXT(B3727,"0"),STOCK!A:H,7,0),1)</f>
        <v>1</v>
      </c>
    </row>
    <row r="3728" spans="10:10" ht="35.450000000000003" hidden="1" customHeight="1">
      <c r="J3728" s="28">
        <f>IFERROR(VLOOKUP(TEXT(B3728,"0"),STOCK!A:H,7,0),1)</f>
        <v>1</v>
      </c>
    </row>
    <row r="3729" spans="10:10" ht="35.450000000000003" hidden="1" customHeight="1">
      <c r="J3729" s="28">
        <f>IFERROR(VLOOKUP(TEXT(B3729,"0"),STOCK!A:H,7,0),1)</f>
        <v>1</v>
      </c>
    </row>
    <row r="3730" spans="10:10" ht="35.450000000000003" hidden="1" customHeight="1">
      <c r="J3730" s="28">
        <f>IFERROR(VLOOKUP(TEXT(B3730,"0"),STOCK!A:H,7,0),1)</f>
        <v>1</v>
      </c>
    </row>
    <row r="3731" spans="10:10" ht="35.450000000000003" hidden="1" customHeight="1">
      <c r="J3731" s="28">
        <f>IFERROR(VLOOKUP(TEXT(B3731,"0"),STOCK!A:H,7,0),1)</f>
        <v>1</v>
      </c>
    </row>
    <row r="3732" spans="10:10" ht="35.450000000000003" hidden="1" customHeight="1">
      <c r="J3732" s="28">
        <f>IFERROR(VLOOKUP(TEXT(B3732,"0"),STOCK!A:H,7,0),1)</f>
        <v>1</v>
      </c>
    </row>
    <row r="3733" spans="10:10" ht="35.450000000000003" hidden="1" customHeight="1">
      <c r="J3733" s="28">
        <f>IFERROR(VLOOKUP(TEXT(B3733,"0"),STOCK!A:H,7,0),1)</f>
        <v>1</v>
      </c>
    </row>
    <row r="3734" spans="10:10" ht="35.450000000000003" hidden="1" customHeight="1">
      <c r="J3734" s="28">
        <f>IFERROR(VLOOKUP(TEXT(B3734,"0"),STOCK!A:H,7,0),1)</f>
        <v>1</v>
      </c>
    </row>
    <row r="3735" spans="10:10" ht="35.450000000000003" hidden="1" customHeight="1">
      <c r="J3735" s="28">
        <f>IFERROR(VLOOKUP(TEXT(B3735,"0"),STOCK!A:H,7,0),1)</f>
        <v>1</v>
      </c>
    </row>
    <row r="3736" spans="10:10" ht="35.450000000000003" hidden="1" customHeight="1">
      <c r="J3736" s="28">
        <f>IFERROR(VLOOKUP(TEXT(B3736,"0"),STOCK!A:H,7,0),1)</f>
        <v>1</v>
      </c>
    </row>
    <row r="3737" spans="10:10" ht="35.450000000000003" hidden="1" customHeight="1">
      <c r="J3737" s="28">
        <f>IFERROR(VLOOKUP(TEXT(B3737,"0"),STOCK!A:H,7,0),1)</f>
        <v>1</v>
      </c>
    </row>
    <row r="3738" spans="10:10" ht="35.450000000000003" hidden="1" customHeight="1">
      <c r="J3738" s="28">
        <f>IFERROR(VLOOKUP(TEXT(B3738,"0"),STOCK!A:H,7,0),1)</f>
        <v>1</v>
      </c>
    </row>
    <row r="3739" spans="10:10" ht="35.450000000000003" hidden="1" customHeight="1">
      <c r="J3739" s="28">
        <f>IFERROR(VLOOKUP(TEXT(B3739,"0"),STOCK!A:H,7,0),1)</f>
        <v>1</v>
      </c>
    </row>
    <row r="3740" spans="10:10" ht="35.450000000000003" hidden="1" customHeight="1">
      <c r="J3740" s="28">
        <f>IFERROR(VLOOKUP(TEXT(B3740,"0"),STOCK!A:H,7,0),1)</f>
        <v>1</v>
      </c>
    </row>
    <row r="3741" spans="10:10" ht="35.450000000000003" hidden="1" customHeight="1">
      <c r="J3741" s="28">
        <f>IFERROR(VLOOKUP(TEXT(B3741,"0"),STOCK!A:H,7,0),1)</f>
        <v>1</v>
      </c>
    </row>
    <row r="3742" spans="10:10" ht="35.450000000000003" hidden="1" customHeight="1">
      <c r="J3742" s="28">
        <f>IFERROR(VLOOKUP(TEXT(B3742,"0"),STOCK!A:H,7,0),1)</f>
        <v>1</v>
      </c>
    </row>
    <row r="3743" spans="10:10" ht="35.450000000000003" hidden="1" customHeight="1">
      <c r="J3743" s="28">
        <f>IFERROR(VLOOKUP(TEXT(B3743,"0"),STOCK!A:H,7,0),1)</f>
        <v>1</v>
      </c>
    </row>
    <row r="3744" spans="10:10" ht="35.450000000000003" hidden="1" customHeight="1">
      <c r="J3744" s="28">
        <f>IFERROR(VLOOKUP(TEXT(B3744,"0"),STOCK!A:H,7,0),1)</f>
        <v>1</v>
      </c>
    </row>
    <row r="3745" spans="10:10" ht="35.450000000000003" hidden="1" customHeight="1">
      <c r="J3745" s="28">
        <f>IFERROR(VLOOKUP(TEXT(B3745,"0"),STOCK!A:H,7,0),1)</f>
        <v>1</v>
      </c>
    </row>
    <row r="3746" spans="10:10" ht="35.450000000000003" hidden="1" customHeight="1">
      <c r="J3746" s="28">
        <f>IFERROR(VLOOKUP(TEXT(B3746,"0"),STOCK!A:H,7,0),1)</f>
        <v>1</v>
      </c>
    </row>
    <row r="3747" spans="10:10" ht="35.450000000000003" hidden="1" customHeight="1">
      <c r="J3747" s="28">
        <f>IFERROR(VLOOKUP(TEXT(B3747,"0"),STOCK!A:H,7,0),1)</f>
        <v>1</v>
      </c>
    </row>
    <row r="3748" spans="10:10" ht="35.450000000000003" hidden="1" customHeight="1">
      <c r="J3748" s="28">
        <f>IFERROR(VLOOKUP(TEXT(B3748,"0"),STOCK!A:H,7,0),1)</f>
        <v>1</v>
      </c>
    </row>
    <row r="3749" spans="10:10" ht="35.450000000000003" hidden="1" customHeight="1">
      <c r="J3749" s="28">
        <f>IFERROR(VLOOKUP(TEXT(B3749,"0"),STOCK!A:H,7,0),1)</f>
        <v>1</v>
      </c>
    </row>
    <row r="3750" spans="10:10" ht="35.450000000000003" hidden="1" customHeight="1">
      <c r="J3750" s="28">
        <f>IFERROR(VLOOKUP(TEXT(B3750,"0"),STOCK!A:H,7,0),1)</f>
        <v>1</v>
      </c>
    </row>
    <row r="3751" spans="10:10" ht="35.450000000000003" hidden="1" customHeight="1">
      <c r="J3751" s="28">
        <f>IFERROR(VLOOKUP(TEXT(B3751,"0"),STOCK!A:H,7,0),1)</f>
        <v>1</v>
      </c>
    </row>
    <row r="3752" spans="10:10" ht="35.450000000000003" hidden="1" customHeight="1">
      <c r="J3752" s="28">
        <f>IFERROR(VLOOKUP(TEXT(B3752,"0"),STOCK!A:H,7,0),1)</f>
        <v>1</v>
      </c>
    </row>
    <row r="3753" spans="10:10" ht="35.450000000000003" hidden="1" customHeight="1">
      <c r="J3753" s="28">
        <f>IFERROR(VLOOKUP(TEXT(B3753,"0"),STOCK!A:H,7,0),1)</f>
        <v>1</v>
      </c>
    </row>
    <row r="3754" spans="10:10" ht="35.450000000000003" hidden="1" customHeight="1">
      <c r="J3754" s="28">
        <f>IFERROR(VLOOKUP(TEXT(B3754,"0"),STOCK!A:H,7,0),1)</f>
        <v>1</v>
      </c>
    </row>
    <row r="3755" spans="10:10" ht="35.450000000000003" hidden="1" customHeight="1">
      <c r="J3755" s="28">
        <f>IFERROR(VLOOKUP(TEXT(B3755,"0"),STOCK!A:H,7,0),1)</f>
        <v>1</v>
      </c>
    </row>
    <row r="3756" spans="10:10" ht="35.450000000000003" hidden="1" customHeight="1">
      <c r="J3756" s="28">
        <f>IFERROR(VLOOKUP(TEXT(B3756,"0"),STOCK!A:H,7,0),1)</f>
        <v>1</v>
      </c>
    </row>
    <row r="3757" spans="10:10" ht="35.450000000000003" hidden="1" customHeight="1">
      <c r="J3757" s="28">
        <f>IFERROR(VLOOKUP(TEXT(B3757,"0"),STOCK!A:H,7,0),1)</f>
        <v>1</v>
      </c>
    </row>
    <row r="3758" spans="10:10" ht="35.450000000000003" hidden="1" customHeight="1">
      <c r="J3758" s="28">
        <f>IFERROR(VLOOKUP(TEXT(B3758,"0"),STOCK!A:H,7,0),1)</f>
        <v>1</v>
      </c>
    </row>
    <row r="3759" spans="10:10" ht="35.450000000000003" hidden="1" customHeight="1">
      <c r="J3759" s="28">
        <f>IFERROR(VLOOKUP(TEXT(B3759,"0"),STOCK!A:H,7,0),1)</f>
        <v>1</v>
      </c>
    </row>
    <row r="3760" spans="10:10" ht="35.450000000000003" hidden="1" customHeight="1">
      <c r="J3760" s="28">
        <f>IFERROR(VLOOKUP(TEXT(B3760,"0"),STOCK!A:H,7,0),1)</f>
        <v>1</v>
      </c>
    </row>
    <row r="3761" spans="10:10" ht="35.450000000000003" hidden="1" customHeight="1">
      <c r="J3761" s="28">
        <f>IFERROR(VLOOKUP(TEXT(B3761,"0"),STOCK!A:H,7,0),1)</f>
        <v>1</v>
      </c>
    </row>
    <row r="3762" spans="10:10" ht="35.450000000000003" hidden="1" customHeight="1">
      <c r="J3762" s="28">
        <f>IFERROR(VLOOKUP(TEXT(B3762,"0"),STOCK!A:H,7,0),1)</f>
        <v>1</v>
      </c>
    </row>
    <row r="3763" spans="10:10" ht="35.450000000000003" hidden="1" customHeight="1">
      <c r="J3763" s="28">
        <f>IFERROR(VLOOKUP(TEXT(B3763,"0"),STOCK!A:H,7,0),1)</f>
        <v>1</v>
      </c>
    </row>
    <row r="3764" spans="10:10" ht="35.450000000000003" hidden="1" customHeight="1">
      <c r="J3764" s="28">
        <f>IFERROR(VLOOKUP(TEXT(B3764,"0"),STOCK!A:H,7,0),1)</f>
        <v>1</v>
      </c>
    </row>
    <row r="3765" spans="10:10" ht="35.450000000000003" hidden="1" customHeight="1">
      <c r="J3765" s="28">
        <f>IFERROR(VLOOKUP(TEXT(B3765,"0"),STOCK!A:H,7,0),1)</f>
        <v>1</v>
      </c>
    </row>
    <row r="3766" spans="10:10" ht="35.450000000000003" hidden="1" customHeight="1">
      <c r="J3766" s="28">
        <f>IFERROR(VLOOKUP(TEXT(B3766,"0"),STOCK!A:H,7,0),1)</f>
        <v>1</v>
      </c>
    </row>
    <row r="3767" spans="10:10" ht="35.450000000000003" hidden="1" customHeight="1">
      <c r="J3767" s="28">
        <f>IFERROR(VLOOKUP(TEXT(B3767,"0"),STOCK!A:H,7,0),1)</f>
        <v>1</v>
      </c>
    </row>
    <row r="3768" spans="10:10" ht="35.450000000000003" hidden="1" customHeight="1">
      <c r="J3768" s="28">
        <f>IFERROR(VLOOKUP(TEXT(B3768,"0"),STOCK!A:H,7,0),1)</f>
        <v>1</v>
      </c>
    </row>
    <row r="3769" spans="10:10" ht="35.450000000000003" hidden="1" customHeight="1">
      <c r="J3769" s="28">
        <f>IFERROR(VLOOKUP(TEXT(B3769,"0"),STOCK!A:H,7,0),1)</f>
        <v>1</v>
      </c>
    </row>
    <row r="3770" spans="10:10" ht="35.450000000000003" hidden="1" customHeight="1">
      <c r="J3770" s="28">
        <f>IFERROR(VLOOKUP(TEXT(B3770,"0"),STOCK!A:H,7,0),1)</f>
        <v>1</v>
      </c>
    </row>
    <row r="3771" spans="10:10" ht="35.450000000000003" hidden="1" customHeight="1">
      <c r="J3771" s="28">
        <f>IFERROR(VLOOKUP(TEXT(B3771,"0"),STOCK!A:H,7,0),1)</f>
        <v>1</v>
      </c>
    </row>
    <row r="3772" spans="10:10" ht="35.450000000000003" hidden="1" customHeight="1">
      <c r="J3772" s="28">
        <f>IFERROR(VLOOKUP(TEXT(B3772,"0"),STOCK!A:H,7,0),1)</f>
        <v>1</v>
      </c>
    </row>
    <row r="3773" spans="10:10" ht="35.450000000000003" hidden="1" customHeight="1">
      <c r="J3773" s="28">
        <f>IFERROR(VLOOKUP(TEXT(B3773,"0"),STOCK!A:H,7,0),1)</f>
        <v>1</v>
      </c>
    </row>
    <row r="3774" spans="10:10" ht="35.450000000000003" hidden="1" customHeight="1">
      <c r="J3774" s="28">
        <f>IFERROR(VLOOKUP(TEXT(B3774,"0"),STOCK!A:H,7,0),1)</f>
        <v>1</v>
      </c>
    </row>
    <row r="3775" spans="10:10" ht="35.450000000000003" hidden="1" customHeight="1">
      <c r="J3775" s="28">
        <f>IFERROR(VLOOKUP(TEXT(B3775,"0"),STOCK!A:H,7,0),1)</f>
        <v>1</v>
      </c>
    </row>
    <row r="3776" spans="10:10" ht="35.450000000000003" hidden="1" customHeight="1">
      <c r="J3776" s="28">
        <f>IFERROR(VLOOKUP(TEXT(B3776,"0"),STOCK!A:H,7,0),1)</f>
        <v>1</v>
      </c>
    </row>
    <row r="3777" spans="10:10" ht="35.450000000000003" hidden="1" customHeight="1">
      <c r="J3777" s="28">
        <f>IFERROR(VLOOKUP(TEXT(B3777,"0"),STOCK!A:H,7,0),1)</f>
        <v>1</v>
      </c>
    </row>
    <row r="3778" spans="10:10" ht="35.450000000000003" hidden="1" customHeight="1">
      <c r="J3778" s="28">
        <f>IFERROR(VLOOKUP(TEXT(B3778,"0"),STOCK!A:H,7,0),1)</f>
        <v>1</v>
      </c>
    </row>
    <row r="3779" spans="10:10" ht="35.450000000000003" hidden="1" customHeight="1">
      <c r="J3779" s="28">
        <f>IFERROR(VLOOKUP(TEXT(B3779,"0"),STOCK!A:H,7,0),1)</f>
        <v>1</v>
      </c>
    </row>
    <row r="3780" spans="10:10" ht="35.450000000000003" hidden="1" customHeight="1">
      <c r="J3780" s="28">
        <f>IFERROR(VLOOKUP(TEXT(B3780,"0"),STOCK!A:H,7,0),1)</f>
        <v>1</v>
      </c>
    </row>
    <row r="3781" spans="10:10" ht="35.450000000000003" hidden="1" customHeight="1">
      <c r="J3781" s="28">
        <f>IFERROR(VLOOKUP(TEXT(B3781,"0"),STOCK!A:H,7,0),1)</f>
        <v>1</v>
      </c>
    </row>
    <row r="3782" spans="10:10" ht="35.450000000000003" hidden="1" customHeight="1">
      <c r="J3782" s="28">
        <f>IFERROR(VLOOKUP(TEXT(B3782,"0"),STOCK!A:H,7,0),1)</f>
        <v>1</v>
      </c>
    </row>
    <row r="3783" spans="10:10" ht="35.450000000000003" hidden="1" customHeight="1">
      <c r="J3783" s="28">
        <f>IFERROR(VLOOKUP(TEXT(B3783,"0"),STOCK!A:H,7,0),1)</f>
        <v>1</v>
      </c>
    </row>
    <row r="3784" spans="10:10" ht="35.450000000000003" hidden="1" customHeight="1">
      <c r="J3784" s="28">
        <f>IFERROR(VLOOKUP(TEXT(B3784,"0"),STOCK!A:H,7,0),1)</f>
        <v>1</v>
      </c>
    </row>
    <row r="3785" spans="10:10" ht="35.450000000000003" hidden="1" customHeight="1">
      <c r="J3785" s="28">
        <f>IFERROR(VLOOKUP(TEXT(B3785,"0"),STOCK!A:H,7,0),1)</f>
        <v>1</v>
      </c>
    </row>
    <row r="3786" spans="10:10" ht="35.450000000000003" hidden="1" customHeight="1">
      <c r="J3786" s="28">
        <f>IFERROR(VLOOKUP(TEXT(B3786,"0"),STOCK!A:H,7,0),1)</f>
        <v>1</v>
      </c>
    </row>
    <row r="3787" spans="10:10" ht="35.450000000000003" hidden="1" customHeight="1">
      <c r="J3787" s="28">
        <f>IFERROR(VLOOKUP(TEXT(B3787,"0"),STOCK!A:H,7,0),1)</f>
        <v>1</v>
      </c>
    </row>
    <row r="3788" spans="10:10" ht="35.450000000000003" hidden="1" customHeight="1">
      <c r="J3788" s="28">
        <f>IFERROR(VLOOKUP(TEXT(B3788,"0"),STOCK!A:H,7,0),1)</f>
        <v>1</v>
      </c>
    </row>
    <row r="3789" spans="10:10" ht="35.450000000000003" hidden="1" customHeight="1">
      <c r="J3789" s="28">
        <f>IFERROR(VLOOKUP(TEXT(B3789,"0"),STOCK!A:H,7,0),1)</f>
        <v>1</v>
      </c>
    </row>
    <row r="3790" spans="10:10" ht="35.450000000000003" hidden="1" customHeight="1">
      <c r="J3790" s="28">
        <f>IFERROR(VLOOKUP(TEXT(B3790,"0"),STOCK!A:H,7,0),1)</f>
        <v>1</v>
      </c>
    </row>
    <row r="3791" spans="10:10" ht="35.450000000000003" hidden="1" customHeight="1">
      <c r="J3791" s="28">
        <f>IFERROR(VLOOKUP(TEXT(B3791,"0"),STOCK!A:H,7,0),1)</f>
        <v>1</v>
      </c>
    </row>
    <row r="3792" spans="10:10" ht="35.450000000000003" hidden="1" customHeight="1">
      <c r="J3792" s="28">
        <f>IFERROR(VLOOKUP(TEXT(B3792,"0"),STOCK!A:H,7,0),1)</f>
        <v>1</v>
      </c>
    </row>
    <row r="3793" spans="10:10" ht="35.450000000000003" hidden="1" customHeight="1">
      <c r="J3793" s="28">
        <f>IFERROR(VLOOKUP(TEXT(B3793,"0"),STOCK!A:H,7,0),1)</f>
        <v>1</v>
      </c>
    </row>
    <row r="3794" spans="10:10" ht="35.450000000000003" hidden="1" customHeight="1">
      <c r="J3794" s="28">
        <f>IFERROR(VLOOKUP(TEXT(B3794,"0"),STOCK!A:H,7,0),1)</f>
        <v>1</v>
      </c>
    </row>
    <row r="3795" spans="10:10" ht="35.450000000000003" hidden="1" customHeight="1">
      <c r="J3795" s="28">
        <f>IFERROR(VLOOKUP(TEXT(B3795,"0"),STOCK!A:H,7,0),1)</f>
        <v>1</v>
      </c>
    </row>
    <row r="3796" spans="10:10" ht="35.450000000000003" hidden="1" customHeight="1">
      <c r="J3796" s="28">
        <f>IFERROR(VLOOKUP(TEXT(B3796,"0"),STOCK!A:H,7,0),1)</f>
        <v>1</v>
      </c>
    </row>
    <row r="3797" spans="10:10" ht="35.450000000000003" hidden="1" customHeight="1">
      <c r="J3797" s="28">
        <f>IFERROR(VLOOKUP(TEXT(B3797,"0"),STOCK!A:H,7,0),1)</f>
        <v>1</v>
      </c>
    </row>
    <row r="3798" spans="10:10" ht="35.450000000000003" hidden="1" customHeight="1">
      <c r="J3798" s="28">
        <f>IFERROR(VLOOKUP(TEXT(B3798,"0"),STOCK!A:H,7,0),1)</f>
        <v>1</v>
      </c>
    </row>
    <row r="3799" spans="10:10" ht="35.450000000000003" hidden="1" customHeight="1">
      <c r="J3799" s="28">
        <f>IFERROR(VLOOKUP(TEXT(B3799,"0"),STOCK!A:H,7,0),1)</f>
        <v>1</v>
      </c>
    </row>
    <row r="3800" spans="10:10" ht="35.450000000000003" hidden="1" customHeight="1">
      <c r="J3800" s="28">
        <f>IFERROR(VLOOKUP(TEXT(B3800,"0"),STOCK!A:H,7,0),1)</f>
        <v>1</v>
      </c>
    </row>
    <row r="3801" spans="10:10" ht="35.450000000000003" hidden="1" customHeight="1">
      <c r="J3801" s="28">
        <f>IFERROR(VLOOKUP(TEXT(B3801,"0"),STOCK!A:H,7,0),1)</f>
        <v>1</v>
      </c>
    </row>
    <row r="3802" spans="10:10" ht="35.450000000000003" hidden="1" customHeight="1">
      <c r="J3802" s="28">
        <f>IFERROR(VLOOKUP(TEXT(B3802,"0"),STOCK!A:H,7,0),1)</f>
        <v>1</v>
      </c>
    </row>
    <row r="3803" spans="10:10" ht="35.450000000000003" hidden="1" customHeight="1">
      <c r="J3803" s="28">
        <f>IFERROR(VLOOKUP(TEXT(B3803,"0"),STOCK!A:H,7,0),1)</f>
        <v>1</v>
      </c>
    </row>
    <row r="3804" spans="10:10" ht="35.450000000000003" hidden="1" customHeight="1">
      <c r="J3804" s="28">
        <f>IFERROR(VLOOKUP(TEXT(B3804,"0"),STOCK!A:H,7,0),1)</f>
        <v>1</v>
      </c>
    </row>
    <row r="3805" spans="10:10" ht="35.450000000000003" hidden="1" customHeight="1">
      <c r="J3805" s="28">
        <f>IFERROR(VLOOKUP(TEXT(B3805,"0"),STOCK!A:H,7,0),1)</f>
        <v>1</v>
      </c>
    </row>
    <row r="3806" spans="10:10" ht="35.450000000000003" hidden="1" customHeight="1">
      <c r="J3806" s="28">
        <f>IFERROR(VLOOKUP(TEXT(B3806,"0"),STOCK!A:H,7,0),1)</f>
        <v>1</v>
      </c>
    </row>
    <row r="3807" spans="10:10" ht="35.450000000000003" hidden="1" customHeight="1">
      <c r="J3807" s="28">
        <f>IFERROR(VLOOKUP(TEXT(B3807,"0"),STOCK!A:H,7,0),1)</f>
        <v>1</v>
      </c>
    </row>
    <row r="3808" spans="10:10" ht="35.450000000000003" hidden="1" customHeight="1">
      <c r="J3808" s="28">
        <f>IFERROR(VLOOKUP(TEXT(B3808,"0"),STOCK!A:H,7,0),1)</f>
        <v>1</v>
      </c>
    </row>
    <row r="3809" spans="10:10" ht="35.450000000000003" hidden="1" customHeight="1">
      <c r="J3809" s="28">
        <f>IFERROR(VLOOKUP(TEXT(B3809,"0"),STOCK!A:H,7,0),1)</f>
        <v>1</v>
      </c>
    </row>
    <row r="3810" spans="10:10" ht="35.450000000000003" hidden="1" customHeight="1">
      <c r="J3810" s="28">
        <f>IFERROR(VLOOKUP(TEXT(B3810,"0"),STOCK!A:H,7,0),1)</f>
        <v>1</v>
      </c>
    </row>
    <row r="3811" spans="10:10" ht="35.450000000000003" hidden="1" customHeight="1">
      <c r="J3811" s="28">
        <f>IFERROR(VLOOKUP(TEXT(B3811,"0"),STOCK!A:H,7,0),1)</f>
        <v>1</v>
      </c>
    </row>
    <row r="3812" spans="10:10" ht="35.450000000000003" hidden="1" customHeight="1">
      <c r="J3812" s="28">
        <f>IFERROR(VLOOKUP(TEXT(B3812,"0"),STOCK!A:H,7,0),1)</f>
        <v>1</v>
      </c>
    </row>
    <row r="3813" spans="10:10" ht="35.450000000000003" hidden="1" customHeight="1">
      <c r="J3813" s="28">
        <f>IFERROR(VLOOKUP(TEXT(B3813,"0"),STOCK!A:H,7,0),1)</f>
        <v>1</v>
      </c>
    </row>
    <row r="3814" spans="10:10" ht="35.450000000000003" hidden="1" customHeight="1">
      <c r="J3814" s="28">
        <f>IFERROR(VLOOKUP(TEXT(B3814,"0"),STOCK!A:H,7,0),1)</f>
        <v>1</v>
      </c>
    </row>
    <row r="3815" spans="10:10" ht="35.450000000000003" hidden="1" customHeight="1">
      <c r="J3815" s="28">
        <f>IFERROR(VLOOKUP(TEXT(B3815,"0"),STOCK!A:H,7,0),1)</f>
        <v>1</v>
      </c>
    </row>
    <row r="3816" spans="10:10" ht="35.450000000000003" hidden="1" customHeight="1">
      <c r="J3816" s="28">
        <f>IFERROR(VLOOKUP(TEXT(B3816,"0"),STOCK!A:H,7,0),1)</f>
        <v>1</v>
      </c>
    </row>
    <row r="3817" spans="10:10" ht="35.450000000000003" hidden="1" customHeight="1">
      <c r="J3817" s="28">
        <f>IFERROR(VLOOKUP(TEXT(B3817,"0"),STOCK!A:H,7,0),1)</f>
        <v>1</v>
      </c>
    </row>
    <row r="3818" spans="10:10" ht="35.450000000000003" hidden="1" customHeight="1">
      <c r="J3818" s="28">
        <f>IFERROR(VLOOKUP(TEXT(B3818,"0"),STOCK!A:H,7,0),1)</f>
        <v>1</v>
      </c>
    </row>
    <row r="3819" spans="10:10" ht="35.450000000000003" hidden="1" customHeight="1">
      <c r="J3819" s="28">
        <f>IFERROR(VLOOKUP(TEXT(B3819,"0"),STOCK!A:H,7,0),1)</f>
        <v>1</v>
      </c>
    </row>
    <row r="3820" spans="10:10" ht="35.450000000000003" hidden="1" customHeight="1">
      <c r="J3820" s="28">
        <f>IFERROR(VLOOKUP(TEXT(B3820,"0"),STOCK!A:H,7,0),1)</f>
        <v>1</v>
      </c>
    </row>
    <row r="3821" spans="10:10" ht="35.450000000000003" hidden="1" customHeight="1">
      <c r="J3821" s="28">
        <f>IFERROR(VLOOKUP(TEXT(B3821,"0"),STOCK!A:H,7,0),1)</f>
        <v>1</v>
      </c>
    </row>
    <row r="3822" spans="10:10" ht="35.450000000000003" hidden="1" customHeight="1">
      <c r="J3822" s="28">
        <f>IFERROR(VLOOKUP(TEXT(B3822,"0"),STOCK!A:H,7,0),1)</f>
        <v>1</v>
      </c>
    </row>
    <row r="3823" spans="10:10" ht="35.450000000000003" hidden="1" customHeight="1">
      <c r="J3823" s="28">
        <f>IFERROR(VLOOKUP(TEXT(B3823,"0"),STOCK!A:H,7,0),1)</f>
        <v>1</v>
      </c>
    </row>
    <row r="3824" spans="10:10" ht="35.450000000000003" hidden="1" customHeight="1">
      <c r="J3824" s="28">
        <f>IFERROR(VLOOKUP(TEXT(B3824,"0"),STOCK!A:H,7,0),1)</f>
        <v>1</v>
      </c>
    </row>
    <row r="3825" spans="10:10" ht="35.450000000000003" hidden="1" customHeight="1">
      <c r="J3825" s="28">
        <f>IFERROR(VLOOKUP(TEXT(B3825,"0"),STOCK!A:H,7,0),1)</f>
        <v>1</v>
      </c>
    </row>
    <row r="3826" spans="10:10" ht="35.450000000000003" hidden="1" customHeight="1">
      <c r="J3826" s="28">
        <f>IFERROR(VLOOKUP(TEXT(B3826,"0"),STOCK!A:H,7,0),1)</f>
        <v>1</v>
      </c>
    </row>
    <row r="3827" spans="10:10" ht="35.450000000000003" hidden="1" customHeight="1">
      <c r="J3827" s="28">
        <f>IFERROR(VLOOKUP(TEXT(B3827,"0"),STOCK!A:H,7,0),1)</f>
        <v>1</v>
      </c>
    </row>
    <row r="3828" spans="10:10" ht="35.450000000000003" hidden="1" customHeight="1">
      <c r="J3828" s="28">
        <f>IFERROR(VLOOKUP(TEXT(B3828,"0"),STOCK!A:H,7,0),1)</f>
        <v>1</v>
      </c>
    </row>
    <row r="3829" spans="10:10" ht="35.450000000000003" hidden="1" customHeight="1">
      <c r="J3829" s="28">
        <f>IFERROR(VLOOKUP(TEXT(B3829,"0"),STOCK!A:H,7,0),1)</f>
        <v>1</v>
      </c>
    </row>
    <row r="3830" spans="10:10" ht="35.450000000000003" hidden="1" customHeight="1">
      <c r="J3830" s="28">
        <f>IFERROR(VLOOKUP(TEXT(B3830,"0"),STOCK!A:H,7,0),1)</f>
        <v>1</v>
      </c>
    </row>
    <row r="3831" spans="10:10" ht="35.450000000000003" hidden="1" customHeight="1">
      <c r="J3831" s="28">
        <f>IFERROR(VLOOKUP(TEXT(B3831,"0"),STOCK!A:H,7,0),1)</f>
        <v>1</v>
      </c>
    </row>
    <row r="3832" spans="10:10" ht="35.450000000000003" hidden="1" customHeight="1">
      <c r="J3832" s="28">
        <f>IFERROR(VLOOKUP(TEXT(B3832,"0"),STOCK!A:H,7,0),1)</f>
        <v>1</v>
      </c>
    </row>
    <row r="3833" spans="10:10" ht="35.450000000000003" hidden="1" customHeight="1">
      <c r="J3833" s="28">
        <f>IFERROR(VLOOKUP(TEXT(B3833,"0"),STOCK!A:H,7,0),1)</f>
        <v>1</v>
      </c>
    </row>
    <row r="3834" spans="10:10" ht="35.450000000000003" hidden="1" customHeight="1">
      <c r="J3834" s="28">
        <f>IFERROR(VLOOKUP(TEXT(B3834,"0"),STOCK!A:H,7,0),1)</f>
        <v>1</v>
      </c>
    </row>
    <row r="3835" spans="10:10" ht="35.450000000000003" hidden="1" customHeight="1">
      <c r="J3835" s="28">
        <f>IFERROR(VLOOKUP(TEXT(B3835,"0"),STOCK!A:H,7,0),1)</f>
        <v>1</v>
      </c>
    </row>
    <row r="3836" spans="10:10" ht="35.450000000000003" hidden="1" customHeight="1">
      <c r="J3836" s="28">
        <f>IFERROR(VLOOKUP(TEXT(B3836,"0"),STOCK!A:H,7,0),1)</f>
        <v>1</v>
      </c>
    </row>
    <row r="3837" spans="10:10" ht="35.450000000000003" hidden="1" customHeight="1">
      <c r="J3837" s="28">
        <f>IFERROR(VLOOKUP(TEXT(B3837,"0"),STOCK!A:H,7,0),1)</f>
        <v>1</v>
      </c>
    </row>
    <row r="3838" spans="10:10" ht="35.450000000000003" hidden="1" customHeight="1">
      <c r="J3838" s="28">
        <f>IFERROR(VLOOKUP(TEXT(B3838,"0"),STOCK!A:H,7,0),1)</f>
        <v>1</v>
      </c>
    </row>
    <row r="3839" spans="10:10" ht="35.450000000000003" hidden="1" customHeight="1">
      <c r="J3839" s="28">
        <f>IFERROR(VLOOKUP(TEXT(B3839,"0"),STOCK!A:H,7,0),1)</f>
        <v>1</v>
      </c>
    </row>
    <row r="3840" spans="10:10" ht="35.450000000000003" hidden="1" customHeight="1">
      <c r="J3840" s="28">
        <f>IFERROR(VLOOKUP(TEXT(B3840,"0"),STOCK!A:H,7,0),1)</f>
        <v>1</v>
      </c>
    </row>
    <row r="3841" spans="10:10" ht="35.450000000000003" hidden="1" customHeight="1">
      <c r="J3841" s="28">
        <f>IFERROR(VLOOKUP(TEXT(B3841,"0"),STOCK!A:H,7,0),1)</f>
        <v>1</v>
      </c>
    </row>
    <row r="3842" spans="10:10" ht="35.450000000000003" hidden="1" customHeight="1">
      <c r="J3842" s="28">
        <f>IFERROR(VLOOKUP(TEXT(B3842,"0"),STOCK!A:H,7,0),1)</f>
        <v>1</v>
      </c>
    </row>
    <row r="3843" spans="10:10" ht="35.450000000000003" hidden="1" customHeight="1">
      <c r="J3843" s="28">
        <f>IFERROR(VLOOKUP(TEXT(B3843,"0"),STOCK!A:H,7,0),1)</f>
        <v>1</v>
      </c>
    </row>
    <row r="3844" spans="10:10" ht="35.450000000000003" hidden="1" customHeight="1">
      <c r="J3844" s="28">
        <f>IFERROR(VLOOKUP(TEXT(B3844,"0"),STOCK!A:H,7,0),1)</f>
        <v>1</v>
      </c>
    </row>
    <row r="3845" spans="10:10" ht="35.450000000000003" hidden="1" customHeight="1">
      <c r="J3845" s="28">
        <f>IFERROR(VLOOKUP(TEXT(B3845,"0"),STOCK!A:H,7,0),1)</f>
        <v>1</v>
      </c>
    </row>
    <row r="3846" spans="10:10" ht="35.450000000000003" hidden="1" customHeight="1">
      <c r="J3846" s="28">
        <f>IFERROR(VLOOKUP(TEXT(B3846,"0"),STOCK!A:H,7,0),1)</f>
        <v>1</v>
      </c>
    </row>
    <row r="3847" spans="10:10" ht="35.450000000000003" hidden="1" customHeight="1">
      <c r="J3847" s="28">
        <f>IFERROR(VLOOKUP(TEXT(B3847,"0"),STOCK!A:H,7,0),1)</f>
        <v>1</v>
      </c>
    </row>
    <row r="3848" spans="10:10" ht="35.450000000000003" hidden="1" customHeight="1">
      <c r="J3848" s="28">
        <f>IFERROR(VLOOKUP(TEXT(B3848,"0"),STOCK!A:H,7,0),1)</f>
        <v>1</v>
      </c>
    </row>
    <row r="3849" spans="10:10" ht="35.450000000000003" hidden="1" customHeight="1">
      <c r="J3849" s="28">
        <f>IFERROR(VLOOKUP(TEXT(B3849,"0"),STOCK!A:H,7,0),1)</f>
        <v>1</v>
      </c>
    </row>
    <row r="3850" spans="10:10" ht="35.450000000000003" hidden="1" customHeight="1">
      <c r="J3850" s="28">
        <f>IFERROR(VLOOKUP(TEXT(B3850,"0"),STOCK!A:H,7,0),1)</f>
        <v>1</v>
      </c>
    </row>
    <row r="3851" spans="10:10" ht="35.450000000000003" hidden="1" customHeight="1">
      <c r="J3851" s="28">
        <f>IFERROR(VLOOKUP(TEXT(B3851,"0"),STOCK!A:H,7,0),1)</f>
        <v>1</v>
      </c>
    </row>
    <row r="3852" spans="10:10" ht="35.450000000000003" hidden="1" customHeight="1">
      <c r="J3852" s="28">
        <f>IFERROR(VLOOKUP(TEXT(B3852,"0"),STOCK!A:H,7,0),1)</f>
        <v>1</v>
      </c>
    </row>
    <row r="3853" spans="10:10" ht="35.450000000000003" hidden="1" customHeight="1">
      <c r="J3853" s="28">
        <f>IFERROR(VLOOKUP(TEXT(B3853,"0"),STOCK!A:H,7,0),1)</f>
        <v>1</v>
      </c>
    </row>
    <row r="3854" spans="10:10" ht="35.450000000000003" hidden="1" customHeight="1">
      <c r="J3854" s="28">
        <f>IFERROR(VLOOKUP(TEXT(B3854,"0"),STOCK!A:H,7,0),1)</f>
        <v>1</v>
      </c>
    </row>
    <row r="3855" spans="10:10" ht="35.450000000000003" hidden="1" customHeight="1">
      <c r="J3855" s="28">
        <f>IFERROR(VLOOKUP(TEXT(B3855,"0"),STOCK!A:H,7,0),1)</f>
        <v>1</v>
      </c>
    </row>
    <row r="3856" spans="10:10" ht="35.450000000000003" hidden="1" customHeight="1">
      <c r="J3856" s="28">
        <f>IFERROR(VLOOKUP(TEXT(B3856,"0"),STOCK!A:H,7,0),1)</f>
        <v>1</v>
      </c>
    </row>
    <row r="3857" spans="10:10" ht="35.450000000000003" hidden="1" customHeight="1">
      <c r="J3857" s="28">
        <f>IFERROR(VLOOKUP(TEXT(B3857,"0"),STOCK!A:H,7,0),1)</f>
        <v>1</v>
      </c>
    </row>
    <row r="3858" spans="10:10" ht="35.450000000000003" hidden="1" customHeight="1">
      <c r="J3858" s="28">
        <f>IFERROR(VLOOKUP(TEXT(B3858,"0"),STOCK!A:H,7,0),1)</f>
        <v>1</v>
      </c>
    </row>
    <row r="3859" spans="10:10" ht="35.450000000000003" hidden="1" customHeight="1">
      <c r="J3859" s="28">
        <f>IFERROR(VLOOKUP(TEXT(B3859,"0"),STOCK!A:H,7,0),1)</f>
        <v>1</v>
      </c>
    </row>
    <row r="3860" spans="10:10" ht="35.450000000000003" hidden="1" customHeight="1">
      <c r="J3860" s="28">
        <f>IFERROR(VLOOKUP(TEXT(B3860,"0"),STOCK!A:H,7,0),1)</f>
        <v>1</v>
      </c>
    </row>
    <row r="3861" spans="10:10" ht="35.450000000000003" hidden="1" customHeight="1">
      <c r="J3861" s="28">
        <f>IFERROR(VLOOKUP(TEXT(B3861,"0"),STOCK!A:H,7,0),1)</f>
        <v>1</v>
      </c>
    </row>
    <row r="3862" spans="10:10" ht="35.450000000000003" hidden="1" customHeight="1">
      <c r="J3862" s="28">
        <f>IFERROR(VLOOKUP(TEXT(B3862,"0"),STOCK!A:H,7,0),1)</f>
        <v>1</v>
      </c>
    </row>
    <row r="3863" spans="10:10" ht="35.450000000000003" hidden="1" customHeight="1">
      <c r="J3863" s="28">
        <f>IFERROR(VLOOKUP(TEXT(B3863,"0"),STOCK!A:H,7,0),1)</f>
        <v>1</v>
      </c>
    </row>
    <row r="3864" spans="10:10" ht="35.450000000000003" hidden="1" customHeight="1">
      <c r="J3864" s="28">
        <f>IFERROR(VLOOKUP(TEXT(B3864,"0"),STOCK!A:H,7,0),1)</f>
        <v>1</v>
      </c>
    </row>
    <row r="3865" spans="10:10" ht="35.450000000000003" hidden="1" customHeight="1">
      <c r="J3865" s="28">
        <f>IFERROR(VLOOKUP(TEXT(B3865,"0"),STOCK!A:H,7,0),1)</f>
        <v>1</v>
      </c>
    </row>
    <row r="3866" spans="10:10" ht="35.450000000000003" hidden="1" customHeight="1">
      <c r="J3866" s="28">
        <f>IFERROR(VLOOKUP(TEXT(B3866,"0"),STOCK!A:H,7,0),1)</f>
        <v>1</v>
      </c>
    </row>
    <row r="3867" spans="10:10" ht="35.450000000000003" hidden="1" customHeight="1">
      <c r="J3867" s="28">
        <f>IFERROR(VLOOKUP(TEXT(B3867,"0"),STOCK!A:H,7,0),1)</f>
        <v>1</v>
      </c>
    </row>
    <row r="3868" spans="10:10" ht="35.450000000000003" hidden="1" customHeight="1">
      <c r="J3868" s="28">
        <f>IFERROR(VLOOKUP(TEXT(B3868,"0"),STOCK!A:H,7,0),1)</f>
        <v>1</v>
      </c>
    </row>
    <row r="3869" spans="10:10" ht="35.450000000000003" hidden="1" customHeight="1">
      <c r="J3869" s="28">
        <f>IFERROR(VLOOKUP(TEXT(B3869,"0"),STOCK!A:H,7,0),1)</f>
        <v>1</v>
      </c>
    </row>
    <row r="3870" spans="10:10" ht="35.450000000000003" hidden="1" customHeight="1">
      <c r="J3870" s="28">
        <f>IFERROR(VLOOKUP(TEXT(B3870,"0"),STOCK!A:H,7,0),1)</f>
        <v>1</v>
      </c>
    </row>
    <row r="3871" spans="10:10" ht="35.450000000000003" hidden="1" customHeight="1">
      <c r="J3871" s="28">
        <f>IFERROR(VLOOKUP(TEXT(B3871,"0"),STOCK!A:H,7,0),1)</f>
        <v>1</v>
      </c>
    </row>
    <row r="3872" spans="10:10" ht="35.450000000000003" hidden="1" customHeight="1">
      <c r="J3872" s="28">
        <f>IFERROR(VLOOKUP(TEXT(B3872,"0"),STOCK!A:H,7,0),1)</f>
        <v>1</v>
      </c>
    </row>
    <row r="3873" spans="10:10" ht="35.450000000000003" hidden="1" customHeight="1">
      <c r="J3873" s="28">
        <f>IFERROR(VLOOKUP(TEXT(B3873,"0"),STOCK!A:H,7,0),1)</f>
        <v>1</v>
      </c>
    </row>
    <row r="3874" spans="10:10" ht="35.450000000000003" hidden="1" customHeight="1">
      <c r="J3874" s="28">
        <f>IFERROR(VLOOKUP(TEXT(B3874,"0"),STOCK!A:H,7,0),1)</f>
        <v>1</v>
      </c>
    </row>
    <row r="3875" spans="10:10" ht="35.450000000000003" hidden="1" customHeight="1">
      <c r="J3875" s="28">
        <f>IFERROR(VLOOKUP(TEXT(B3875,"0"),STOCK!A:H,7,0),1)</f>
        <v>1</v>
      </c>
    </row>
    <row r="3876" spans="10:10" ht="35.450000000000003" hidden="1" customHeight="1">
      <c r="J3876" s="28">
        <f>IFERROR(VLOOKUP(TEXT(B3876,"0"),STOCK!A:H,7,0),1)</f>
        <v>1</v>
      </c>
    </row>
    <row r="3877" spans="10:10" ht="35.450000000000003" hidden="1" customHeight="1">
      <c r="J3877" s="28">
        <f>IFERROR(VLOOKUP(TEXT(B3877,"0"),STOCK!A:H,7,0),1)</f>
        <v>1</v>
      </c>
    </row>
    <row r="3878" spans="10:10" ht="35.450000000000003" hidden="1" customHeight="1">
      <c r="J3878" s="28">
        <f>IFERROR(VLOOKUP(TEXT(B3878,"0"),STOCK!A:H,7,0),1)</f>
        <v>1</v>
      </c>
    </row>
    <row r="3879" spans="10:10" ht="35.450000000000003" hidden="1" customHeight="1">
      <c r="J3879" s="28">
        <f>IFERROR(VLOOKUP(TEXT(B3879,"0"),STOCK!A:H,7,0),1)</f>
        <v>1</v>
      </c>
    </row>
    <row r="3880" spans="10:10" ht="35.450000000000003" hidden="1" customHeight="1">
      <c r="J3880" s="28">
        <f>IFERROR(VLOOKUP(TEXT(B3880,"0"),STOCK!A:H,7,0),1)</f>
        <v>1</v>
      </c>
    </row>
    <row r="3881" spans="10:10" ht="35.450000000000003" hidden="1" customHeight="1">
      <c r="J3881" s="28">
        <f>IFERROR(VLOOKUP(TEXT(B3881,"0"),STOCK!A:H,7,0),1)</f>
        <v>1</v>
      </c>
    </row>
    <row r="3882" spans="10:10" ht="35.450000000000003" hidden="1" customHeight="1">
      <c r="J3882" s="28">
        <f>IFERROR(VLOOKUP(TEXT(B3882,"0"),STOCK!A:H,7,0),1)</f>
        <v>1</v>
      </c>
    </row>
    <row r="3883" spans="10:10" ht="35.450000000000003" hidden="1" customHeight="1">
      <c r="J3883" s="28">
        <f>IFERROR(VLOOKUP(TEXT(B3883,"0"),STOCK!A:H,7,0),1)</f>
        <v>1</v>
      </c>
    </row>
    <row r="3884" spans="10:10" ht="35.450000000000003" hidden="1" customHeight="1">
      <c r="J3884" s="28">
        <f>IFERROR(VLOOKUP(TEXT(B3884,"0"),STOCK!A:H,7,0),1)</f>
        <v>1</v>
      </c>
    </row>
    <row r="3885" spans="10:10" ht="35.450000000000003" hidden="1" customHeight="1">
      <c r="J3885" s="28">
        <f>IFERROR(VLOOKUP(TEXT(B3885,"0"),STOCK!A:H,7,0),1)</f>
        <v>1</v>
      </c>
    </row>
    <row r="3886" spans="10:10" ht="35.450000000000003" hidden="1" customHeight="1">
      <c r="J3886" s="28">
        <f>IFERROR(VLOOKUP(TEXT(B3886,"0"),STOCK!A:H,7,0),1)</f>
        <v>1</v>
      </c>
    </row>
    <row r="3887" spans="10:10" ht="35.450000000000003" hidden="1" customHeight="1">
      <c r="J3887" s="28">
        <f>IFERROR(VLOOKUP(TEXT(B3887,"0"),STOCK!A:H,7,0),1)</f>
        <v>1</v>
      </c>
    </row>
    <row r="3888" spans="10:10" ht="35.450000000000003" hidden="1" customHeight="1">
      <c r="J3888" s="28">
        <f>IFERROR(VLOOKUP(TEXT(B3888,"0"),STOCK!A:H,7,0),1)</f>
        <v>1</v>
      </c>
    </row>
    <row r="3889" spans="10:10" ht="35.450000000000003" hidden="1" customHeight="1">
      <c r="J3889" s="28">
        <f>IFERROR(VLOOKUP(TEXT(B3889,"0"),STOCK!A:H,7,0),1)</f>
        <v>1</v>
      </c>
    </row>
    <row r="3890" spans="10:10" ht="35.450000000000003" hidden="1" customHeight="1">
      <c r="J3890" s="28">
        <f>IFERROR(VLOOKUP(TEXT(B3890,"0"),STOCK!A:H,7,0),1)</f>
        <v>1</v>
      </c>
    </row>
    <row r="3891" spans="10:10" ht="35.450000000000003" hidden="1" customHeight="1">
      <c r="J3891" s="28">
        <f>IFERROR(VLOOKUP(TEXT(B3891,"0"),STOCK!A:H,7,0),1)</f>
        <v>1</v>
      </c>
    </row>
    <row r="3892" spans="10:10" ht="35.450000000000003" hidden="1" customHeight="1">
      <c r="J3892" s="28">
        <f>IFERROR(VLOOKUP(TEXT(B3892,"0"),STOCK!A:H,7,0),1)</f>
        <v>1</v>
      </c>
    </row>
    <row r="3893" spans="10:10" ht="35.450000000000003" hidden="1" customHeight="1">
      <c r="J3893" s="28">
        <f>IFERROR(VLOOKUP(TEXT(B3893,"0"),STOCK!A:H,7,0),1)</f>
        <v>1</v>
      </c>
    </row>
    <row r="3894" spans="10:10" ht="35.450000000000003" hidden="1" customHeight="1">
      <c r="J3894" s="28">
        <f>IFERROR(VLOOKUP(TEXT(B3894,"0"),STOCK!A:H,7,0),1)</f>
        <v>1</v>
      </c>
    </row>
    <row r="3895" spans="10:10" ht="35.450000000000003" hidden="1" customHeight="1">
      <c r="J3895" s="28">
        <f>IFERROR(VLOOKUP(TEXT(B3895,"0"),STOCK!A:H,7,0),1)</f>
        <v>1</v>
      </c>
    </row>
    <row r="3896" spans="10:10" ht="35.450000000000003" hidden="1" customHeight="1">
      <c r="J3896" s="28">
        <f>IFERROR(VLOOKUP(TEXT(B3896,"0"),STOCK!A:H,7,0),1)</f>
        <v>1</v>
      </c>
    </row>
    <row r="3897" spans="10:10" ht="35.450000000000003" hidden="1" customHeight="1">
      <c r="J3897" s="28">
        <f>IFERROR(VLOOKUP(TEXT(B3897,"0"),STOCK!A:H,7,0),1)</f>
        <v>1</v>
      </c>
    </row>
    <row r="3898" spans="10:10" ht="35.450000000000003" hidden="1" customHeight="1">
      <c r="J3898" s="28">
        <f>IFERROR(VLOOKUP(TEXT(B3898,"0"),STOCK!A:H,7,0),1)</f>
        <v>1</v>
      </c>
    </row>
    <row r="3899" spans="10:10" ht="35.450000000000003" hidden="1" customHeight="1">
      <c r="J3899" s="28">
        <f>IFERROR(VLOOKUP(TEXT(B3899,"0"),STOCK!A:H,7,0),1)</f>
        <v>1</v>
      </c>
    </row>
    <row r="3900" spans="10:10" ht="35.450000000000003" hidden="1" customHeight="1">
      <c r="J3900" s="28">
        <f>IFERROR(VLOOKUP(TEXT(B3900,"0"),STOCK!A:H,7,0),1)</f>
        <v>1</v>
      </c>
    </row>
    <row r="3901" spans="10:10" ht="35.450000000000003" hidden="1" customHeight="1">
      <c r="J3901" s="28">
        <f>IFERROR(VLOOKUP(TEXT(B3901,"0"),STOCK!A:H,7,0),1)</f>
        <v>1</v>
      </c>
    </row>
    <row r="3902" spans="10:10" ht="35.450000000000003" hidden="1" customHeight="1">
      <c r="J3902" s="28">
        <f>IFERROR(VLOOKUP(TEXT(B3902,"0"),STOCK!A:H,7,0),1)</f>
        <v>1</v>
      </c>
    </row>
    <row r="3903" spans="10:10" ht="35.450000000000003" hidden="1" customHeight="1">
      <c r="J3903" s="28">
        <f>IFERROR(VLOOKUP(TEXT(B3903,"0"),STOCK!A:H,7,0),1)</f>
        <v>1</v>
      </c>
    </row>
    <row r="3904" spans="10:10" ht="35.450000000000003" hidden="1" customHeight="1">
      <c r="J3904" s="28">
        <f>IFERROR(VLOOKUP(TEXT(B3904,"0"),STOCK!A:H,7,0),1)</f>
        <v>1</v>
      </c>
    </row>
    <row r="3905" spans="10:10" ht="35.450000000000003" hidden="1" customHeight="1">
      <c r="J3905" s="28">
        <f>IFERROR(VLOOKUP(TEXT(B3905,"0"),STOCK!A:H,7,0),1)</f>
        <v>1</v>
      </c>
    </row>
    <row r="3906" spans="10:10" ht="35.450000000000003" hidden="1" customHeight="1">
      <c r="J3906" s="28">
        <f>IFERROR(VLOOKUP(TEXT(B3906,"0"),STOCK!A:H,7,0),1)</f>
        <v>1</v>
      </c>
    </row>
    <row r="3907" spans="10:10" ht="35.450000000000003" hidden="1" customHeight="1">
      <c r="J3907" s="28">
        <f>IFERROR(VLOOKUP(TEXT(B3907,"0"),STOCK!A:H,7,0),1)</f>
        <v>1</v>
      </c>
    </row>
    <row r="3908" spans="10:10" ht="35.450000000000003" hidden="1" customHeight="1">
      <c r="J3908" s="28">
        <f>IFERROR(VLOOKUP(TEXT(B3908,"0"),STOCK!A:H,7,0),1)</f>
        <v>1</v>
      </c>
    </row>
    <row r="3909" spans="10:10" ht="35.450000000000003" hidden="1" customHeight="1">
      <c r="J3909" s="28">
        <f>IFERROR(VLOOKUP(TEXT(B3909,"0"),STOCK!A:H,7,0),1)</f>
        <v>1</v>
      </c>
    </row>
    <row r="3910" spans="10:10" ht="35.450000000000003" hidden="1" customHeight="1">
      <c r="J3910" s="28">
        <f>IFERROR(VLOOKUP(TEXT(B3910,"0"),STOCK!A:H,7,0),1)</f>
        <v>1</v>
      </c>
    </row>
    <row r="3911" spans="10:10" ht="35.450000000000003" hidden="1" customHeight="1">
      <c r="J3911" s="28">
        <f>IFERROR(VLOOKUP(TEXT(B3911,"0"),STOCK!A:H,7,0),1)</f>
        <v>1</v>
      </c>
    </row>
    <row r="3912" spans="10:10" ht="35.450000000000003" hidden="1" customHeight="1">
      <c r="J3912" s="28">
        <f>IFERROR(VLOOKUP(TEXT(B3912,"0"),STOCK!A:H,7,0),1)</f>
        <v>1</v>
      </c>
    </row>
    <row r="3913" spans="10:10" ht="35.450000000000003" hidden="1" customHeight="1">
      <c r="J3913" s="28">
        <f>IFERROR(VLOOKUP(TEXT(B3913,"0"),STOCK!A:H,7,0),1)</f>
        <v>1</v>
      </c>
    </row>
    <row r="3914" spans="10:10" ht="35.450000000000003" hidden="1" customHeight="1">
      <c r="J3914" s="28">
        <f>IFERROR(VLOOKUP(TEXT(B3914,"0"),STOCK!A:H,7,0),1)</f>
        <v>1</v>
      </c>
    </row>
    <row r="3915" spans="10:10" ht="35.450000000000003" hidden="1" customHeight="1">
      <c r="J3915" s="28">
        <f>IFERROR(VLOOKUP(TEXT(B3915,"0"),STOCK!A:H,7,0),1)</f>
        <v>1</v>
      </c>
    </row>
    <row r="3916" spans="10:10" ht="35.450000000000003" hidden="1" customHeight="1">
      <c r="J3916" s="28">
        <f>IFERROR(VLOOKUP(TEXT(B3916,"0"),STOCK!A:H,7,0),1)</f>
        <v>1</v>
      </c>
    </row>
    <row r="3917" spans="10:10" ht="35.450000000000003" hidden="1" customHeight="1">
      <c r="J3917" s="28">
        <f>IFERROR(VLOOKUP(TEXT(B3917,"0"),STOCK!A:H,7,0),1)</f>
        <v>1</v>
      </c>
    </row>
    <row r="3918" spans="10:10" ht="35.450000000000003" hidden="1" customHeight="1">
      <c r="J3918" s="28">
        <f>IFERROR(VLOOKUP(TEXT(B3918,"0"),STOCK!A:H,7,0),1)</f>
        <v>1</v>
      </c>
    </row>
    <row r="3919" spans="10:10" ht="35.450000000000003" hidden="1" customHeight="1">
      <c r="J3919" s="28">
        <f>IFERROR(VLOOKUP(TEXT(B3919,"0"),STOCK!A:H,7,0),1)</f>
        <v>1</v>
      </c>
    </row>
    <row r="3920" spans="10:10" ht="35.450000000000003" hidden="1" customHeight="1">
      <c r="J3920" s="28">
        <f>IFERROR(VLOOKUP(TEXT(B3920,"0"),STOCK!A:H,7,0),1)</f>
        <v>1</v>
      </c>
    </row>
    <row r="3921" spans="10:10" ht="35.450000000000003" hidden="1" customHeight="1">
      <c r="J3921" s="28">
        <f>IFERROR(VLOOKUP(TEXT(B3921,"0"),STOCK!A:H,7,0),1)</f>
        <v>1</v>
      </c>
    </row>
    <row r="3922" spans="10:10" ht="35.450000000000003" hidden="1" customHeight="1">
      <c r="J3922" s="28">
        <f>IFERROR(VLOOKUP(TEXT(B3922,"0"),STOCK!A:H,7,0),1)</f>
        <v>1</v>
      </c>
    </row>
    <row r="3923" spans="10:10" ht="35.450000000000003" hidden="1" customHeight="1">
      <c r="J3923" s="28">
        <f>IFERROR(VLOOKUP(TEXT(B3923,"0"),STOCK!A:H,7,0),1)</f>
        <v>1</v>
      </c>
    </row>
    <row r="3924" spans="10:10" ht="35.450000000000003" hidden="1" customHeight="1">
      <c r="J3924" s="28">
        <f>IFERROR(VLOOKUP(TEXT(B3924,"0"),STOCK!A:H,7,0),1)</f>
        <v>1</v>
      </c>
    </row>
    <row r="3925" spans="10:10" ht="35.450000000000003" hidden="1" customHeight="1">
      <c r="J3925" s="28">
        <f>IFERROR(VLOOKUP(TEXT(B3925,"0"),STOCK!A:H,7,0),1)</f>
        <v>1</v>
      </c>
    </row>
    <row r="3926" spans="10:10" ht="35.450000000000003" hidden="1" customHeight="1">
      <c r="J3926" s="28">
        <f>IFERROR(VLOOKUP(TEXT(B3926,"0"),STOCK!A:H,7,0),1)</f>
        <v>1</v>
      </c>
    </row>
    <row r="3927" spans="10:10" ht="35.450000000000003" hidden="1" customHeight="1">
      <c r="J3927" s="28">
        <f>IFERROR(VLOOKUP(TEXT(B3927,"0"),STOCK!A:H,7,0),1)</f>
        <v>1</v>
      </c>
    </row>
    <row r="3928" spans="10:10" ht="35.450000000000003" hidden="1" customHeight="1">
      <c r="J3928" s="28">
        <f>IFERROR(VLOOKUP(TEXT(B3928,"0"),STOCK!A:H,7,0),1)</f>
        <v>1</v>
      </c>
    </row>
    <row r="3929" spans="10:10" ht="35.450000000000003" hidden="1" customHeight="1">
      <c r="J3929" s="28">
        <f>IFERROR(VLOOKUP(TEXT(B3929,"0"),STOCK!A:H,7,0),1)</f>
        <v>1</v>
      </c>
    </row>
    <row r="3930" spans="10:10" ht="35.450000000000003" hidden="1" customHeight="1">
      <c r="J3930" s="28">
        <f>IFERROR(VLOOKUP(TEXT(B3930,"0"),STOCK!A:H,7,0),1)</f>
        <v>1</v>
      </c>
    </row>
    <row r="3931" spans="10:10" ht="35.450000000000003" hidden="1" customHeight="1">
      <c r="J3931" s="28">
        <f>IFERROR(VLOOKUP(TEXT(B3931,"0"),STOCK!A:H,7,0),1)</f>
        <v>1</v>
      </c>
    </row>
    <row r="3932" spans="10:10" ht="35.450000000000003" hidden="1" customHeight="1">
      <c r="J3932" s="28">
        <f>IFERROR(VLOOKUP(TEXT(B3932,"0"),STOCK!A:H,7,0),1)</f>
        <v>1</v>
      </c>
    </row>
    <row r="3933" spans="10:10" ht="35.450000000000003" hidden="1" customHeight="1">
      <c r="J3933" s="28">
        <f>IFERROR(VLOOKUP(TEXT(B3933,"0"),STOCK!A:H,7,0),1)</f>
        <v>1</v>
      </c>
    </row>
    <row r="3934" spans="10:10" ht="35.450000000000003" hidden="1" customHeight="1">
      <c r="J3934" s="28">
        <f>IFERROR(VLOOKUP(TEXT(B3934,"0"),STOCK!A:H,7,0),1)</f>
        <v>1</v>
      </c>
    </row>
    <row r="3935" spans="10:10" ht="35.450000000000003" hidden="1" customHeight="1">
      <c r="J3935" s="28">
        <f>IFERROR(VLOOKUP(TEXT(B3935,"0"),STOCK!A:H,7,0),1)</f>
        <v>1</v>
      </c>
    </row>
    <row r="3936" spans="10:10" ht="35.450000000000003" hidden="1" customHeight="1">
      <c r="J3936" s="28">
        <f>IFERROR(VLOOKUP(TEXT(B3936,"0"),STOCK!A:H,7,0),1)</f>
        <v>1</v>
      </c>
    </row>
    <row r="3937" spans="10:10" ht="35.450000000000003" hidden="1" customHeight="1">
      <c r="J3937" s="28">
        <f>IFERROR(VLOOKUP(TEXT(B3937,"0"),STOCK!A:H,7,0),1)</f>
        <v>1</v>
      </c>
    </row>
    <row r="3938" spans="10:10" ht="35.450000000000003" hidden="1" customHeight="1">
      <c r="J3938" s="28">
        <f>IFERROR(VLOOKUP(TEXT(B3938,"0"),STOCK!A:H,7,0),1)</f>
        <v>1</v>
      </c>
    </row>
    <row r="3939" spans="10:10" ht="35.450000000000003" hidden="1" customHeight="1">
      <c r="J3939" s="28">
        <f>IFERROR(VLOOKUP(TEXT(B3939,"0"),STOCK!A:H,7,0),1)</f>
        <v>1</v>
      </c>
    </row>
    <row r="3940" spans="10:10" ht="35.450000000000003" hidden="1" customHeight="1">
      <c r="J3940" s="28">
        <f>IFERROR(VLOOKUP(TEXT(B3940,"0"),STOCK!A:H,7,0),1)</f>
        <v>1</v>
      </c>
    </row>
    <row r="3941" spans="10:10" ht="35.450000000000003" hidden="1" customHeight="1">
      <c r="J3941" s="28">
        <f>IFERROR(VLOOKUP(TEXT(B3941,"0"),STOCK!A:H,7,0),1)</f>
        <v>1</v>
      </c>
    </row>
    <row r="3942" spans="10:10" ht="35.450000000000003" hidden="1" customHeight="1">
      <c r="J3942" s="28">
        <f>IFERROR(VLOOKUP(TEXT(B3942,"0"),STOCK!A:H,7,0),1)</f>
        <v>1</v>
      </c>
    </row>
    <row r="3943" spans="10:10" ht="35.450000000000003" hidden="1" customHeight="1">
      <c r="J3943" s="28">
        <f>IFERROR(VLOOKUP(TEXT(B3943,"0"),STOCK!A:H,7,0),1)</f>
        <v>1</v>
      </c>
    </row>
    <row r="3944" spans="10:10" ht="35.450000000000003" hidden="1" customHeight="1">
      <c r="J3944" s="28">
        <f>IFERROR(VLOOKUP(TEXT(B3944,"0"),STOCK!A:H,7,0),1)</f>
        <v>1</v>
      </c>
    </row>
    <row r="3945" spans="10:10" ht="35.450000000000003" hidden="1" customHeight="1">
      <c r="J3945" s="28">
        <f>IFERROR(VLOOKUP(TEXT(B3945,"0"),STOCK!A:H,7,0),1)</f>
        <v>1</v>
      </c>
    </row>
    <row r="3946" spans="10:10" ht="35.450000000000003" hidden="1" customHeight="1">
      <c r="J3946" s="28">
        <f>IFERROR(VLOOKUP(TEXT(B3946,"0"),STOCK!A:H,7,0),1)</f>
        <v>1</v>
      </c>
    </row>
    <row r="3947" spans="10:10" ht="35.450000000000003" hidden="1" customHeight="1">
      <c r="J3947" s="28">
        <f>IFERROR(VLOOKUP(TEXT(B3947,"0"),STOCK!A:H,7,0),1)</f>
        <v>1</v>
      </c>
    </row>
    <row r="3948" spans="10:10" ht="35.450000000000003" hidden="1" customHeight="1">
      <c r="J3948" s="28">
        <f>IFERROR(VLOOKUP(TEXT(B3948,"0"),STOCK!A:H,7,0),1)</f>
        <v>1</v>
      </c>
    </row>
    <row r="3949" spans="10:10" ht="35.450000000000003" hidden="1" customHeight="1">
      <c r="J3949" s="28">
        <f>IFERROR(VLOOKUP(TEXT(B3949,"0"),STOCK!A:H,7,0),1)</f>
        <v>1</v>
      </c>
    </row>
    <row r="3950" spans="10:10" ht="35.450000000000003" hidden="1" customHeight="1">
      <c r="J3950" s="28">
        <f>IFERROR(VLOOKUP(TEXT(B3950,"0"),STOCK!A:H,7,0),1)</f>
        <v>1</v>
      </c>
    </row>
    <row r="3951" spans="10:10" ht="35.450000000000003" hidden="1" customHeight="1">
      <c r="J3951" s="28">
        <f>IFERROR(VLOOKUP(TEXT(B3951,"0"),STOCK!A:H,7,0),1)</f>
        <v>1</v>
      </c>
    </row>
    <row r="3952" spans="10:10" ht="35.450000000000003" hidden="1" customHeight="1">
      <c r="J3952" s="28">
        <f>IFERROR(VLOOKUP(TEXT(B3952,"0"),STOCK!A:H,7,0),1)</f>
        <v>1</v>
      </c>
    </row>
    <row r="3953" spans="10:10" ht="35.450000000000003" hidden="1" customHeight="1">
      <c r="J3953" s="28">
        <f>IFERROR(VLOOKUP(TEXT(B3953,"0"),STOCK!A:H,7,0),1)</f>
        <v>1</v>
      </c>
    </row>
    <row r="3954" spans="10:10" ht="35.450000000000003" hidden="1" customHeight="1">
      <c r="J3954" s="28">
        <f>IFERROR(VLOOKUP(TEXT(B3954,"0"),STOCK!A:H,7,0),1)</f>
        <v>1</v>
      </c>
    </row>
    <row r="3955" spans="10:10" ht="35.450000000000003" hidden="1" customHeight="1">
      <c r="J3955" s="28">
        <f>IFERROR(VLOOKUP(TEXT(B3955,"0"),STOCK!A:H,7,0),1)</f>
        <v>1</v>
      </c>
    </row>
    <row r="3956" spans="10:10" ht="35.450000000000003" hidden="1" customHeight="1">
      <c r="J3956" s="28">
        <f>IFERROR(VLOOKUP(TEXT(B3956,"0"),STOCK!A:H,7,0),1)</f>
        <v>1</v>
      </c>
    </row>
    <row r="3957" spans="10:10" ht="35.450000000000003" hidden="1" customHeight="1">
      <c r="J3957" s="28">
        <f>IFERROR(VLOOKUP(TEXT(B3957,"0"),STOCK!A:H,7,0),1)</f>
        <v>1</v>
      </c>
    </row>
    <row r="3958" spans="10:10" ht="35.450000000000003" hidden="1" customHeight="1">
      <c r="J3958" s="28">
        <f>IFERROR(VLOOKUP(TEXT(B3958,"0"),STOCK!A:H,7,0),1)</f>
        <v>1</v>
      </c>
    </row>
    <row r="3959" spans="10:10" ht="35.450000000000003" hidden="1" customHeight="1">
      <c r="J3959" s="28">
        <f>IFERROR(VLOOKUP(TEXT(B3959,"0"),STOCK!A:H,7,0),1)</f>
        <v>1</v>
      </c>
    </row>
    <row r="3960" spans="10:10" ht="35.450000000000003" hidden="1" customHeight="1">
      <c r="J3960" s="28">
        <f>IFERROR(VLOOKUP(TEXT(B3960,"0"),STOCK!A:H,7,0),1)</f>
        <v>1</v>
      </c>
    </row>
    <row r="3961" spans="10:10" ht="35.450000000000003" hidden="1" customHeight="1">
      <c r="J3961" s="28">
        <f>IFERROR(VLOOKUP(TEXT(B3961,"0"),STOCK!A:H,7,0),1)</f>
        <v>1</v>
      </c>
    </row>
    <row r="3962" spans="10:10" ht="35.450000000000003" hidden="1" customHeight="1">
      <c r="J3962" s="28">
        <f>IFERROR(VLOOKUP(TEXT(B3962,"0"),STOCK!A:H,7,0),1)</f>
        <v>1</v>
      </c>
    </row>
    <row r="3963" spans="10:10" ht="35.450000000000003" hidden="1" customHeight="1">
      <c r="J3963" s="28">
        <f>IFERROR(VLOOKUP(TEXT(B3963,"0"),STOCK!A:H,7,0),1)</f>
        <v>1</v>
      </c>
    </row>
    <row r="3964" spans="10:10" ht="35.450000000000003" hidden="1" customHeight="1">
      <c r="J3964" s="28">
        <f>IFERROR(VLOOKUP(TEXT(B3964,"0"),STOCK!A:H,7,0),1)</f>
        <v>1</v>
      </c>
    </row>
    <row r="3965" spans="10:10" ht="35.450000000000003" hidden="1" customHeight="1">
      <c r="J3965" s="28">
        <f>IFERROR(VLOOKUP(TEXT(B3965,"0"),STOCK!A:H,7,0),1)</f>
        <v>1</v>
      </c>
    </row>
    <row r="3966" spans="10:10" ht="35.450000000000003" hidden="1" customHeight="1">
      <c r="J3966" s="28">
        <f>IFERROR(VLOOKUP(TEXT(B3966,"0"),STOCK!A:H,7,0),1)</f>
        <v>1</v>
      </c>
    </row>
    <row r="3967" spans="10:10" ht="35.450000000000003" hidden="1" customHeight="1">
      <c r="J3967" s="28">
        <f>IFERROR(VLOOKUP(TEXT(B3967,"0"),STOCK!A:H,7,0),1)</f>
        <v>1</v>
      </c>
    </row>
    <row r="3968" spans="10:10" ht="35.450000000000003" hidden="1" customHeight="1">
      <c r="J3968" s="28">
        <f>IFERROR(VLOOKUP(TEXT(B3968,"0"),STOCK!A:H,7,0),1)</f>
        <v>1</v>
      </c>
    </row>
    <row r="3969" spans="10:10" ht="35.450000000000003" hidden="1" customHeight="1">
      <c r="J3969" s="28">
        <f>IFERROR(VLOOKUP(TEXT(B3969,"0"),STOCK!A:H,7,0),1)</f>
        <v>1</v>
      </c>
    </row>
    <row r="3970" spans="10:10" ht="35.450000000000003" hidden="1" customHeight="1">
      <c r="J3970" s="28">
        <f>IFERROR(VLOOKUP(TEXT(B3970,"0"),STOCK!A:H,7,0),1)</f>
        <v>1</v>
      </c>
    </row>
    <row r="3971" spans="10:10" ht="35.450000000000003" hidden="1" customHeight="1">
      <c r="J3971" s="28">
        <f>IFERROR(VLOOKUP(TEXT(B3971,"0"),STOCK!A:H,7,0),1)</f>
        <v>1</v>
      </c>
    </row>
    <row r="3972" spans="10:10" ht="35.450000000000003" hidden="1" customHeight="1">
      <c r="J3972" s="28">
        <f>IFERROR(VLOOKUP(TEXT(B3972,"0"),STOCK!A:H,7,0),1)</f>
        <v>1</v>
      </c>
    </row>
    <row r="3973" spans="10:10" ht="35.450000000000003" hidden="1" customHeight="1">
      <c r="J3973" s="28">
        <f>IFERROR(VLOOKUP(TEXT(B3973,"0"),STOCK!A:H,7,0),1)</f>
        <v>1</v>
      </c>
    </row>
    <row r="3974" spans="10:10" ht="35.450000000000003" hidden="1" customHeight="1">
      <c r="J3974" s="28">
        <f>IFERROR(VLOOKUP(TEXT(B3974,"0"),STOCK!A:H,7,0),1)</f>
        <v>1</v>
      </c>
    </row>
    <row r="3975" spans="10:10" ht="35.450000000000003" hidden="1" customHeight="1">
      <c r="J3975" s="28">
        <f>IFERROR(VLOOKUP(TEXT(B3975,"0"),STOCK!A:H,7,0),1)</f>
        <v>1</v>
      </c>
    </row>
    <row r="3976" spans="10:10" ht="35.450000000000003" hidden="1" customHeight="1">
      <c r="J3976" s="28">
        <f>IFERROR(VLOOKUP(TEXT(B3976,"0"),STOCK!A:H,7,0),1)</f>
        <v>1</v>
      </c>
    </row>
    <row r="3977" spans="10:10" ht="35.450000000000003" hidden="1" customHeight="1">
      <c r="J3977" s="28">
        <f>IFERROR(VLOOKUP(TEXT(B3977,"0"),STOCK!A:H,7,0),1)</f>
        <v>1</v>
      </c>
    </row>
    <row r="3978" spans="10:10" ht="35.450000000000003" hidden="1" customHeight="1">
      <c r="J3978" s="28">
        <f>IFERROR(VLOOKUP(TEXT(B3978,"0"),STOCK!A:H,7,0),1)</f>
        <v>1</v>
      </c>
    </row>
    <row r="3979" spans="10:10" ht="35.450000000000003" hidden="1" customHeight="1">
      <c r="J3979" s="28">
        <f>IFERROR(VLOOKUP(TEXT(B3979,"0"),STOCK!A:H,7,0),1)</f>
        <v>1</v>
      </c>
    </row>
    <row r="3980" spans="10:10" ht="35.450000000000003" hidden="1" customHeight="1">
      <c r="J3980" s="28">
        <f>IFERROR(VLOOKUP(TEXT(B3980,"0"),STOCK!A:H,7,0),1)</f>
        <v>1</v>
      </c>
    </row>
    <row r="3981" spans="10:10" ht="35.450000000000003" hidden="1" customHeight="1">
      <c r="J3981" s="28">
        <f>IFERROR(VLOOKUP(TEXT(B3981,"0"),STOCK!A:H,7,0),1)</f>
        <v>1</v>
      </c>
    </row>
    <row r="3982" spans="10:10" ht="35.450000000000003" hidden="1" customHeight="1">
      <c r="J3982" s="28">
        <f>IFERROR(VLOOKUP(TEXT(B3982,"0"),STOCK!A:H,7,0),1)</f>
        <v>1</v>
      </c>
    </row>
    <row r="3983" spans="10:10" ht="35.450000000000003" hidden="1" customHeight="1">
      <c r="J3983" s="28">
        <f>IFERROR(VLOOKUP(TEXT(B3983,"0"),STOCK!A:H,7,0),1)</f>
        <v>1</v>
      </c>
    </row>
    <row r="3984" spans="10:10" ht="35.450000000000003" hidden="1" customHeight="1">
      <c r="J3984" s="28">
        <f>IFERROR(VLOOKUP(TEXT(B3984,"0"),STOCK!A:H,7,0),1)</f>
        <v>1</v>
      </c>
    </row>
    <row r="3985" spans="10:10" ht="35.450000000000003" hidden="1" customHeight="1">
      <c r="J3985" s="28">
        <f>IFERROR(VLOOKUP(TEXT(B3985,"0"),STOCK!A:H,7,0),1)</f>
        <v>1</v>
      </c>
    </row>
    <row r="3986" spans="10:10" ht="35.450000000000003" hidden="1" customHeight="1">
      <c r="J3986" s="28">
        <f>IFERROR(VLOOKUP(TEXT(B3986,"0"),STOCK!A:H,7,0),1)</f>
        <v>1</v>
      </c>
    </row>
    <row r="3987" spans="10:10" ht="35.450000000000003" hidden="1" customHeight="1">
      <c r="J3987" s="28">
        <f>IFERROR(VLOOKUP(TEXT(B3987,"0"),STOCK!A:H,7,0),1)</f>
        <v>1</v>
      </c>
    </row>
    <row r="3988" spans="10:10" ht="35.450000000000003" hidden="1" customHeight="1">
      <c r="J3988" s="28">
        <f>IFERROR(VLOOKUP(TEXT(B3988,"0"),STOCK!A:H,7,0),1)</f>
        <v>1</v>
      </c>
    </row>
    <row r="3989" spans="10:10" ht="35.450000000000003" hidden="1" customHeight="1">
      <c r="J3989" s="28">
        <f>IFERROR(VLOOKUP(TEXT(B3989,"0"),STOCK!A:H,7,0),1)</f>
        <v>1</v>
      </c>
    </row>
    <row r="3990" spans="10:10" ht="35.450000000000003" hidden="1" customHeight="1">
      <c r="J3990" s="28">
        <f>IFERROR(VLOOKUP(TEXT(B3990,"0"),STOCK!A:H,7,0),1)</f>
        <v>1</v>
      </c>
    </row>
    <row r="3991" spans="10:10" ht="35.450000000000003" hidden="1" customHeight="1">
      <c r="J3991" s="28">
        <f>IFERROR(VLOOKUP(TEXT(B3991,"0"),STOCK!A:H,7,0),1)</f>
        <v>1</v>
      </c>
    </row>
    <row r="3992" spans="10:10" ht="35.450000000000003" hidden="1" customHeight="1">
      <c r="J3992" s="28">
        <f>IFERROR(VLOOKUP(TEXT(B3992,"0"),STOCK!A:H,7,0),1)</f>
        <v>1</v>
      </c>
    </row>
    <row r="3993" spans="10:10" ht="35.450000000000003" hidden="1" customHeight="1">
      <c r="J3993" s="28">
        <f>IFERROR(VLOOKUP(TEXT(B3993,"0"),STOCK!A:H,7,0),1)</f>
        <v>1</v>
      </c>
    </row>
    <row r="3994" spans="10:10" ht="35.450000000000003" hidden="1" customHeight="1">
      <c r="J3994" s="28">
        <f>IFERROR(VLOOKUP(TEXT(B3994,"0"),STOCK!A:H,7,0),1)</f>
        <v>1</v>
      </c>
    </row>
    <row r="3995" spans="10:10" ht="35.450000000000003" hidden="1" customHeight="1">
      <c r="J3995" s="28">
        <f>IFERROR(VLOOKUP(TEXT(B3995,"0"),STOCK!A:H,7,0),1)</f>
        <v>1</v>
      </c>
    </row>
    <row r="3996" spans="10:10" ht="35.450000000000003" hidden="1" customHeight="1">
      <c r="J3996" s="28">
        <f>IFERROR(VLOOKUP(TEXT(B3996,"0"),STOCK!A:H,7,0),1)</f>
        <v>1</v>
      </c>
    </row>
    <row r="3997" spans="10:10" ht="35.450000000000003" hidden="1" customHeight="1">
      <c r="J3997" s="28">
        <f>IFERROR(VLOOKUP(TEXT(B3997,"0"),STOCK!A:H,7,0),1)</f>
        <v>1</v>
      </c>
    </row>
    <row r="3998" spans="10:10" ht="35.450000000000003" hidden="1" customHeight="1">
      <c r="J3998" s="28">
        <f>IFERROR(VLOOKUP(TEXT(B3998,"0"),STOCK!A:H,7,0),1)</f>
        <v>1</v>
      </c>
    </row>
    <row r="3999" spans="10:10" ht="35.450000000000003" hidden="1" customHeight="1">
      <c r="J3999" s="28">
        <f>IFERROR(VLOOKUP(TEXT(B3999,"0"),STOCK!A:H,7,0),1)</f>
        <v>1</v>
      </c>
    </row>
    <row r="4000" spans="10:10" ht="35.450000000000003" hidden="1" customHeight="1">
      <c r="J4000" s="28">
        <f>IFERROR(VLOOKUP(TEXT(B4000,"0"),STOCK!A:H,7,0),1)</f>
        <v>1</v>
      </c>
    </row>
    <row r="4001" spans="10:10" ht="35.450000000000003" hidden="1" customHeight="1">
      <c r="J4001" s="28">
        <f>IFERROR(VLOOKUP(TEXT(B4001,"0"),STOCK!A:H,7,0),1)</f>
        <v>1</v>
      </c>
    </row>
    <row r="4002" spans="10:10" ht="35.450000000000003" hidden="1" customHeight="1">
      <c r="J4002" s="28">
        <f>IFERROR(VLOOKUP(TEXT(B4002,"0"),STOCK!A:H,7,0),1)</f>
        <v>1</v>
      </c>
    </row>
    <row r="4003" spans="10:10" ht="35.450000000000003" hidden="1" customHeight="1">
      <c r="J4003" s="28">
        <f>IFERROR(VLOOKUP(TEXT(B4003,"0"),STOCK!A:H,7,0),1)</f>
        <v>1</v>
      </c>
    </row>
    <row r="4004" spans="10:10" ht="35.450000000000003" hidden="1" customHeight="1">
      <c r="J4004" s="28">
        <f>IFERROR(VLOOKUP(TEXT(B4004,"0"),STOCK!A:H,7,0),1)</f>
        <v>1</v>
      </c>
    </row>
    <row r="4005" spans="10:10" ht="35.450000000000003" hidden="1" customHeight="1">
      <c r="J4005" s="28">
        <f>IFERROR(VLOOKUP(TEXT(B4005,"0"),STOCK!A:H,7,0),1)</f>
        <v>1</v>
      </c>
    </row>
    <row r="4006" spans="10:10" ht="35.450000000000003" hidden="1" customHeight="1">
      <c r="J4006" s="28">
        <f>IFERROR(VLOOKUP(TEXT(B4006,"0"),STOCK!A:H,7,0),1)</f>
        <v>1</v>
      </c>
    </row>
    <row r="4007" spans="10:10" ht="35.450000000000003" hidden="1" customHeight="1">
      <c r="J4007" s="28">
        <f>IFERROR(VLOOKUP(TEXT(B4007,"0"),STOCK!A:H,7,0),1)</f>
        <v>1</v>
      </c>
    </row>
    <row r="4008" spans="10:10" ht="35.450000000000003" hidden="1" customHeight="1">
      <c r="J4008" s="28">
        <f>IFERROR(VLOOKUP(TEXT(B4008,"0"),STOCK!A:H,7,0),1)</f>
        <v>1</v>
      </c>
    </row>
    <row r="4009" spans="10:10" ht="35.450000000000003" hidden="1" customHeight="1">
      <c r="J4009" s="28">
        <f>IFERROR(VLOOKUP(TEXT(B4009,"0"),STOCK!A:H,7,0),1)</f>
        <v>1</v>
      </c>
    </row>
    <row r="4010" spans="10:10" ht="35.450000000000003" hidden="1" customHeight="1">
      <c r="J4010" s="28">
        <f>IFERROR(VLOOKUP(TEXT(B4010,"0"),STOCK!A:H,7,0),1)</f>
        <v>1</v>
      </c>
    </row>
    <row r="4011" spans="10:10" ht="35.450000000000003" hidden="1" customHeight="1">
      <c r="J4011" s="28">
        <f>IFERROR(VLOOKUP(TEXT(B4011,"0"),STOCK!A:H,7,0),1)</f>
        <v>1</v>
      </c>
    </row>
    <row r="4012" spans="10:10" ht="35.450000000000003" hidden="1" customHeight="1">
      <c r="J4012" s="28">
        <f>IFERROR(VLOOKUP(TEXT(B4012,"0"),STOCK!A:H,7,0),1)</f>
        <v>1</v>
      </c>
    </row>
    <row r="4013" spans="10:10" ht="35.450000000000003" hidden="1" customHeight="1">
      <c r="J4013" s="28">
        <f>IFERROR(VLOOKUP(TEXT(B4013,"0"),STOCK!A:H,7,0),1)</f>
        <v>1</v>
      </c>
    </row>
    <row r="4014" spans="10:10" ht="35.450000000000003" hidden="1" customHeight="1">
      <c r="J4014" s="28">
        <f>IFERROR(VLOOKUP(TEXT(B4014,"0"),STOCK!A:H,7,0),1)</f>
        <v>1</v>
      </c>
    </row>
    <row r="4015" spans="10:10" ht="35.450000000000003" hidden="1" customHeight="1">
      <c r="J4015" s="28">
        <f>IFERROR(VLOOKUP(TEXT(B4015,"0"),STOCK!A:H,7,0),1)</f>
        <v>1</v>
      </c>
    </row>
    <row r="4016" spans="10:10" ht="35.450000000000003" hidden="1" customHeight="1">
      <c r="J4016" s="28">
        <f>IFERROR(VLOOKUP(TEXT(B4016,"0"),STOCK!A:H,7,0),1)</f>
        <v>1</v>
      </c>
    </row>
    <row r="4017" spans="10:10" ht="35.450000000000003" hidden="1" customHeight="1">
      <c r="J4017" s="28">
        <f>IFERROR(VLOOKUP(TEXT(B4017,"0"),STOCK!A:H,7,0),1)</f>
        <v>1</v>
      </c>
    </row>
    <row r="4018" spans="10:10" ht="35.450000000000003" hidden="1" customHeight="1">
      <c r="J4018" s="28">
        <f>IFERROR(VLOOKUP(TEXT(B4018,"0"),STOCK!A:H,7,0),1)</f>
        <v>1</v>
      </c>
    </row>
    <row r="4019" spans="10:10" ht="35.450000000000003" hidden="1" customHeight="1">
      <c r="J4019" s="28">
        <f>IFERROR(VLOOKUP(TEXT(B4019,"0"),STOCK!A:H,7,0),1)</f>
        <v>1</v>
      </c>
    </row>
    <row r="4020" spans="10:10" ht="35.450000000000003" hidden="1" customHeight="1">
      <c r="J4020" s="28">
        <f>IFERROR(VLOOKUP(TEXT(B4020,"0"),STOCK!A:H,7,0),1)</f>
        <v>1</v>
      </c>
    </row>
    <row r="4021" spans="10:10" ht="35.450000000000003" hidden="1" customHeight="1">
      <c r="J4021" s="28">
        <f>IFERROR(VLOOKUP(TEXT(B4021,"0"),STOCK!A:H,7,0),1)</f>
        <v>1</v>
      </c>
    </row>
    <row r="4022" spans="10:10" ht="35.450000000000003" hidden="1" customHeight="1">
      <c r="J4022" s="28">
        <f>IFERROR(VLOOKUP(TEXT(B4022,"0"),STOCK!A:H,7,0),1)</f>
        <v>1</v>
      </c>
    </row>
    <row r="4023" spans="10:10" ht="35.450000000000003" hidden="1" customHeight="1">
      <c r="J4023" s="28">
        <f>IFERROR(VLOOKUP(TEXT(B4023,"0"),STOCK!A:H,7,0),1)</f>
        <v>1</v>
      </c>
    </row>
    <row r="4024" spans="10:10" ht="35.450000000000003" hidden="1" customHeight="1">
      <c r="J4024" s="28">
        <f>IFERROR(VLOOKUP(TEXT(B4024,"0"),STOCK!A:H,7,0),1)</f>
        <v>1</v>
      </c>
    </row>
    <row r="4025" spans="10:10" ht="35.450000000000003" hidden="1" customHeight="1">
      <c r="J4025" s="28">
        <f>IFERROR(VLOOKUP(TEXT(B4025,"0"),STOCK!A:H,7,0),1)</f>
        <v>1</v>
      </c>
    </row>
    <row r="4026" spans="10:10" ht="35.450000000000003" hidden="1" customHeight="1">
      <c r="J4026" s="28">
        <f>IFERROR(VLOOKUP(TEXT(B4026,"0"),STOCK!A:H,7,0),1)</f>
        <v>1</v>
      </c>
    </row>
    <row r="4027" spans="10:10" ht="35.450000000000003" hidden="1" customHeight="1">
      <c r="J4027" s="28">
        <f>IFERROR(VLOOKUP(TEXT(B4027,"0"),STOCK!A:H,7,0),1)</f>
        <v>1</v>
      </c>
    </row>
    <row r="4028" spans="10:10" ht="35.450000000000003" hidden="1" customHeight="1">
      <c r="J4028" s="28">
        <f>IFERROR(VLOOKUP(TEXT(B4028,"0"),STOCK!A:H,7,0),1)</f>
        <v>1</v>
      </c>
    </row>
    <row r="4029" spans="10:10" ht="35.450000000000003" hidden="1" customHeight="1">
      <c r="J4029" s="28">
        <f>IFERROR(VLOOKUP(TEXT(B4029,"0"),STOCK!A:H,7,0),1)</f>
        <v>1</v>
      </c>
    </row>
    <row r="4030" spans="10:10" ht="35.450000000000003" hidden="1" customHeight="1">
      <c r="J4030" s="28">
        <f>IFERROR(VLOOKUP(TEXT(B4030,"0"),STOCK!A:H,7,0),1)</f>
        <v>1</v>
      </c>
    </row>
    <row r="4031" spans="10:10" ht="35.450000000000003" hidden="1" customHeight="1">
      <c r="J4031" s="28">
        <f>IFERROR(VLOOKUP(TEXT(B4031,"0"),STOCK!A:H,7,0),1)</f>
        <v>1</v>
      </c>
    </row>
    <row r="4032" spans="10:10" ht="35.450000000000003" hidden="1" customHeight="1">
      <c r="J4032" s="28">
        <f>IFERROR(VLOOKUP(TEXT(B4032,"0"),STOCK!A:H,7,0),1)</f>
        <v>1</v>
      </c>
    </row>
    <row r="4033" spans="10:10" ht="35.450000000000003" hidden="1" customHeight="1">
      <c r="J4033" s="28">
        <f>IFERROR(VLOOKUP(TEXT(B4033,"0"),STOCK!A:H,7,0),1)</f>
        <v>1</v>
      </c>
    </row>
    <row r="4034" spans="10:10" ht="35.450000000000003" hidden="1" customHeight="1">
      <c r="J4034" s="28">
        <f>IFERROR(VLOOKUP(TEXT(B4034,"0"),STOCK!A:H,7,0),1)</f>
        <v>1</v>
      </c>
    </row>
    <row r="4035" spans="10:10" ht="35.450000000000003" hidden="1" customHeight="1">
      <c r="J4035" s="28">
        <f>IFERROR(VLOOKUP(TEXT(B4035,"0"),STOCK!A:H,7,0),1)</f>
        <v>1</v>
      </c>
    </row>
    <row r="4036" spans="10:10" ht="35.450000000000003" hidden="1" customHeight="1">
      <c r="J4036" s="28">
        <f>IFERROR(VLOOKUP(TEXT(B4036,"0"),STOCK!A:H,7,0),1)</f>
        <v>1</v>
      </c>
    </row>
    <row r="4037" spans="10:10" ht="35.450000000000003" hidden="1" customHeight="1">
      <c r="J4037" s="28">
        <f>IFERROR(VLOOKUP(TEXT(B4037,"0"),STOCK!A:H,7,0),1)</f>
        <v>1</v>
      </c>
    </row>
    <row r="4038" spans="10:10" ht="35.450000000000003" hidden="1" customHeight="1">
      <c r="J4038" s="28">
        <f>IFERROR(VLOOKUP(TEXT(B4038,"0"),STOCK!A:H,7,0),1)</f>
        <v>1</v>
      </c>
    </row>
    <row r="4039" spans="10:10" ht="35.450000000000003" hidden="1" customHeight="1">
      <c r="J4039" s="28">
        <f>IFERROR(VLOOKUP(TEXT(B4039,"0"),STOCK!A:H,7,0),1)</f>
        <v>1</v>
      </c>
    </row>
    <row r="4040" spans="10:10" ht="35.450000000000003" hidden="1" customHeight="1">
      <c r="J4040" s="28">
        <f>IFERROR(VLOOKUP(TEXT(B4040,"0"),STOCK!A:H,7,0),1)</f>
        <v>1</v>
      </c>
    </row>
    <row r="4041" spans="10:10" ht="35.450000000000003" hidden="1" customHeight="1">
      <c r="J4041" s="28">
        <f>IFERROR(VLOOKUP(TEXT(B4041,"0"),STOCK!A:H,7,0),1)</f>
        <v>1</v>
      </c>
    </row>
    <row r="4042" spans="10:10" ht="35.450000000000003" hidden="1" customHeight="1">
      <c r="J4042" s="28">
        <f>IFERROR(VLOOKUP(TEXT(B4042,"0"),STOCK!A:H,7,0),1)</f>
        <v>1</v>
      </c>
    </row>
    <row r="4043" spans="10:10" ht="35.450000000000003" hidden="1" customHeight="1">
      <c r="J4043" s="28">
        <f>IFERROR(VLOOKUP(TEXT(B4043,"0"),STOCK!A:H,7,0),1)</f>
        <v>1</v>
      </c>
    </row>
    <row r="4044" spans="10:10" ht="35.450000000000003" hidden="1" customHeight="1">
      <c r="J4044" s="28">
        <f>IFERROR(VLOOKUP(TEXT(B4044,"0"),STOCK!A:H,7,0),1)</f>
        <v>1</v>
      </c>
    </row>
    <row r="4045" spans="10:10" ht="35.450000000000003" hidden="1" customHeight="1">
      <c r="J4045" s="28">
        <f>IFERROR(VLOOKUP(TEXT(B4045,"0"),STOCK!A:H,7,0),1)</f>
        <v>1</v>
      </c>
    </row>
    <row r="4046" spans="10:10" ht="35.450000000000003" hidden="1" customHeight="1">
      <c r="J4046" s="28">
        <f>IFERROR(VLOOKUP(TEXT(B4046,"0"),STOCK!A:H,7,0),1)</f>
        <v>1</v>
      </c>
    </row>
    <row r="4047" spans="10:10" ht="35.450000000000003" hidden="1" customHeight="1">
      <c r="J4047" s="28">
        <f>IFERROR(VLOOKUP(TEXT(B4047,"0"),STOCK!A:H,7,0),1)</f>
        <v>1</v>
      </c>
    </row>
    <row r="4048" spans="10:10" ht="35.450000000000003" hidden="1" customHeight="1">
      <c r="J4048" s="28">
        <f>IFERROR(VLOOKUP(TEXT(B4048,"0"),STOCK!A:H,7,0),1)</f>
        <v>1</v>
      </c>
    </row>
    <row r="4049" spans="10:10" ht="35.450000000000003" hidden="1" customHeight="1">
      <c r="J4049" s="28">
        <f>IFERROR(VLOOKUP(TEXT(B4049,"0"),STOCK!A:H,7,0),1)</f>
        <v>1</v>
      </c>
    </row>
    <row r="4050" spans="10:10" ht="35.450000000000003" hidden="1" customHeight="1">
      <c r="J4050" s="28">
        <f>IFERROR(VLOOKUP(TEXT(B4050,"0"),STOCK!A:H,7,0),1)</f>
        <v>1</v>
      </c>
    </row>
    <row r="4051" spans="10:10" ht="35.450000000000003" hidden="1" customHeight="1">
      <c r="J4051" s="28">
        <f>IFERROR(VLOOKUP(TEXT(B4051,"0"),STOCK!A:H,7,0),1)</f>
        <v>1</v>
      </c>
    </row>
    <row r="4052" spans="10:10" ht="35.450000000000003" hidden="1" customHeight="1">
      <c r="J4052" s="28">
        <f>IFERROR(VLOOKUP(TEXT(B4052,"0"),STOCK!A:H,7,0),1)</f>
        <v>1</v>
      </c>
    </row>
    <row r="4053" spans="10:10" ht="35.450000000000003" hidden="1" customHeight="1">
      <c r="J4053" s="28">
        <f>IFERROR(VLOOKUP(TEXT(B4053,"0"),STOCK!A:H,7,0),1)</f>
        <v>1</v>
      </c>
    </row>
    <row r="4054" spans="10:10" ht="35.450000000000003" hidden="1" customHeight="1">
      <c r="J4054" s="28">
        <f>IFERROR(VLOOKUP(TEXT(B4054,"0"),STOCK!A:H,7,0),1)</f>
        <v>1</v>
      </c>
    </row>
    <row r="4055" spans="10:10" ht="35.450000000000003" hidden="1" customHeight="1">
      <c r="J4055" s="28">
        <f>IFERROR(VLOOKUP(TEXT(B4055,"0"),STOCK!A:H,7,0),1)</f>
        <v>1</v>
      </c>
    </row>
    <row r="4056" spans="10:10" ht="35.450000000000003" hidden="1" customHeight="1">
      <c r="J4056" s="28">
        <f>IFERROR(VLOOKUP(TEXT(B4056,"0"),STOCK!A:H,7,0),1)</f>
        <v>1</v>
      </c>
    </row>
    <row r="4057" spans="10:10" ht="35.450000000000003" hidden="1" customHeight="1">
      <c r="J4057" s="28">
        <f>IFERROR(VLOOKUP(TEXT(B4057,"0"),STOCK!A:H,7,0),1)</f>
        <v>1</v>
      </c>
    </row>
    <row r="4058" spans="10:10" ht="35.450000000000003" hidden="1" customHeight="1">
      <c r="J4058" s="28">
        <f>IFERROR(VLOOKUP(TEXT(B4058,"0"),STOCK!A:H,7,0),1)</f>
        <v>1</v>
      </c>
    </row>
    <row r="4059" spans="10:10" ht="35.450000000000003" hidden="1" customHeight="1">
      <c r="J4059" s="28">
        <f>IFERROR(VLOOKUP(TEXT(B4059,"0"),STOCK!A:H,7,0),1)</f>
        <v>1</v>
      </c>
    </row>
    <row r="4060" spans="10:10" ht="35.450000000000003" hidden="1" customHeight="1">
      <c r="J4060" s="28">
        <f>IFERROR(VLOOKUP(TEXT(B4060,"0"),STOCK!A:H,7,0),1)</f>
        <v>1</v>
      </c>
    </row>
    <row r="4061" spans="10:10" ht="35.450000000000003" hidden="1" customHeight="1">
      <c r="J4061" s="28">
        <f>IFERROR(VLOOKUP(TEXT(B4061,"0"),STOCK!A:H,7,0),1)</f>
        <v>1</v>
      </c>
    </row>
    <row r="4062" spans="10:10" ht="35.450000000000003" hidden="1" customHeight="1">
      <c r="J4062" s="28">
        <f>IFERROR(VLOOKUP(TEXT(B4062,"0"),STOCK!A:H,7,0),1)</f>
        <v>1</v>
      </c>
    </row>
    <row r="4063" spans="10:10" ht="35.450000000000003" hidden="1" customHeight="1">
      <c r="J4063" s="28">
        <f>IFERROR(VLOOKUP(TEXT(B4063,"0"),STOCK!A:H,7,0),1)</f>
        <v>1</v>
      </c>
    </row>
    <row r="4064" spans="10:10" ht="35.450000000000003" hidden="1" customHeight="1">
      <c r="J4064" s="28">
        <f>IFERROR(VLOOKUP(TEXT(B4064,"0"),STOCK!A:H,7,0),1)</f>
        <v>1</v>
      </c>
    </row>
    <row r="4065" spans="10:10" ht="35.450000000000003" hidden="1" customHeight="1">
      <c r="J4065" s="28">
        <f>IFERROR(VLOOKUP(TEXT(B4065,"0"),STOCK!A:H,7,0),1)</f>
        <v>1</v>
      </c>
    </row>
    <row r="4066" spans="10:10" ht="35.450000000000003" hidden="1" customHeight="1">
      <c r="J4066" s="28">
        <f>IFERROR(VLOOKUP(TEXT(B4066,"0"),STOCK!A:H,7,0),1)</f>
        <v>1</v>
      </c>
    </row>
    <row r="4067" spans="10:10" ht="35.450000000000003" hidden="1" customHeight="1">
      <c r="J4067" s="28">
        <f>IFERROR(VLOOKUP(TEXT(B4067,"0"),STOCK!A:H,7,0),1)</f>
        <v>1</v>
      </c>
    </row>
    <row r="4068" spans="10:10" ht="35.450000000000003" hidden="1" customHeight="1">
      <c r="J4068" s="28">
        <f>IFERROR(VLOOKUP(TEXT(B4068,"0"),STOCK!A:H,7,0),1)</f>
        <v>1</v>
      </c>
    </row>
    <row r="4069" spans="10:10" ht="35.450000000000003" hidden="1" customHeight="1">
      <c r="J4069" s="28">
        <f>IFERROR(VLOOKUP(TEXT(B4069,"0"),STOCK!A:H,7,0),1)</f>
        <v>1</v>
      </c>
    </row>
    <row r="4070" spans="10:10" ht="35.450000000000003" hidden="1" customHeight="1">
      <c r="J4070" s="28">
        <f>IFERROR(VLOOKUP(TEXT(B4070,"0"),STOCK!A:H,7,0),1)</f>
        <v>1</v>
      </c>
    </row>
    <row r="4071" spans="10:10" ht="35.450000000000003" hidden="1" customHeight="1">
      <c r="J4071" s="28">
        <f>IFERROR(VLOOKUP(TEXT(B4071,"0"),STOCK!A:H,7,0),1)</f>
        <v>1</v>
      </c>
    </row>
    <row r="4072" spans="10:10" ht="35.450000000000003" hidden="1" customHeight="1">
      <c r="J4072" s="28">
        <f>IFERROR(VLOOKUP(TEXT(B4072,"0"),STOCK!A:H,7,0),1)</f>
        <v>1</v>
      </c>
    </row>
    <row r="4073" spans="10:10" ht="35.450000000000003" hidden="1" customHeight="1">
      <c r="J4073" s="28">
        <f>IFERROR(VLOOKUP(TEXT(B4073,"0"),STOCK!A:H,7,0),1)</f>
        <v>1</v>
      </c>
    </row>
    <row r="4074" spans="10:10" ht="35.450000000000003" hidden="1" customHeight="1">
      <c r="J4074" s="28">
        <f>IFERROR(VLOOKUP(TEXT(B4074,"0"),STOCK!A:H,7,0),1)</f>
        <v>1</v>
      </c>
    </row>
    <row r="4075" spans="10:10" ht="35.450000000000003" hidden="1" customHeight="1">
      <c r="J4075" s="28">
        <f>IFERROR(VLOOKUP(TEXT(B4075,"0"),STOCK!A:H,7,0),1)</f>
        <v>1</v>
      </c>
    </row>
    <row r="4076" spans="10:10" ht="35.450000000000003" hidden="1" customHeight="1">
      <c r="J4076" s="28">
        <f>IFERROR(VLOOKUP(TEXT(B4076,"0"),STOCK!A:H,7,0),1)</f>
        <v>1</v>
      </c>
    </row>
    <row r="4077" spans="10:10" ht="35.450000000000003" hidden="1" customHeight="1">
      <c r="J4077" s="28">
        <f>IFERROR(VLOOKUP(TEXT(B4077,"0"),STOCK!A:H,7,0),1)</f>
        <v>1</v>
      </c>
    </row>
    <row r="4078" spans="10:10" ht="35.450000000000003" hidden="1" customHeight="1">
      <c r="J4078" s="28">
        <f>IFERROR(VLOOKUP(TEXT(B4078,"0"),STOCK!A:H,7,0),1)</f>
        <v>1</v>
      </c>
    </row>
    <row r="4079" spans="10:10" ht="35.450000000000003" hidden="1" customHeight="1">
      <c r="J4079" s="28">
        <f>IFERROR(VLOOKUP(TEXT(B4079,"0"),STOCK!A:H,7,0),1)</f>
        <v>1</v>
      </c>
    </row>
    <row r="4080" spans="10:10" ht="35.450000000000003" hidden="1" customHeight="1">
      <c r="J4080" s="28">
        <f>IFERROR(VLOOKUP(TEXT(B4080,"0"),STOCK!A:H,7,0),1)</f>
        <v>1</v>
      </c>
    </row>
    <row r="4081" spans="10:10" ht="35.450000000000003" hidden="1" customHeight="1">
      <c r="J4081" s="28">
        <f>IFERROR(VLOOKUP(TEXT(B4081,"0"),STOCK!A:H,7,0),1)</f>
        <v>1</v>
      </c>
    </row>
    <row r="4082" spans="10:10" ht="35.450000000000003" hidden="1" customHeight="1">
      <c r="J4082" s="28">
        <f>IFERROR(VLOOKUP(TEXT(B4082,"0"),STOCK!A:H,7,0),1)</f>
        <v>1</v>
      </c>
    </row>
    <row r="4083" spans="10:10" ht="35.450000000000003" hidden="1" customHeight="1">
      <c r="J4083" s="28">
        <f>IFERROR(VLOOKUP(TEXT(B4083,"0"),STOCK!A:H,7,0),1)</f>
        <v>1</v>
      </c>
    </row>
    <row r="4084" spans="10:10" ht="35.450000000000003" hidden="1" customHeight="1">
      <c r="J4084" s="28">
        <f>IFERROR(VLOOKUP(TEXT(B4084,"0"),STOCK!A:H,7,0),1)</f>
        <v>1</v>
      </c>
    </row>
    <row r="4085" spans="10:10" ht="35.450000000000003" hidden="1" customHeight="1">
      <c r="J4085" s="28">
        <f>IFERROR(VLOOKUP(TEXT(B4085,"0"),STOCK!A:H,7,0),1)</f>
        <v>1</v>
      </c>
    </row>
    <row r="4086" spans="10:10" ht="35.450000000000003" hidden="1" customHeight="1">
      <c r="J4086" s="28">
        <f>IFERROR(VLOOKUP(TEXT(B4086,"0"),STOCK!A:H,7,0),1)</f>
        <v>1</v>
      </c>
    </row>
    <row r="4087" spans="10:10" ht="35.450000000000003" hidden="1" customHeight="1">
      <c r="J4087" s="28">
        <f>IFERROR(VLOOKUP(TEXT(B4087,"0"),STOCK!A:H,7,0),1)</f>
        <v>1</v>
      </c>
    </row>
    <row r="4088" spans="10:10" ht="35.450000000000003" hidden="1" customHeight="1">
      <c r="J4088" s="28">
        <f>IFERROR(VLOOKUP(TEXT(B4088,"0"),STOCK!A:H,7,0),1)</f>
        <v>1</v>
      </c>
    </row>
    <row r="4089" spans="10:10" ht="35.450000000000003" hidden="1" customHeight="1">
      <c r="J4089" s="28">
        <f>IFERROR(VLOOKUP(TEXT(B4089,"0"),STOCK!A:H,7,0),1)</f>
        <v>1</v>
      </c>
    </row>
    <row r="4090" spans="10:10" ht="35.450000000000003" hidden="1" customHeight="1">
      <c r="J4090" s="28">
        <f>IFERROR(VLOOKUP(TEXT(B4090,"0"),STOCK!A:H,7,0),1)</f>
        <v>1</v>
      </c>
    </row>
    <row r="4091" spans="10:10" ht="35.450000000000003" hidden="1" customHeight="1">
      <c r="J4091" s="28">
        <f>IFERROR(VLOOKUP(TEXT(B4091,"0"),STOCK!A:H,7,0),1)</f>
        <v>1</v>
      </c>
    </row>
    <row r="4092" spans="10:10" ht="35.450000000000003" hidden="1" customHeight="1">
      <c r="J4092" s="28">
        <f>IFERROR(VLOOKUP(TEXT(B4092,"0"),STOCK!A:H,7,0),1)</f>
        <v>1</v>
      </c>
    </row>
    <row r="4093" spans="10:10" ht="35.450000000000003" hidden="1" customHeight="1">
      <c r="J4093" s="28">
        <f>IFERROR(VLOOKUP(TEXT(B4093,"0"),STOCK!A:H,7,0),1)</f>
        <v>1</v>
      </c>
    </row>
    <row r="4094" spans="10:10" ht="35.450000000000003" hidden="1" customHeight="1">
      <c r="J4094" s="28">
        <f>IFERROR(VLOOKUP(TEXT(B4094,"0"),STOCK!A:H,7,0),1)</f>
        <v>1</v>
      </c>
    </row>
    <row r="4095" spans="10:10" ht="35.450000000000003" hidden="1" customHeight="1">
      <c r="J4095" s="28">
        <f>IFERROR(VLOOKUP(TEXT(B4095,"0"),STOCK!A:H,7,0),1)</f>
        <v>1</v>
      </c>
    </row>
    <row r="4096" spans="10:10" ht="35.450000000000003" hidden="1" customHeight="1">
      <c r="J4096" s="28">
        <f>IFERROR(VLOOKUP(TEXT(B4096,"0"),STOCK!A:H,7,0),1)</f>
        <v>1</v>
      </c>
    </row>
    <row r="4097" spans="10:10" ht="35.450000000000003" hidden="1" customHeight="1">
      <c r="J4097" s="28">
        <f>IFERROR(VLOOKUP(TEXT(B4097,"0"),STOCK!A:H,7,0),1)</f>
        <v>1</v>
      </c>
    </row>
    <row r="4098" spans="10:10" ht="35.450000000000003" hidden="1" customHeight="1">
      <c r="J4098" s="28">
        <f>IFERROR(VLOOKUP(TEXT(B4098,"0"),STOCK!A:H,7,0),1)</f>
        <v>1</v>
      </c>
    </row>
    <row r="4099" spans="10:10" ht="35.450000000000003" hidden="1" customHeight="1">
      <c r="J4099" s="28">
        <f>IFERROR(VLOOKUP(TEXT(B4099,"0"),STOCK!A:H,7,0),1)</f>
        <v>1</v>
      </c>
    </row>
    <row r="4100" spans="10:10" ht="35.450000000000003" hidden="1" customHeight="1">
      <c r="J4100" s="28">
        <f>IFERROR(VLOOKUP(TEXT(B4100,"0"),STOCK!A:H,7,0),1)</f>
        <v>1</v>
      </c>
    </row>
    <row r="4101" spans="10:10" ht="35.450000000000003" hidden="1" customHeight="1">
      <c r="J4101" s="28">
        <f>IFERROR(VLOOKUP(TEXT(B4101,"0"),STOCK!A:H,7,0),1)</f>
        <v>1</v>
      </c>
    </row>
    <row r="4102" spans="10:10" ht="35.450000000000003" hidden="1" customHeight="1">
      <c r="J4102" s="28">
        <f>IFERROR(VLOOKUP(TEXT(B4102,"0"),STOCK!A:H,7,0),1)</f>
        <v>1</v>
      </c>
    </row>
    <row r="4103" spans="10:10" ht="35.450000000000003" hidden="1" customHeight="1">
      <c r="J4103" s="28">
        <f>IFERROR(VLOOKUP(TEXT(B4103,"0"),STOCK!A:H,7,0),1)</f>
        <v>1</v>
      </c>
    </row>
    <row r="4104" spans="10:10" ht="35.450000000000003" hidden="1" customHeight="1">
      <c r="J4104" s="28">
        <f>IFERROR(VLOOKUP(TEXT(B4104,"0"),STOCK!A:H,7,0),1)</f>
        <v>1</v>
      </c>
    </row>
    <row r="4105" spans="10:10" ht="35.450000000000003" hidden="1" customHeight="1">
      <c r="J4105" s="28">
        <f>IFERROR(VLOOKUP(TEXT(B4105,"0"),STOCK!A:H,7,0),1)</f>
        <v>1</v>
      </c>
    </row>
    <row r="4106" spans="10:10" ht="35.450000000000003" hidden="1" customHeight="1">
      <c r="J4106" s="28">
        <f>IFERROR(VLOOKUP(TEXT(B4106,"0"),STOCK!A:H,7,0),1)</f>
        <v>1</v>
      </c>
    </row>
    <row r="4107" spans="10:10" ht="35.450000000000003" hidden="1" customHeight="1">
      <c r="J4107" s="28">
        <f>IFERROR(VLOOKUP(TEXT(B4107,"0"),STOCK!A:H,7,0),1)</f>
        <v>1</v>
      </c>
    </row>
    <row r="4108" spans="10:10" ht="35.450000000000003" hidden="1" customHeight="1">
      <c r="J4108" s="28">
        <f>IFERROR(VLOOKUP(TEXT(B4108,"0"),STOCK!A:H,7,0),1)</f>
        <v>1</v>
      </c>
    </row>
    <row r="4109" spans="10:10" ht="35.450000000000003" hidden="1" customHeight="1">
      <c r="J4109" s="28">
        <f>IFERROR(VLOOKUP(TEXT(B4109,"0"),STOCK!A:H,7,0),1)</f>
        <v>1</v>
      </c>
    </row>
    <row r="4110" spans="10:10" ht="35.450000000000003" hidden="1" customHeight="1">
      <c r="J4110" s="28">
        <f>IFERROR(VLOOKUP(TEXT(B4110,"0"),STOCK!A:H,7,0),1)</f>
        <v>1</v>
      </c>
    </row>
    <row r="4111" spans="10:10" ht="35.450000000000003" hidden="1" customHeight="1">
      <c r="J4111" s="28">
        <f>IFERROR(VLOOKUP(TEXT(B4111,"0"),STOCK!A:H,7,0),1)</f>
        <v>1</v>
      </c>
    </row>
    <row r="4112" spans="10:10" ht="35.450000000000003" hidden="1" customHeight="1">
      <c r="J4112" s="28">
        <f>IFERROR(VLOOKUP(TEXT(B4112,"0"),STOCK!A:H,7,0),1)</f>
        <v>1</v>
      </c>
    </row>
    <row r="4113" spans="10:10" ht="35.450000000000003" hidden="1" customHeight="1">
      <c r="J4113" s="28">
        <f>IFERROR(VLOOKUP(TEXT(B4113,"0"),STOCK!A:H,7,0),1)</f>
        <v>1</v>
      </c>
    </row>
    <row r="4114" spans="10:10" ht="35.450000000000003" hidden="1" customHeight="1">
      <c r="J4114" s="28">
        <f>IFERROR(VLOOKUP(TEXT(B4114,"0"),STOCK!A:H,7,0),1)</f>
        <v>1</v>
      </c>
    </row>
    <row r="4115" spans="10:10" ht="35.450000000000003" hidden="1" customHeight="1">
      <c r="J4115" s="28">
        <f>IFERROR(VLOOKUP(TEXT(B4115,"0"),STOCK!A:H,7,0),1)</f>
        <v>1</v>
      </c>
    </row>
    <row r="4116" spans="10:10" ht="35.450000000000003" hidden="1" customHeight="1">
      <c r="J4116" s="28">
        <f>IFERROR(VLOOKUP(TEXT(B4116,"0"),STOCK!A:H,7,0),1)</f>
        <v>1</v>
      </c>
    </row>
    <row r="4117" spans="10:10" ht="35.450000000000003" hidden="1" customHeight="1">
      <c r="J4117" s="28">
        <f>IFERROR(VLOOKUP(TEXT(B4117,"0"),STOCK!A:H,7,0),1)</f>
        <v>1</v>
      </c>
    </row>
    <row r="4118" spans="10:10" ht="35.450000000000003" hidden="1" customHeight="1">
      <c r="J4118" s="28">
        <f>IFERROR(VLOOKUP(TEXT(B4118,"0"),STOCK!A:H,7,0),1)</f>
        <v>1</v>
      </c>
    </row>
    <row r="4119" spans="10:10" ht="35.450000000000003" hidden="1" customHeight="1">
      <c r="J4119" s="28">
        <f>IFERROR(VLOOKUP(TEXT(B4119,"0"),STOCK!A:H,7,0),1)</f>
        <v>1</v>
      </c>
    </row>
    <row r="4120" spans="10:10" ht="35.450000000000003" hidden="1" customHeight="1">
      <c r="J4120" s="28">
        <f>IFERROR(VLOOKUP(TEXT(B4120,"0"),STOCK!A:H,7,0),1)</f>
        <v>1</v>
      </c>
    </row>
    <row r="4121" spans="10:10" ht="35.450000000000003" hidden="1" customHeight="1">
      <c r="J4121" s="28">
        <f>IFERROR(VLOOKUP(TEXT(B4121,"0"),STOCK!A:H,7,0),1)</f>
        <v>1</v>
      </c>
    </row>
    <row r="4122" spans="10:10" ht="35.450000000000003" hidden="1" customHeight="1">
      <c r="J4122" s="28">
        <f>IFERROR(VLOOKUP(TEXT(B4122,"0"),STOCK!A:H,7,0),1)</f>
        <v>1</v>
      </c>
    </row>
    <row r="4123" spans="10:10" ht="35.450000000000003" hidden="1" customHeight="1">
      <c r="J4123" s="28">
        <f>IFERROR(VLOOKUP(TEXT(B4123,"0"),STOCK!A:H,7,0),1)</f>
        <v>1</v>
      </c>
    </row>
    <row r="4124" spans="10:10" ht="35.450000000000003" hidden="1" customHeight="1">
      <c r="J4124" s="28">
        <f>IFERROR(VLOOKUP(TEXT(B4124,"0"),STOCK!A:H,7,0),1)</f>
        <v>1</v>
      </c>
    </row>
    <row r="4125" spans="10:10" ht="35.450000000000003" hidden="1" customHeight="1">
      <c r="J4125" s="28">
        <f>IFERROR(VLOOKUP(TEXT(B4125,"0"),STOCK!A:H,7,0),1)</f>
        <v>1</v>
      </c>
    </row>
    <row r="4126" spans="10:10" ht="35.450000000000003" hidden="1" customHeight="1">
      <c r="J4126" s="28">
        <f>IFERROR(VLOOKUP(TEXT(B4126,"0"),STOCK!A:H,7,0),1)</f>
        <v>1</v>
      </c>
    </row>
    <row r="4127" spans="10:10" ht="35.450000000000003" hidden="1" customHeight="1">
      <c r="J4127" s="28">
        <f>IFERROR(VLOOKUP(TEXT(B4127,"0"),STOCK!A:H,7,0),1)</f>
        <v>1</v>
      </c>
    </row>
    <row r="4128" spans="10:10" ht="35.450000000000003" hidden="1" customHeight="1">
      <c r="J4128" s="28">
        <f>IFERROR(VLOOKUP(TEXT(B4128,"0"),STOCK!A:H,7,0),1)</f>
        <v>1</v>
      </c>
    </row>
    <row r="4129" spans="10:10" ht="35.450000000000003" hidden="1" customHeight="1">
      <c r="J4129" s="28">
        <f>IFERROR(VLOOKUP(TEXT(B4129,"0"),STOCK!A:H,7,0),1)</f>
        <v>1</v>
      </c>
    </row>
    <row r="4130" spans="10:10" ht="35.450000000000003" hidden="1" customHeight="1">
      <c r="J4130" s="28">
        <f>IFERROR(VLOOKUP(TEXT(B4130,"0"),STOCK!A:H,7,0),1)</f>
        <v>1</v>
      </c>
    </row>
    <row r="4131" spans="10:10" ht="35.450000000000003" hidden="1" customHeight="1">
      <c r="J4131" s="28">
        <f>IFERROR(VLOOKUP(TEXT(B4131,"0"),STOCK!A:H,7,0),1)</f>
        <v>1</v>
      </c>
    </row>
    <row r="4132" spans="10:10" ht="35.450000000000003" hidden="1" customHeight="1">
      <c r="J4132" s="28">
        <f>IFERROR(VLOOKUP(TEXT(B4132,"0"),STOCK!A:H,7,0),1)</f>
        <v>1</v>
      </c>
    </row>
    <row r="4133" spans="10:10" ht="35.450000000000003" hidden="1" customHeight="1">
      <c r="J4133" s="28">
        <f>IFERROR(VLOOKUP(TEXT(B4133,"0"),STOCK!A:H,7,0),1)</f>
        <v>1</v>
      </c>
    </row>
    <row r="4134" spans="10:10" ht="35.450000000000003" hidden="1" customHeight="1">
      <c r="J4134" s="28">
        <f>IFERROR(VLOOKUP(TEXT(B4134,"0"),STOCK!A:H,7,0),1)</f>
        <v>1</v>
      </c>
    </row>
    <row r="4135" spans="10:10" ht="35.450000000000003" hidden="1" customHeight="1">
      <c r="J4135" s="28">
        <f>IFERROR(VLOOKUP(TEXT(B4135,"0"),STOCK!A:H,7,0),1)</f>
        <v>1</v>
      </c>
    </row>
    <row r="4136" spans="10:10" ht="35.450000000000003" hidden="1" customHeight="1">
      <c r="J4136" s="28">
        <f>IFERROR(VLOOKUP(TEXT(B4136,"0"),STOCK!A:H,7,0),1)</f>
        <v>1</v>
      </c>
    </row>
    <row r="4137" spans="10:10" ht="35.450000000000003" hidden="1" customHeight="1">
      <c r="J4137" s="28">
        <f>IFERROR(VLOOKUP(TEXT(B4137,"0"),STOCK!A:H,7,0),1)</f>
        <v>1</v>
      </c>
    </row>
    <row r="4138" spans="10:10" ht="35.450000000000003" hidden="1" customHeight="1">
      <c r="J4138" s="28">
        <f>IFERROR(VLOOKUP(TEXT(B4138,"0"),STOCK!A:H,7,0),1)</f>
        <v>1</v>
      </c>
    </row>
    <row r="4139" spans="10:10" ht="35.450000000000003" hidden="1" customHeight="1">
      <c r="J4139" s="28">
        <f>IFERROR(VLOOKUP(TEXT(B4139,"0"),STOCK!A:H,7,0),1)</f>
        <v>1</v>
      </c>
    </row>
    <row r="4140" spans="10:10" ht="35.450000000000003" hidden="1" customHeight="1">
      <c r="J4140" s="28">
        <f>IFERROR(VLOOKUP(TEXT(B4140,"0"),STOCK!A:H,7,0),1)</f>
        <v>1</v>
      </c>
    </row>
    <row r="4141" spans="10:10" ht="35.450000000000003" hidden="1" customHeight="1">
      <c r="J4141" s="28">
        <f>IFERROR(VLOOKUP(TEXT(B4141,"0"),STOCK!A:H,7,0),1)</f>
        <v>1</v>
      </c>
    </row>
    <row r="4142" spans="10:10" ht="35.450000000000003" hidden="1" customHeight="1">
      <c r="J4142" s="28">
        <f>IFERROR(VLOOKUP(TEXT(B4142,"0"),STOCK!A:H,7,0),1)</f>
        <v>1</v>
      </c>
    </row>
    <row r="4143" spans="10:10" ht="35.450000000000003" hidden="1" customHeight="1">
      <c r="J4143" s="28">
        <f>IFERROR(VLOOKUP(TEXT(B4143,"0"),STOCK!A:H,7,0),1)</f>
        <v>1</v>
      </c>
    </row>
    <row r="4144" spans="10:10" ht="35.450000000000003" hidden="1" customHeight="1">
      <c r="J4144" s="28">
        <f>IFERROR(VLOOKUP(TEXT(B4144,"0"),STOCK!A:H,7,0),1)</f>
        <v>1</v>
      </c>
    </row>
    <row r="4145" spans="10:10" ht="35.450000000000003" hidden="1" customHeight="1">
      <c r="J4145" s="28">
        <f>IFERROR(VLOOKUP(TEXT(B4145,"0"),STOCK!A:H,7,0),1)</f>
        <v>1</v>
      </c>
    </row>
    <row r="4146" spans="10:10" ht="35.450000000000003" hidden="1" customHeight="1">
      <c r="J4146" s="28">
        <f>IFERROR(VLOOKUP(TEXT(B4146,"0"),STOCK!A:H,7,0),1)</f>
        <v>1</v>
      </c>
    </row>
    <row r="4147" spans="10:10" ht="35.450000000000003" hidden="1" customHeight="1">
      <c r="J4147" s="28">
        <f>IFERROR(VLOOKUP(TEXT(B4147,"0"),STOCK!A:H,7,0),1)</f>
        <v>1</v>
      </c>
    </row>
    <row r="4148" spans="10:10" ht="35.450000000000003" hidden="1" customHeight="1">
      <c r="J4148" s="28">
        <f>IFERROR(VLOOKUP(TEXT(B4148,"0"),STOCK!A:H,7,0),1)</f>
        <v>1</v>
      </c>
    </row>
    <row r="4149" spans="10:10" ht="35.450000000000003" hidden="1" customHeight="1">
      <c r="J4149" s="28">
        <f>IFERROR(VLOOKUP(TEXT(B4149,"0"),STOCK!A:H,7,0),1)</f>
        <v>1</v>
      </c>
    </row>
    <row r="4150" spans="10:10" ht="35.450000000000003" hidden="1" customHeight="1">
      <c r="J4150" s="28">
        <f>IFERROR(VLOOKUP(TEXT(B4150,"0"),STOCK!A:H,7,0),1)</f>
        <v>1</v>
      </c>
    </row>
    <row r="4151" spans="10:10" ht="35.450000000000003" hidden="1" customHeight="1">
      <c r="J4151" s="28">
        <f>IFERROR(VLOOKUP(TEXT(B4151,"0"),STOCK!A:H,7,0),1)</f>
        <v>1</v>
      </c>
    </row>
    <row r="4152" spans="10:10" ht="35.450000000000003" hidden="1" customHeight="1">
      <c r="J4152" s="28">
        <f>IFERROR(VLOOKUP(TEXT(B4152,"0"),STOCK!A:H,7,0),1)</f>
        <v>1</v>
      </c>
    </row>
    <row r="4153" spans="10:10" ht="35.450000000000003" hidden="1" customHeight="1">
      <c r="J4153" s="28">
        <f>IFERROR(VLOOKUP(TEXT(B4153,"0"),STOCK!A:H,7,0),1)</f>
        <v>1</v>
      </c>
    </row>
    <row r="4154" spans="10:10" ht="35.450000000000003" hidden="1" customHeight="1">
      <c r="J4154" s="28">
        <f>IFERROR(VLOOKUP(TEXT(B4154,"0"),STOCK!A:H,7,0),1)</f>
        <v>1</v>
      </c>
    </row>
    <row r="4155" spans="10:10" ht="35.450000000000003" hidden="1" customHeight="1">
      <c r="J4155" s="28">
        <f>IFERROR(VLOOKUP(TEXT(B4155,"0"),STOCK!A:H,7,0),1)</f>
        <v>1</v>
      </c>
    </row>
    <row r="4156" spans="10:10" ht="35.450000000000003" hidden="1" customHeight="1">
      <c r="J4156" s="28">
        <f>IFERROR(VLOOKUP(TEXT(B4156,"0"),STOCK!A:H,7,0),1)</f>
        <v>1</v>
      </c>
    </row>
    <row r="4157" spans="10:10" ht="35.450000000000003" hidden="1" customHeight="1">
      <c r="J4157" s="28">
        <f>IFERROR(VLOOKUP(TEXT(B4157,"0"),STOCK!A:H,7,0),1)</f>
        <v>1</v>
      </c>
    </row>
    <row r="4158" spans="10:10" ht="35.450000000000003" hidden="1" customHeight="1">
      <c r="J4158" s="28">
        <f>IFERROR(VLOOKUP(TEXT(B4158,"0"),STOCK!A:H,7,0),1)</f>
        <v>1</v>
      </c>
    </row>
    <row r="4159" spans="10:10" ht="35.450000000000003" hidden="1" customHeight="1">
      <c r="J4159" s="28">
        <f>IFERROR(VLOOKUP(TEXT(B4159,"0"),STOCK!A:H,7,0),1)</f>
        <v>1</v>
      </c>
    </row>
    <row r="4160" spans="10:10" ht="35.450000000000003" hidden="1" customHeight="1">
      <c r="J4160" s="28">
        <f>IFERROR(VLOOKUP(TEXT(B4160,"0"),STOCK!A:H,7,0),1)</f>
        <v>1</v>
      </c>
    </row>
    <row r="4161" spans="10:10" ht="35.450000000000003" hidden="1" customHeight="1">
      <c r="J4161" s="28">
        <f>IFERROR(VLOOKUP(TEXT(B4161,"0"),STOCK!A:H,7,0),1)</f>
        <v>1</v>
      </c>
    </row>
    <row r="4162" spans="10:10" ht="35.450000000000003" hidden="1" customHeight="1">
      <c r="J4162" s="28">
        <f>IFERROR(VLOOKUP(TEXT(B4162,"0"),STOCK!A:H,7,0),1)</f>
        <v>1</v>
      </c>
    </row>
    <row r="4163" spans="10:10" ht="35.450000000000003" hidden="1" customHeight="1">
      <c r="J4163" s="28">
        <f>IFERROR(VLOOKUP(TEXT(B4163,"0"),STOCK!A:H,7,0),1)</f>
        <v>1</v>
      </c>
    </row>
    <row r="4164" spans="10:10" ht="35.450000000000003" hidden="1" customHeight="1">
      <c r="J4164" s="28">
        <f>IFERROR(VLOOKUP(TEXT(B4164,"0"),STOCK!A:H,7,0),1)</f>
        <v>1</v>
      </c>
    </row>
    <row r="4165" spans="10:10" ht="35.450000000000003" hidden="1" customHeight="1">
      <c r="J4165" s="28">
        <f>IFERROR(VLOOKUP(TEXT(B4165,"0"),STOCK!A:H,7,0),1)</f>
        <v>1</v>
      </c>
    </row>
    <row r="4166" spans="10:10" ht="35.450000000000003" hidden="1" customHeight="1">
      <c r="J4166" s="28">
        <f>IFERROR(VLOOKUP(TEXT(B4166,"0"),STOCK!A:H,7,0),1)</f>
        <v>1</v>
      </c>
    </row>
    <row r="4167" spans="10:10" ht="35.450000000000003" hidden="1" customHeight="1">
      <c r="J4167" s="28">
        <f>IFERROR(VLOOKUP(TEXT(B4167,"0"),STOCK!A:H,7,0),1)</f>
        <v>1</v>
      </c>
    </row>
    <row r="4168" spans="10:10" ht="35.450000000000003" hidden="1" customHeight="1">
      <c r="J4168" s="28">
        <f>IFERROR(VLOOKUP(TEXT(B4168,"0"),STOCK!A:H,7,0),1)</f>
        <v>1</v>
      </c>
    </row>
    <row r="4169" spans="10:10" ht="35.450000000000003" hidden="1" customHeight="1">
      <c r="J4169" s="28">
        <f>IFERROR(VLOOKUP(TEXT(B4169,"0"),STOCK!A:H,7,0),1)</f>
        <v>1</v>
      </c>
    </row>
    <row r="4170" spans="10:10" ht="35.450000000000003" hidden="1" customHeight="1">
      <c r="J4170" s="28">
        <f>IFERROR(VLOOKUP(TEXT(B4170,"0"),STOCK!A:H,7,0),1)</f>
        <v>1</v>
      </c>
    </row>
    <row r="4171" spans="10:10" ht="35.450000000000003" hidden="1" customHeight="1">
      <c r="J4171" s="28">
        <f>IFERROR(VLOOKUP(TEXT(B4171,"0"),STOCK!A:H,7,0),1)</f>
        <v>1</v>
      </c>
    </row>
    <row r="4172" spans="10:10" ht="35.450000000000003" hidden="1" customHeight="1">
      <c r="J4172" s="28">
        <f>IFERROR(VLOOKUP(TEXT(B4172,"0"),STOCK!A:H,7,0),1)</f>
        <v>1</v>
      </c>
    </row>
    <row r="4173" spans="10:10" ht="35.450000000000003" hidden="1" customHeight="1">
      <c r="J4173" s="28">
        <f>IFERROR(VLOOKUP(TEXT(B4173,"0"),STOCK!A:H,7,0),1)</f>
        <v>1</v>
      </c>
    </row>
    <row r="4174" spans="10:10" ht="35.450000000000003" hidden="1" customHeight="1">
      <c r="J4174" s="28">
        <f>IFERROR(VLOOKUP(TEXT(B4174,"0"),STOCK!A:H,7,0),1)</f>
        <v>1</v>
      </c>
    </row>
    <row r="4175" spans="10:10" ht="35.450000000000003" hidden="1" customHeight="1">
      <c r="J4175" s="28">
        <f>IFERROR(VLOOKUP(TEXT(B4175,"0"),STOCK!A:H,7,0),1)</f>
        <v>1</v>
      </c>
    </row>
    <row r="4176" spans="10:10" ht="35.450000000000003" hidden="1" customHeight="1">
      <c r="J4176" s="28">
        <f>IFERROR(VLOOKUP(TEXT(B4176,"0"),STOCK!A:H,7,0),1)</f>
        <v>1</v>
      </c>
    </row>
    <row r="4177" spans="10:10" ht="35.450000000000003" hidden="1" customHeight="1">
      <c r="J4177" s="28">
        <f>IFERROR(VLOOKUP(TEXT(B4177,"0"),STOCK!A:H,7,0),1)</f>
        <v>1</v>
      </c>
    </row>
    <row r="4178" spans="10:10" ht="35.450000000000003" hidden="1" customHeight="1">
      <c r="J4178" s="28">
        <f>IFERROR(VLOOKUP(TEXT(B4178,"0"),STOCK!A:H,7,0),1)</f>
        <v>1</v>
      </c>
    </row>
    <row r="4179" spans="10:10" ht="35.450000000000003" hidden="1" customHeight="1">
      <c r="J4179" s="28">
        <f>IFERROR(VLOOKUP(TEXT(B4179,"0"),STOCK!A:H,7,0),1)</f>
        <v>1</v>
      </c>
    </row>
    <row r="4180" spans="10:10" ht="35.450000000000003" hidden="1" customHeight="1">
      <c r="J4180" s="28">
        <f>IFERROR(VLOOKUP(TEXT(B4180,"0"),STOCK!A:H,7,0),1)</f>
        <v>1</v>
      </c>
    </row>
    <row r="4181" spans="10:10" ht="35.450000000000003" hidden="1" customHeight="1">
      <c r="J4181" s="28">
        <f>IFERROR(VLOOKUP(TEXT(B4181,"0"),STOCK!A:H,7,0),1)</f>
        <v>1</v>
      </c>
    </row>
    <row r="4182" spans="10:10" ht="35.450000000000003" hidden="1" customHeight="1">
      <c r="J4182" s="28">
        <f>IFERROR(VLOOKUP(TEXT(B4182,"0"),STOCK!A:H,7,0),1)</f>
        <v>1</v>
      </c>
    </row>
    <row r="4183" spans="10:10" ht="35.450000000000003" hidden="1" customHeight="1">
      <c r="J4183" s="28">
        <f>IFERROR(VLOOKUP(TEXT(B4183,"0"),STOCK!A:H,7,0),1)</f>
        <v>1</v>
      </c>
    </row>
    <row r="4184" spans="10:10" ht="35.450000000000003" hidden="1" customHeight="1">
      <c r="J4184" s="28">
        <f>IFERROR(VLOOKUP(TEXT(B4184,"0"),STOCK!A:H,7,0),1)</f>
        <v>1</v>
      </c>
    </row>
    <row r="4185" spans="10:10" ht="35.450000000000003" hidden="1" customHeight="1">
      <c r="J4185" s="28">
        <f>IFERROR(VLOOKUP(TEXT(B4185,"0"),STOCK!A:H,7,0),1)</f>
        <v>1</v>
      </c>
    </row>
    <row r="4186" spans="10:10" ht="35.450000000000003" hidden="1" customHeight="1">
      <c r="J4186" s="28">
        <f>IFERROR(VLOOKUP(TEXT(B4186,"0"),STOCK!A:H,7,0),1)</f>
        <v>1</v>
      </c>
    </row>
    <row r="4187" spans="10:10" ht="35.450000000000003" hidden="1" customHeight="1">
      <c r="J4187" s="28">
        <f>IFERROR(VLOOKUP(TEXT(B4187,"0"),STOCK!A:H,7,0),1)</f>
        <v>1</v>
      </c>
    </row>
    <row r="4188" spans="10:10" ht="35.450000000000003" hidden="1" customHeight="1">
      <c r="J4188" s="28">
        <f>IFERROR(VLOOKUP(TEXT(B4188,"0"),STOCK!A:H,7,0),1)</f>
        <v>1</v>
      </c>
    </row>
    <row r="4189" spans="10:10" ht="35.450000000000003" hidden="1" customHeight="1">
      <c r="J4189" s="28">
        <f>IFERROR(VLOOKUP(TEXT(B4189,"0"),STOCK!A:H,7,0),1)</f>
        <v>1</v>
      </c>
    </row>
    <row r="4190" spans="10:10" ht="35.450000000000003" hidden="1" customHeight="1">
      <c r="J4190" s="28">
        <f>IFERROR(VLOOKUP(TEXT(B4190,"0"),STOCK!A:H,7,0),1)</f>
        <v>1</v>
      </c>
    </row>
    <row r="4191" spans="10:10" ht="35.450000000000003" hidden="1" customHeight="1">
      <c r="J4191" s="28">
        <f>IFERROR(VLOOKUP(TEXT(B4191,"0"),STOCK!A:H,7,0),1)</f>
        <v>1</v>
      </c>
    </row>
    <row r="4192" spans="10:10" ht="35.450000000000003" hidden="1" customHeight="1">
      <c r="J4192" s="28">
        <f>IFERROR(VLOOKUP(TEXT(B4192,"0"),STOCK!A:H,7,0),1)</f>
        <v>1</v>
      </c>
    </row>
    <row r="4193" spans="10:10" ht="35.450000000000003" hidden="1" customHeight="1">
      <c r="J4193" s="28">
        <f>IFERROR(VLOOKUP(TEXT(B4193,"0"),STOCK!A:H,7,0),1)</f>
        <v>1</v>
      </c>
    </row>
    <row r="4194" spans="10:10" ht="35.450000000000003" hidden="1" customHeight="1">
      <c r="J4194" s="28">
        <f>IFERROR(VLOOKUP(TEXT(B4194,"0"),STOCK!A:H,7,0),1)</f>
        <v>1</v>
      </c>
    </row>
    <row r="4195" spans="10:10" ht="35.450000000000003" hidden="1" customHeight="1">
      <c r="J4195" s="28">
        <f>IFERROR(VLOOKUP(TEXT(B4195,"0"),STOCK!A:H,7,0),1)</f>
        <v>1</v>
      </c>
    </row>
    <row r="4196" spans="10:10" ht="35.450000000000003" hidden="1" customHeight="1">
      <c r="J4196" s="28">
        <f>IFERROR(VLOOKUP(TEXT(B4196,"0"),STOCK!A:H,7,0),1)</f>
        <v>1</v>
      </c>
    </row>
    <row r="4197" spans="10:10" ht="35.450000000000003" hidden="1" customHeight="1">
      <c r="J4197" s="28">
        <f>IFERROR(VLOOKUP(TEXT(B4197,"0"),STOCK!A:H,7,0),1)</f>
        <v>1</v>
      </c>
    </row>
    <row r="4198" spans="10:10" ht="35.450000000000003" hidden="1" customHeight="1">
      <c r="J4198" s="28">
        <f>IFERROR(VLOOKUP(TEXT(B4198,"0"),STOCK!A:H,7,0),1)</f>
        <v>1</v>
      </c>
    </row>
    <row r="4199" spans="10:10" ht="35.450000000000003" hidden="1" customHeight="1">
      <c r="J4199" s="28">
        <f>IFERROR(VLOOKUP(TEXT(B4199,"0"),STOCK!A:H,7,0),1)</f>
        <v>1</v>
      </c>
    </row>
    <row r="4200" spans="10:10" ht="35.450000000000003" hidden="1" customHeight="1">
      <c r="J4200" s="28">
        <f>IFERROR(VLOOKUP(TEXT(B4200,"0"),STOCK!A:H,7,0),1)</f>
        <v>1</v>
      </c>
    </row>
    <row r="4201" spans="10:10" ht="35.450000000000003" hidden="1" customHeight="1">
      <c r="J4201" s="28">
        <f>IFERROR(VLOOKUP(TEXT(B4201,"0"),STOCK!A:H,7,0),1)</f>
        <v>1</v>
      </c>
    </row>
    <row r="4202" spans="10:10" ht="35.450000000000003" hidden="1" customHeight="1">
      <c r="J4202" s="28">
        <f>IFERROR(VLOOKUP(TEXT(B4202,"0"),STOCK!A:H,7,0),1)</f>
        <v>1</v>
      </c>
    </row>
    <row r="4203" spans="10:10" ht="35.450000000000003" hidden="1" customHeight="1">
      <c r="J4203" s="28">
        <f>IFERROR(VLOOKUP(TEXT(B4203,"0"),STOCK!A:H,7,0),1)</f>
        <v>1</v>
      </c>
    </row>
    <row r="4204" spans="10:10" ht="35.450000000000003" hidden="1" customHeight="1">
      <c r="J4204" s="28">
        <f>IFERROR(VLOOKUP(TEXT(B4204,"0"),STOCK!A:H,7,0),1)</f>
        <v>1</v>
      </c>
    </row>
    <row r="4205" spans="10:10" ht="35.450000000000003" hidden="1" customHeight="1">
      <c r="J4205" s="28">
        <f>IFERROR(VLOOKUP(TEXT(B4205,"0"),STOCK!A:H,7,0),1)</f>
        <v>1</v>
      </c>
    </row>
    <row r="4206" spans="10:10" ht="35.450000000000003" hidden="1" customHeight="1">
      <c r="J4206" s="28">
        <f>IFERROR(VLOOKUP(TEXT(B4206,"0"),STOCK!A:H,7,0),1)</f>
        <v>1</v>
      </c>
    </row>
    <row r="4207" spans="10:10" ht="35.450000000000003" hidden="1" customHeight="1">
      <c r="J4207" s="28">
        <f>IFERROR(VLOOKUP(TEXT(B4207,"0"),STOCK!A:H,7,0),1)</f>
        <v>1</v>
      </c>
    </row>
    <row r="4208" spans="10:10" ht="35.450000000000003" hidden="1" customHeight="1">
      <c r="J4208" s="28">
        <f>IFERROR(VLOOKUP(TEXT(B4208,"0"),STOCK!A:H,7,0),1)</f>
        <v>1</v>
      </c>
    </row>
    <row r="4209" spans="10:10" ht="35.450000000000003" hidden="1" customHeight="1">
      <c r="J4209" s="28">
        <f>IFERROR(VLOOKUP(TEXT(B4209,"0"),STOCK!A:H,7,0),1)</f>
        <v>1</v>
      </c>
    </row>
    <row r="4210" spans="10:10" ht="35.450000000000003" hidden="1" customHeight="1">
      <c r="J4210" s="28">
        <f>IFERROR(VLOOKUP(TEXT(B4210,"0"),STOCK!A:H,7,0),1)</f>
        <v>1</v>
      </c>
    </row>
    <row r="4211" spans="10:10" ht="35.450000000000003" hidden="1" customHeight="1">
      <c r="J4211" s="28">
        <f>IFERROR(VLOOKUP(TEXT(B4211,"0"),STOCK!A:H,7,0),1)</f>
        <v>1</v>
      </c>
    </row>
    <row r="4212" spans="10:10" ht="35.450000000000003" hidden="1" customHeight="1">
      <c r="J4212" s="28">
        <f>IFERROR(VLOOKUP(TEXT(B4212,"0"),STOCK!A:H,7,0),1)</f>
        <v>1</v>
      </c>
    </row>
    <row r="4213" spans="10:10" ht="35.450000000000003" hidden="1" customHeight="1">
      <c r="J4213" s="28">
        <f>IFERROR(VLOOKUP(TEXT(B4213,"0"),STOCK!A:H,7,0),1)</f>
        <v>1</v>
      </c>
    </row>
    <row r="4214" spans="10:10" ht="35.450000000000003" hidden="1" customHeight="1">
      <c r="J4214" s="28">
        <f>IFERROR(VLOOKUP(TEXT(B4214,"0"),STOCK!A:H,7,0),1)</f>
        <v>1</v>
      </c>
    </row>
    <row r="4215" spans="10:10" ht="35.450000000000003" hidden="1" customHeight="1">
      <c r="J4215" s="28">
        <f>IFERROR(VLOOKUP(TEXT(B4215,"0"),STOCK!A:H,7,0),1)</f>
        <v>1</v>
      </c>
    </row>
    <row r="4216" spans="10:10" ht="35.450000000000003" hidden="1" customHeight="1">
      <c r="J4216" s="28">
        <f>IFERROR(VLOOKUP(TEXT(B4216,"0"),STOCK!A:H,7,0),1)</f>
        <v>1</v>
      </c>
    </row>
    <row r="4217" spans="10:10" ht="35.450000000000003" hidden="1" customHeight="1">
      <c r="J4217" s="28">
        <f>IFERROR(VLOOKUP(TEXT(B4217,"0"),STOCK!A:H,7,0),1)</f>
        <v>1</v>
      </c>
    </row>
    <row r="4218" spans="10:10" ht="35.450000000000003" hidden="1" customHeight="1">
      <c r="J4218" s="28">
        <f>IFERROR(VLOOKUP(TEXT(B4218,"0"),STOCK!A:H,7,0),1)</f>
        <v>1</v>
      </c>
    </row>
    <row r="4219" spans="10:10" ht="35.450000000000003" hidden="1" customHeight="1">
      <c r="J4219" s="28">
        <f>IFERROR(VLOOKUP(TEXT(B4219,"0"),STOCK!A:H,7,0),1)</f>
        <v>1</v>
      </c>
    </row>
    <row r="4220" spans="10:10" ht="35.450000000000003" hidden="1" customHeight="1">
      <c r="J4220" s="28">
        <f>IFERROR(VLOOKUP(TEXT(B4220,"0"),STOCK!A:H,7,0),1)</f>
        <v>1</v>
      </c>
    </row>
    <row r="4221" spans="10:10" ht="35.450000000000003" hidden="1" customHeight="1">
      <c r="J4221" s="28">
        <f>IFERROR(VLOOKUP(TEXT(B4221,"0"),STOCK!A:H,7,0),1)</f>
        <v>1</v>
      </c>
    </row>
    <row r="4222" spans="10:10" ht="35.450000000000003" hidden="1" customHeight="1">
      <c r="J4222" s="28">
        <f>IFERROR(VLOOKUP(TEXT(B4222,"0"),STOCK!A:H,7,0),1)</f>
        <v>1</v>
      </c>
    </row>
    <row r="4223" spans="10:10" ht="35.450000000000003" hidden="1" customHeight="1">
      <c r="J4223" s="28">
        <f>IFERROR(VLOOKUP(TEXT(B4223,"0"),STOCK!A:H,7,0),1)</f>
        <v>1</v>
      </c>
    </row>
    <row r="4224" spans="10:10" ht="35.450000000000003" hidden="1" customHeight="1">
      <c r="J4224" s="28">
        <f>IFERROR(VLOOKUP(TEXT(B4224,"0"),STOCK!A:H,7,0),1)</f>
        <v>1</v>
      </c>
    </row>
    <row r="4225" spans="10:10" ht="35.450000000000003" hidden="1" customHeight="1">
      <c r="J4225" s="28">
        <f>IFERROR(VLOOKUP(TEXT(B4225,"0"),STOCK!A:H,7,0),1)</f>
        <v>1</v>
      </c>
    </row>
    <row r="4226" spans="10:10" ht="35.450000000000003" hidden="1" customHeight="1">
      <c r="J4226" s="28">
        <f>IFERROR(VLOOKUP(TEXT(B4226,"0"),STOCK!A:H,7,0),1)</f>
        <v>1</v>
      </c>
    </row>
    <row r="4227" spans="10:10" ht="35.450000000000003" hidden="1" customHeight="1">
      <c r="J4227" s="28">
        <f>IFERROR(VLOOKUP(TEXT(B4227,"0"),STOCK!A:H,7,0),1)</f>
        <v>1</v>
      </c>
    </row>
    <row r="4228" spans="10:10" ht="35.450000000000003" hidden="1" customHeight="1">
      <c r="J4228" s="28">
        <f>IFERROR(VLOOKUP(TEXT(B4228,"0"),STOCK!A:H,7,0),1)</f>
        <v>1</v>
      </c>
    </row>
    <row r="4229" spans="10:10" ht="35.450000000000003" hidden="1" customHeight="1">
      <c r="J4229" s="28">
        <f>IFERROR(VLOOKUP(TEXT(B4229,"0"),STOCK!A:H,7,0),1)</f>
        <v>1</v>
      </c>
    </row>
    <row r="4230" spans="10:10" ht="35.450000000000003" hidden="1" customHeight="1">
      <c r="J4230" s="28">
        <f>IFERROR(VLOOKUP(TEXT(B4230,"0"),STOCK!A:H,7,0),1)</f>
        <v>1</v>
      </c>
    </row>
    <row r="4231" spans="10:10" ht="35.450000000000003" hidden="1" customHeight="1">
      <c r="J4231" s="28">
        <f>IFERROR(VLOOKUP(TEXT(B4231,"0"),STOCK!A:H,7,0),1)</f>
        <v>1</v>
      </c>
    </row>
    <row r="4232" spans="10:10" ht="35.450000000000003" hidden="1" customHeight="1">
      <c r="J4232" s="28">
        <f>IFERROR(VLOOKUP(TEXT(B4232,"0"),STOCK!A:H,7,0),1)</f>
        <v>1</v>
      </c>
    </row>
    <row r="4233" spans="10:10" ht="35.450000000000003" hidden="1" customHeight="1">
      <c r="J4233" s="28">
        <f>IFERROR(VLOOKUP(TEXT(B4233,"0"),STOCK!A:H,7,0),1)</f>
        <v>1</v>
      </c>
    </row>
    <row r="4234" spans="10:10" ht="35.450000000000003" hidden="1" customHeight="1">
      <c r="J4234" s="28">
        <f>IFERROR(VLOOKUP(TEXT(B4234,"0"),STOCK!A:H,7,0),1)</f>
        <v>1</v>
      </c>
    </row>
    <row r="4235" spans="10:10" ht="35.450000000000003" hidden="1" customHeight="1">
      <c r="J4235" s="28">
        <f>IFERROR(VLOOKUP(TEXT(B4235,"0"),STOCK!A:H,7,0),1)</f>
        <v>1</v>
      </c>
    </row>
    <row r="4236" spans="10:10" ht="35.450000000000003" hidden="1" customHeight="1">
      <c r="J4236" s="28">
        <f>IFERROR(VLOOKUP(TEXT(B4236,"0"),STOCK!A:H,7,0),1)</f>
        <v>1</v>
      </c>
    </row>
    <row r="4237" spans="10:10" ht="35.450000000000003" hidden="1" customHeight="1">
      <c r="J4237" s="28">
        <f>IFERROR(VLOOKUP(TEXT(B4237,"0"),STOCK!A:H,7,0),1)</f>
        <v>1</v>
      </c>
    </row>
    <row r="4238" spans="10:10" ht="35.450000000000003" hidden="1" customHeight="1">
      <c r="J4238" s="28">
        <f>IFERROR(VLOOKUP(TEXT(B4238,"0"),STOCK!A:H,7,0),1)</f>
        <v>1</v>
      </c>
    </row>
    <row r="4239" spans="10:10" ht="35.450000000000003" hidden="1" customHeight="1">
      <c r="J4239" s="28">
        <f>IFERROR(VLOOKUP(TEXT(B4239,"0"),STOCK!A:H,7,0),1)</f>
        <v>1</v>
      </c>
    </row>
    <row r="4240" spans="10:10" ht="35.450000000000003" hidden="1" customHeight="1">
      <c r="J4240" s="28">
        <f>IFERROR(VLOOKUP(TEXT(B4240,"0"),STOCK!A:H,7,0),1)</f>
        <v>1</v>
      </c>
    </row>
    <row r="4241" spans="10:10" ht="35.450000000000003" hidden="1" customHeight="1">
      <c r="J4241" s="28">
        <f>IFERROR(VLOOKUP(TEXT(B4241,"0"),STOCK!A:H,7,0),1)</f>
        <v>1</v>
      </c>
    </row>
    <row r="4242" spans="10:10" ht="35.450000000000003" hidden="1" customHeight="1">
      <c r="J4242" s="28">
        <f>IFERROR(VLOOKUP(TEXT(B4242,"0"),STOCK!A:H,7,0),1)</f>
        <v>1</v>
      </c>
    </row>
    <row r="4243" spans="10:10" ht="35.450000000000003" hidden="1" customHeight="1">
      <c r="J4243" s="28">
        <f>IFERROR(VLOOKUP(TEXT(B4243,"0"),STOCK!A:H,7,0),1)</f>
        <v>1</v>
      </c>
    </row>
    <row r="4244" spans="10:10" ht="35.450000000000003" hidden="1" customHeight="1">
      <c r="J4244" s="28">
        <f>IFERROR(VLOOKUP(TEXT(B4244,"0"),STOCK!A:H,7,0),1)</f>
        <v>1</v>
      </c>
    </row>
    <row r="4245" spans="10:10" ht="35.450000000000003" hidden="1" customHeight="1">
      <c r="J4245" s="28">
        <f>IFERROR(VLOOKUP(TEXT(B4245,"0"),STOCK!A:H,7,0),1)</f>
        <v>1</v>
      </c>
    </row>
    <row r="4246" spans="10:10" ht="35.450000000000003" hidden="1" customHeight="1">
      <c r="J4246" s="28">
        <f>IFERROR(VLOOKUP(TEXT(B4246,"0"),STOCK!A:H,7,0),1)</f>
        <v>1</v>
      </c>
    </row>
    <row r="4247" spans="10:10" ht="35.450000000000003" hidden="1" customHeight="1">
      <c r="J4247" s="28">
        <f>IFERROR(VLOOKUP(TEXT(B4247,"0"),STOCK!A:H,7,0),1)</f>
        <v>1</v>
      </c>
    </row>
    <row r="4248" spans="10:10" ht="35.450000000000003" hidden="1" customHeight="1">
      <c r="J4248" s="28">
        <f>IFERROR(VLOOKUP(TEXT(B4248,"0"),STOCK!A:H,7,0),1)</f>
        <v>1</v>
      </c>
    </row>
    <row r="4249" spans="10:10" ht="35.450000000000003" hidden="1" customHeight="1">
      <c r="J4249" s="28">
        <f>IFERROR(VLOOKUP(TEXT(B4249,"0"),STOCK!A:H,7,0),1)</f>
        <v>1</v>
      </c>
    </row>
    <row r="4250" spans="10:10" ht="35.450000000000003" hidden="1" customHeight="1">
      <c r="J4250" s="28">
        <f>IFERROR(VLOOKUP(TEXT(B4250,"0"),STOCK!A:H,7,0),1)</f>
        <v>1</v>
      </c>
    </row>
    <row r="4251" spans="10:10" ht="35.450000000000003" hidden="1" customHeight="1">
      <c r="J4251" s="28">
        <f>IFERROR(VLOOKUP(TEXT(B4251,"0"),STOCK!A:H,7,0),1)</f>
        <v>1</v>
      </c>
    </row>
    <row r="4252" spans="10:10" ht="35.450000000000003" hidden="1" customHeight="1">
      <c r="J4252" s="28">
        <f>IFERROR(VLOOKUP(TEXT(B4252,"0"),STOCK!A:H,7,0),1)</f>
        <v>1</v>
      </c>
    </row>
    <row r="4253" spans="10:10" ht="35.450000000000003" hidden="1" customHeight="1">
      <c r="J4253" s="28">
        <f>IFERROR(VLOOKUP(TEXT(B4253,"0"),STOCK!A:H,7,0),1)</f>
        <v>1</v>
      </c>
    </row>
    <row r="4254" spans="10:10" ht="35.450000000000003" hidden="1" customHeight="1">
      <c r="J4254" s="28">
        <f>IFERROR(VLOOKUP(TEXT(B4254,"0"),STOCK!A:H,7,0),1)</f>
        <v>1</v>
      </c>
    </row>
    <row r="4255" spans="10:10" ht="35.450000000000003" hidden="1" customHeight="1">
      <c r="J4255" s="28">
        <f>IFERROR(VLOOKUP(TEXT(B4255,"0"),STOCK!A:H,7,0),1)</f>
        <v>1</v>
      </c>
    </row>
    <row r="4256" spans="10:10" ht="35.450000000000003" hidden="1" customHeight="1">
      <c r="J4256" s="28">
        <f>IFERROR(VLOOKUP(TEXT(B4256,"0"),STOCK!A:H,7,0),1)</f>
        <v>1</v>
      </c>
    </row>
    <row r="4257" spans="10:10" ht="35.450000000000003" hidden="1" customHeight="1">
      <c r="J4257" s="28">
        <f>IFERROR(VLOOKUP(TEXT(B4257,"0"),STOCK!A:H,7,0),1)</f>
        <v>1</v>
      </c>
    </row>
    <row r="4258" spans="10:10" ht="35.450000000000003" hidden="1" customHeight="1">
      <c r="J4258" s="28">
        <f>IFERROR(VLOOKUP(TEXT(B4258,"0"),STOCK!A:H,7,0),1)</f>
        <v>1</v>
      </c>
    </row>
    <row r="4259" spans="10:10" ht="35.450000000000003" hidden="1" customHeight="1">
      <c r="J4259" s="28">
        <f>IFERROR(VLOOKUP(TEXT(B4259,"0"),STOCK!A:H,7,0),1)</f>
        <v>1</v>
      </c>
    </row>
    <row r="4260" spans="10:10" ht="35.450000000000003" hidden="1" customHeight="1">
      <c r="J4260" s="28">
        <f>IFERROR(VLOOKUP(TEXT(B4260,"0"),STOCK!A:H,7,0),1)</f>
        <v>1</v>
      </c>
    </row>
    <row r="4261" spans="10:10" ht="35.450000000000003" hidden="1" customHeight="1">
      <c r="J4261" s="28">
        <f>IFERROR(VLOOKUP(TEXT(B4261,"0"),STOCK!A:H,7,0),1)</f>
        <v>1</v>
      </c>
    </row>
    <row r="4262" spans="10:10" ht="35.450000000000003" hidden="1" customHeight="1">
      <c r="J4262" s="28">
        <f>IFERROR(VLOOKUP(TEXT(B4262,"0"),STOCK!A:H,7,0),1)</f>
        <v>1</v>
      </c>
    </row>
    <row r="4263" spans="10:10" ht="35.450000000000003" hidden="1" customHeight="1">
      <c r="J4263" s="28">
        <f>IFERROR(VLOOKUP(TEXT(B4263,"0"),STOCK!A:H,7,0),1)</f>
        <v>1</v>
      </c>
    </row>
    <row r="4264" spans="10:10" ht="35.450000000000003" hidden="1" customHeight="1">
      <c r="J4264" s="28">
        <f>IFERROR(VLOOKUP(TEXT(B4264,"0"),STOCK!A:H,7,0),1)</f>
        <v>1</v>
      </c>
    </row>
    <row r="4265" spans="10:10" ht="35.450000000000003" hidden="1" customHeight="1">
      <c r="J4265" s="28">
        <f>IFERROR(VLOOKUP(TEXT(B4265,"0"),STOCK!A:H,7,0),1)</f>
        <v>1</v>
      </c>
    </row>
    <row r="4266" spans="10:10" ht="35.450000000000003" hidden="1" customHeight="1">
      <c r="J4266" s="28">
        <f>IFERROR(VLOOKUP(TEXT(B4266,"0"),STOCK!A:H,7,0),1)</f>
        <v>1</v>
      </c>
    </row>
    <row r="4267" spans="10:10" ht="35.450000000000003" hidden="1" customHeight="1">
      <c r="J4267" s="28">
        <f>IFERROR(VLOOKUP(TEXT(B4267,"0"),STOCK!A:H,7,0),1)</f>
        <v>1</v>
      </c>
    </row>
    <row r="4268" spans="10:10" ht="35.450000000000003" hidden="1" customHeight="1">
      <c r="J4268" s="28">
        <f>IFERROR(VLOOKUP(TEXT(B4268,"0"),STOCK!A:H,7,0),1)</f>
        <v>1</v>
      </c>
    </row>
    <row r="4269" spans="10:10" ht="35.450000000000003" hidden="1" customHeight="1">
      <c r="J4269" s="28">
        <f>IFERROR(VLOOKUP(TEXT(B4269,"0"),STOCK!A:H,7,0),1)</f>
        <v>1</v>
      </c>
    </row>
    <row r="4270" spans="10:10" ht="35.450000000000003" hidden="1" customHeight="1">
      <c r="J4270" s="28">
        <f>IFERROR(VLOOKUP(TEXT(B4270,"0"),STOCK!A:H,7,0),1)</f>
        <v>1</v>
      </c>
    </row>
    <row r="4271" spans="10:10" ht="35.450000000000003" hidden="1" customHeight="1">
      <c r="J4271" s="28">
        <f>IFERROR(VLOOKUP(TEXT(B4271,"0"),STOCK!A:H,7,0),1)</f>
        <v>1</v>
      </c>
    </row>
    <row r="4272" spans="10:10" ht="35.450000000000003" hidden="1" customHeight="1">
      <c r="J4272" s="28">
        <f>IFERROR(VLOOKUP(TEXT(B4272,"0"),STOCK!A:H,7,0),1)</f>
        <v>1</v>
      </c>
    </row>
    <row r="4273" spans="10:10" ht="35.450000000000003" hidden="1" customHeight="1">
      <c r="J4273" s="28">
        <f>IFERROR(VLOOKUP(TEXT(B4273,"0"),STOCK!A:H,7,0),1)</f>
        <v>1</v>
      </c>
    </row>
    <row r="4274" spans="10:10" ht="35.450000000000003" hidden="1" customHeight="1">
      <c r="J4274" s="28">
        <f>IFERROR(VLOOKUP(TEXT(B4274,"0"),STOCK!A:H,7,0),1)</f>
        <v>1</v>
      </c>
    </row>
    <row r="4275" spans="10:10" ht="35.450000000000003" hidden="1" customHeight="1">
      <c r="J4275" s="28">
        <f>IFERROR(VLOOKUP(TEXT(B4275,"0"),STOCK!A:H,7,0),1)</f>
        <v>1</v>
      </c>
    </row>
    <row r="4276" spans="10:10" ht="35.450000000000003" hidden="1" customHeight="1">
      <c r="J4276" s="28">
        <f>IFERROR(VLOOKUP(TEXT(B4276,"0"),STOCK!A:H,7,0),1)</f>
        <v>1</v>
      </c>
    </row>
    <row r="4277" spans="10:10" ht="35.450000000000003" hidden="1" customHeight="1">
      <c r="J4277" s="28">
        <f>IFERROR(VLOOKUP(TEXT(B4277,"0"),STOCK!A:H,7,0),1)</f>
        <v>1</v>
      </c>
    </row>
    <row r="4278" spans="10:10" ht="35.450000000000003" hidden="1" customHeight="1">
      <c r="J4278" s="28">
        <f>IFERROR(VLOOKUP(TEXT(B4278,"0"),STOCK!A:H,7,0),1)</f>
        <v>1</v>
      </c>
    </row>
    <row r="4279" spans="10:10" ht="35.450000000000003" hidden="1" customHeight="1">
      <c r="J4279" s="28">
        <f>IFERROR(VLOOKUP(TEXT(B4279,"0"),STOCK!A:H,7,0),1)</f>
        <v>1</v>
      </c>
    </row>
    <row r="4280" spans="10:10" ht="35.450000000000003" hidden="1" customHeight="1">
      <c r="J4280" s="28">
        <f>IFERROR(VLOOKUP(TEXT(B4280,"0"),STOCK!A:H,7,0),1)</f>
        <v>1</v>
      </c>
    </row>
    <row r="4281" spans="10:10" ht="35.450000000000003" hidden="1" customHeight="1">
      <c r="J4281" s="28">
        <f>IFERROR(VLOOKUP(TEXT(B4281,"0"),STOCK!A:H,7,0),1)</f>
        <v>1</v>
      </c>
    </row>
    <row r="4282" spans="10:10" ht="35.450000000000003" hidden="1" customHeight="1">
      <c r="J4282" s="28">
        <f>IFERROR(VLOOKUP(TEXT(B4282,"0"),STOCK!A:H,7,0),1)</f>
        <v>1</v>
      </c>
    </row>
    <row r="4283" spans="10:10" ht="35.450000000000003" hidden="1" customHeight="1">
      <c r="J4283" s="28">
        <f>IFERROR(VLOOKUP(TEXT(B4283,"0"),STOCK!A:H,7,0),1)</f>
        <v>1</v>
      </c>
    </row>
    <row r="4284" spans="10:10" ht="35.450000000000003" hidden="1" customHeight="1">
      <c r="J4284" s="28">
        <f>IFERROR(VLOOKUP(TEXT(B4284,"0"),STOCK!A:H,7,0),1)</f>
        <v>1</v>
      </c>
    </row>
    <row r="4285" spans="10:10" ht="35.450000000000003" hidden="1" customHeight="1">
      <c r="J4285" s="28">
        <f>IFERROR(VLOOKUP(TEXT(B4285,"0"),STOCK!A:H,7,0),1)</f>
        <v>1</v>
      </c>
    </row>
    <row r="4286" spans="10:10" ht="35.450000000000003" hidden="1" customHeight="1">
      <c r="J4286" s="28">
        <f>IFERROR(VLOOKUP(TEXT(B4286,"0"),STOCK!A:H,7,0),1)</f>
        <v>1</v>
      </c>
    </row>
    <row r="4287" spans="10:10" ht="35.450000000000003" hidden="1" customHeight="1">
      <c r="J4287" s="28">
        <f>IFERROR(VLOOKUP(TEXT(B4287,"0"),STOCK!A:H,7,0),1)</f>
        <v>1</v>
      </c>
    </row>
    <row r="4288" spans="10:10" ht="35.450000000000003" hidden="1" customHeight="1">
      <c r="J4288" s="28">
        <f>IFERROR(VLOOKUP(TEXT(B4288,"0"),STOCK!A:H,7,0),1)</f>
        <v>1</v>
      </c>
    </row>
    <row r="4289" spans="10:10" ht="35.450000000000003" hidden="1" customHeight="1">
      <c r="J4289" s="28">
        <f>IFERROR(VLOOKUP(TEXT(B4289,"0"),STOCK!A:H,7,0),1)</f>
        <v>1</v>
      </c>
    </row>
    <row r="4290" spans="10:10" ht="35.450000000000003" hidden="1" customHeight="1">
      <c r="J4290" s="28">
        <f>IFERROR(VLOOKUP(TEXT(B4290,"0"),STOCK!A:H,7,0),1)</f>
        <v>1</v>
      </c>
    </row>
    <row r="4291" spans="10:10" ht="35.450000000000003" hidden="1" customHeight="1">
      <c r="J4291" s="28">
        <f>IFERROR(VLOOKUP(TEXT(B4291,"0"),STOCK!A:H,7,0),1)</f>
        <v>1</v>
      </c>
    </row>
    <row r="4292" spans="10:10" ht="35.450000000000003" hidden="1" customHeight="1">
      <c r="J4292" s="28">
        <f>IFERROR(VLOOKUP(TEXT(B4292,"0"),STOCK!A:H,7,0),1)</f>
        <v>1</v>
      </c>
    </row>
    <row r="4293" spans="10:10" ht="35.450000000000003" hidden="1" customHeight="1">
      <c r="J4293" s="28">
        <f>IFERROR(VLOOKUP(TEXT(B4293,"0"),STOCK!A:H,7,0),1)</f>
        <v>1</v>
      </c>
    </row>
    <row r="4294" spans="10:10" ht="35.450000000000003" hidden="1" customHeight="1">
      <c r="J4294" s="28">
        <f>IFERROR(VLOOKUP(TEXT(B4294,"0"),STOCK!A:H,7,0),1)</f>
        <v>1</v>
      </c>
    </row>
    <row r="4295" spans="10:10" ht="35.450000000000003" hidden="1" customHeight="1">
      <c r="J4295" s="28">
        <f>IFERROR(VLOOKUP(TEXT(B4295,"0"),STOCK!A:H,7,0),1)</f>
        <v>1</v>
      </c>
    </row>
    <row r="4296" spans="10:10" ht="35.450000000000003" hidden="1" customHeight="1">
      <c r="J4296" s="28">
        <f>IFERROR(VLOOKUP(TEXT(B4296,"0"),STOCK!A:H,7,0),1)</f>
        <v>1</v>
      </c>
    </row>
    <row r="4297" spans="10:10" ht="35.450000000000003" hidden="1" customHeight="1">
      <c r="J4297" s="28">
        <f>IFERROR(VLOOKUP(TEXT(B4297,"0"),STOCK!A:H,7,0),1)</f>
        <v>1</v>
      </c>
    </row>
    <row r="4298" spans="10:10" ht="35.450000000000003" hidden="1" customHeight="1">
      <c r="J4298" s="28">
        <f>IFERROR(VLOOKUP(TEXT(B4298,"0"),STOCK!A:H,7,0),1)</f>
        <v>1</v>
      </c>
    </row>
    <row r="4299" spans="10:10" ht="35.450000000000003" hidden="1" customHeight="1">
      <c r="J4299" s="28">
        <f>IFERROR(VLOOKUP(TEXT(B4299,"0"),STOCK!A:H,7,0),1)</f>
        <v>1</v>
      </c>
    </row>
    <row r="4300" spans="10:10" ht="35.450000000000003" hidden="1" customHeight="1">
      <c r="J4300" s="28">
        <f>IFERROR(VLOOKUP(TEXT(B4300,"0"),STOCK!A:H,7,0),1)</f>
        <v>1</v>
      </c>
    </row>
    <row r="4301" spans="10:10" ht="35.450000000000003" hidden="1" customHeight="1">
      <c r="J4301" s="28">
        <f>IFERROR(VLOOKUP(TEXT(B4301,"0"),STOCK!A:H,7,0),1)</f>
        <v>1</v>
      </c>
    </row>
    <row r="4302" spans="10:10" ht="35.450000000000003" hidden="1" customHeight="1">
      <c r="J4302" s="28">
        <f>IFERROR(VLOOKUP(TEXT(B4302,"0"),STOCK!A:H,7,0),1)</f>
        <v>1</v>
      </c>
    </row>
    <row r="4303" spans="10:10" ht="35.450000000000003" hidden="1" customHeight="1">
      <c r="J4303" s="28">
        <f>IFERROR(VLOOKUP(TEXT(B4303,"0"),STOCK!A:H,7,0),1)</f>
        <v>1</v>
      </c>
    </row>
    <row r="4304" spans="10:10" ht="35.450000000000003" hidden="1" customHeight="1">
      <c r="J4304" s="28">
        <f>IFERROR(VLOOKUP(TEXT(B4304,"0"),STOCK!A:H,7,0),1)</f>
        <v>1</v>
      </c>
    </row>
    <row r="4305" spans="10:10" ht="35.450000000000003" hidden="1" customHeight="1">
      <c r="J4305" s="28">
        <f>IFERROR(VLOOKUP(TEXT(B4305,"0"),STOCK!A:H,7,0),1)</f>
        <v>1</v>
      </c>
    </row>
    <row r="4306" spans="10:10" ht="35.450000000000003" hidden="1" customHeight="1">
      <c r="J4306" s="28">
        <f>IFERROR(VLOOKUP(TEXT(B4306,"0"),STOCK!A:H,7,0),1)</f>
        <v>1</v>
      </c>
    </row>
    <row r="4307" spans="10:10" ht="35.450000000000003" hidden="1" customHeight="1">
      <c r="J4307" s="28">
        <f>IFERROR(VLOOKUP(TEXT(B4307,"0"),STOCK!A:H,7,0),1)</f>
        <v>1</v>
      </c>
    </row>
    <row r="4308" spans="10:10" ht="35.450000000000003" hidden="1" customHeight="1">
      <c r="J4308" s="28">
        <f>IFERROR(VLOOKUP(TEXT(B4308,"0"),STOCK!A:H,7,0),1)</f>
        <v>1</v>
      </c>
    </row>
    <row r="4309" spans="10:10" ht="35.450000000000003" hidden="1" customHeight="1">
      <c r="J4309" s="28">
        <f>IFERROR(VLOOKUP(TEXT(B4309,"0"),STOCK!A:H,7,0),1)</f>
        <v>1</v>
      </c>
    </row>
    <row r="4310" spans="10:10" ht="35.450000000000003" hidden="1" customHeight="1">
      <c r="J4310" s="28">
        <f>IFERROR(VLOOKUP(TEXT(B4310,"0"),STOCK!A:H,7,0),1)</f>
        <v>1</v>
      </c>
    </row>
    <row r="4311" spans="10:10" ht="35.450000000000003" hidden="1" customHeight="1">
      <c r="J4311" s="28">
        <f>IFERROR(VLOOKUP(TEXT(B4311,"0"),STOCK!A:H,7,0),1)</f>
        <v>1</v>
      </c>
    </row>
    <row r="4312" spans="10:10" ht="35.450000000000003" hidden="1" customHeight="1">
      <c r="J4312" s="28">
        <f>IFERROR(VLOOKUP(TEXT(B4312,"0"),STOCK!A:H,7,0),1)</f>
        <v>1</v>
      </c>
    </row>
    <row r="4313" spans="10:10" ht="35.450000000000003" hidden="1" customHeight="1">
      <c r="J4313" s="28">
        <f>IFERROR(VLOOKUP(TEXT(B4313,"0"),STOCK!A:H,7,0),1)</f>
        <v>1</v>
      </c>
    </row>
    <row r="4314" spans="10:10" ht="35.450000000000003" hidden="1" customHeight="1">
      <c r="J4314" s="28">
        <f>IFERROR(VLOOKUP(TEXT(B4314,"0"),STOCK!A:H,7,0),1)</f>
        <v>1</v>
      </c>
    </row>
    <row r="4315" spans="10:10" ht="35.450000000000003" hidden="1" customHeight="1">
      <c r="J4315" s="28">
        <f>IFERROR(VLOOKUP(TEXT(B4315,"0"),STOCK!A:H,7,0),1)</f>
        <v>1</v>
      </c>
    </row>
    <row r="4316" spans="10:10" ht="35.450000000000003" hidden="1" customHeight="1">
      <c r="J4316" s="28">
        <f>IFERROR(VLOOKUP(TEXT(B4316,"0"),STOCK!A:H,7,0),1)</f>
        <v>1</v>
      </c>
    </row>
    <row r="4317" spans="10:10" ht="35.450000000000003" hidden="1" customHeight="1">
      <c r="J4317" s="28">
        <f>IFERROR(VLOOKUP(TEXT(B4317,"0"),STOCK!A:H,7,0),1)</f>
        <v>1</v>
      </c>
    </row>
    <row r="4318" spans="10:10" ht="35.450000000000003" hidden="1" customHeight="1">
      <c r="J4318" s="28">
        <f>IFERROR(VLOOKUP(TEXT(B4318,"0"),STOCK!A:H,7,0),1)</f>
        <v>1</v>
      </c>
    </row>
    <row r="4319" spans="10:10" ht="35.450000000000003" hidden="1" customHeight="1">
      <c r="J4319" s="28">
        <f>IFERROR(VLOOKUP(TEXT(B4319,"0"),STOCK!A:H,7,0),1)</f>
        <v>1</v>
      </c>
    </row>
    <row r="4320" spans="10:10" ht="35.450000000000003" hidden="1" customHeight="1">
      <c r="J4320" s="28">
        <f>IFERROR(VLOOKUP(TEXT(B4320,"0"),STOCK!A:H,7,0),1)</f>
        <v>1</v>
      </c>
    </row>
    <row r="4321" spans="10:10" ht="35.450000000000003" hidden="1" customHeight="1">
      <c r="J4321" s="28">
        <f>IFERROR(VLOOKUP(TEXT(B4321,"0"),STOCK!A:H,7,0),1)</f>
        <v>1</v>
      </c>
    </row>
    <row r="4322" spans="10:10" ht="35.450000000000003" hidden="1" customHeight="1">
      <c r="J4322" s="28">
        <f>IFERROR(VLOOKUP(TEXT(B4322,"0"),STOCK!A:H,7,0),1)</f>
        <v>1</v>
      </c>
    </row>
    <row r="4323" spans="10:10" ht="35.450000000000003" hidden="1" customHeight="1">
      <c r="J4323" s="28">
        <f>IFERROR(VLOOKUP(TEXT(B4323,"0"),STOCK!A:H,7,0),1)</f>
        <v>1</v>
      </c>
    </row>
    <row r="4324" spans="10:10" ht="35.450000000000003" hidden="1" customHeight="1">
      <c r="J4324" s="28">
        <f>IFERROR(VLOOKUP(TEXT(B4324,"0"),STOCK!A:H,7,0),1)</f>
        <v>1</v>
      </c>
    </row>
    <row r="4325" spans="10:10" ht="35.450000000000003" hidden="1" customHeight="1">
      <c r="J4325" s="28">
        <f>IFERROR(VLOOKUP(TEXT(B4325,"0"),STOCK!A:H,7,0),1)</f>
        <v>1</v>
      </c>
    </row>
    <row r="4326" spans="10:10" ht="35.450000000000003" hidden="1" customHeight="1">
      <c r="J4326" s="28">
        <f>IFERROR(VLOOKUP(TEXT(B4326,"0"),STOCK!A:H,7,0),1)</f>
        <v>1</v>
      </c>
    </row>
    <row r="4327" spans="10:10" ht="35.450000000000003" hidden="1" customHeight="1">
      <c r="J4327" s="28">
        <f>IFERROR(VLOOKUP(TEXT(B4327,"0"),STOCK!A:H,7,0),1)</f>
        <v>1</v>
      </c>
    </row>
    <row r="4328" spans="10:10" ht="35.450000000000003" hidden="1" customHeight="1">
      <c r="J4328" s="28">
        <f>IFERROR(VLOOKUP(TEXT(B4328,"0"),STOCK!A:H,7,0),1)</f>
        <v>1</v>
      </c>
    </row>
    <row r="4329" spans="10:10" ht="35.450000000000003" hidden="1" customHeight="1">
      <c r="J4329" s="28">
        <f>IFERROR(VLOOKUP(TEXT(B4329,"0"),STOCK!A:H,7,0),1)</f>
        <v>1</v>
      </c>
    </row>
    <row r="4330" spans="10:10" ht="35.450000000000003" hidden="1" customHeight="1">
      <c r="J4330" s="28">
        <f>IFERROR(VLOOKUP(TEXT(B4330,"0"),STOCK!A:H,7,0),1)</f>
        <v>1</v>
      </c>
    </row>
    <row r="4331" spans="10:10" ht="35.450000000000003" hidden="1" customHeight="1">
      <c r="J4331" s="28">
        <f>IFERROR(VLOOKUP(TEXT(B4331,"0"),STOCK!A:H,7,0),1)</f>
        <v>1</v>
      </c>
    </row>
    <row r="4332" spans="10:10" ht="35.450000000000003" hidden="1" customHeight="1">
      <c r="J4332" s="28">
        <f>IFERROR(VLOOKUP(TEXT(B4332,"0"),STOCK!A:H,7,0),1)</f>
        <v>1</v>
      </c>
    </row>
    <row r="4333" spans="10:10" ht="35.450000000000003" hidden="1" customHeight="1">
      <c r="J4333" s="28">
        <f>IFERROR(VLOOKUP(TEXT(B4333,"0"),STOCK!A:H,7,0),1)</f>
        <v>1</v>
      </c>
    </row>
    <row r="4334" spans="10:10" ht="35.450000000000003" hidden="1" customHeight="1">
      <c r="J4334" s="28">
        <f>IFERROR(VLOOKUP(TEXT(B4334,"0"),STOCK!A:H,7,0),1)</f>
        <v>1</v>
      </c>
    </row>
    <row r="4335" spans="10:10" ht="35.450000000000003" hidden="1" customHeight="1">
      <c r="J4335" s="28">
        <f>IFERROR(VLOOKUP(TEXT(B4335,"0"),STOCK!A:H,7,0),1)</f>
        <v>1</v>
      </c>
    </row>
    <row r="4336" spans="10:10" ht="35.450000000000003" hidden="1" customHeight="1">
      <c r="J4336" s="28">
        <f>IFERROR(VLOOKUP(TEXT(B4336,"0"),STOCK!A:H,7,0),1)</f>
        <v>1</v>
      </c>
    </row>
    <row r="4337" spans="10:10" ht="35.450000000000003" hidden="1" customHeight="1">
      <c r="J4337" s="28">
        <f>IFERROR(VLOOKUP(TEXT(B4337,"0"),STOCK!A:H,7,0),1)</f>
        <v>1</v>
      </c>
    </row>
    <row r="4338" spans="10:10" ht="35.450000000000003" hidden="1" customHeight="1">
      <c r="J4338" s="28">
        <f>IFERROR(VLOOKUP(TEXT(B4338,"0"),STOCK!A:H,7,0),1)</f>
        <v>1</v>
      </c>
    </row>
    <row r="4339" spans="10:10" ht="35.450000000000003" hidden="1" customHeight="1">
      <c r="J4339" s="28">
        <f>IFERROR(VLOOKUP(TEXT(B4339,"0"),STOCK!A:H,7,0),1)</f>
        <v>1</v>
      </c>
    </row>
    <row r="4340" spans="10:10" ht="35.450000000000003" hidden="1" customHeight="1">
      <c r="J4340" s="28">
        <f>IFERROR(VLOOKUP(TEXT(B4340,"0"),STOCK!A:H,7,0),1)</f>
        <v>1</v>
      </c>
    </row>
    <row r="4341" spans="10:10" ht="35.450000000000003" hidden="1" customHeight="1">
      <c r="J4341" s="28">
        <f>IFERROR(VLOOKUP(TEXT(B4341,"0"),STOCK!A:H,7,0),1)</f>
        <v>1</v>
      </c>
    </row>
    <row r="4342" spans="10:10" ht="35.450000000000003" hidden="1" customHeight="1">
      <c r="J4342" s="28">
        <f>IFERROR(VLOOKUP(TEXT(B4342,"0"),STOCK!A:H,7,0),1)</f>
        <v>1</v>
      </c>
    </row>
    <row r="4343" spans="10:10" ht="35.450000000000003" hidden="1" customHeight="1">
      <c r="J4343" s="28">
        <f>IFERROR(VLOOKUP(TEXT(B4343,"0"),STOCK!A:H,7,0),1)</f>
        <v>1</v>
      </c>
    </row>
    <row r="4344" spans="10:10" ht="35.450000000000003" hidden="1" customHeight="1">
      <c r="J4344" s="28">
        <f>IFERROR(VLOOKUP(TEXT(B4344,"0"),STOCK!A:H,7,0),1)</f>
        <v>1</v>
      </c>
    </row>
    <row r="4345" spans="10:10" ht="35.450000000000003" hidden="1" customHeight="1">
      <c r="J4345" s="28">
        <f>IFERROR(VLOOKUP(TEXT(B4345,"0"),STOCK!A:H,7,0),1)</f>
        <v>1</v>
      </c>
    </row>
    <row r="4346" spans="10:10" ht="35.450000000000003" hidden="1" customHeight="1">
      <c r="J4346" s="28">
        <f>IFERROR(VLOOKUP(TEXT(B4346,"0"),STOCK!A:H,7,0),1)</f>
        <v>1</v>
      </c>
    </row>
    <row r="4347" spans="10:10" ht="35.450000000000003" hidden="1" customHeight="1">
      <c r="J4347" s="28">
        <f>IFERROR(VLOOKUP(TEXT(B4347,"0"),STOCK!A:H,7,0),1)</f>
        <v>1</v>
      </c>
    </row>
    <row r="4348" spans="10:10" ht="35.450000000000003" hidden="1" customHeight="1">
      <c r="J4348" s="28">
        <f>IFERROR(VLOOKUP(TEXT(B4348,"0"),STOCK!A:H,7,0),1)</f>
        <v>1</v>
      </c>
    </row>
    <row r="4349" spans="10:10" ht="35.450000000000003" hidden="1" customHeight="1">
      <c r="J4349" s="28">
        <f>IFERROR(VLOOKUP(TEXT(B4349,"0"),STOCK!A:H,7,0),1)</f>
        <v>1</v>
      </c>
    </row>
    <row r="4350" spans="10:10" ht="35.450000000000003" hidden="1" customHeight="1">
      <c r="J4350" s="28">
        <f>IFERROR(VLOOKUP(TEXT(B4350,"0"),STOCK!A:H,7,0),1)</f>
        <v>1</v>
      </c>
    </row>
    <row r="4351" spans="10:10" ht="35.450000000000003" hidden="1" customHeight="1">
      <c r="J4351" s="28">
        <f>IFERROR(VLOOKUP(TEXT(B4351,"0"),STOCK!A:H,7,0),1)</f>
        <v>1</v>
      </c>
    </row>
    <row r="4352" spans="10:10" ht="35.450000000000003" hidden="1" customHeight="1">
      <c r="J4352" s="28">
        <f>IFERROR(VLOOKUP(TEXT(B4352,"0"),STOCK!A:H,7,0),1)</f>
        <v>1</v>
      </c>
    </row>
    <row r="4353" spans="10:10" ht="35.450000000000003" hidden="1" customHeight="1">
      <c r="J4353" s="28">
        <f>IFERROR(VLOOKUP(TEXT(B4353,"0"),STOCK!A:H,7,0),1)</f>
        <v>1</v>
      </c>
    </row>
    <row r="4354" spans="10:10" ht="35.450000000000003" hidden="1" customHeight="1">
      <c r="J4354" s="28">
        <f>IFERROR(VLOOKUP(TEXT(B4354,"0"),STOCK!A:H,7,0),1)</f>
        <v>1</v>
      </c>
    </row>
    <row r="4355" spans="10:10" ht="35.450000000000003" hidden="1" customHeight="1">
      <c r="J4355" s="28">
        <f>IFERROR(VLOOKUP(TEXT(B4355,"0"),STOCK!A:H,7,0),1)</f>
        <v>1</v>
      </c>
    </row>
    <row r="4356" spans="10:10" ht="35.450000000000003" hidden="1" customHeight="1">
      <c r="J4356" s="28">
        <f>IFERROR(VLOOKUP(TEXT(B4356,"0"),STOCK!A:H,7,0),1)</f>
        <v>1</v>
      </c>
    </row>
    <row r="4357" spans="10:10" ht="35.450000000000003" hidden="1" customHeight="1">
      <c r="J4357" s="28">
        <f>IFERROR(VLOOKUP(TEXT(B4357,"0"),STOCK!A:H,7,0),1)</f>
        <v>1</v>
      </c>
    </row>
    <row r="4358" spans="10:10" ht="35.450000000000003" hidden="1" customHeight="1">
      <c r="J4358" s="28">
        <f>IFERROR(VLOOKUP(TEXT(B4358,"0"),STOCK!A:H,7,0),1)</f>
        <v>1</v>
      </c>
    </row>
    <row r="4359" spans="10:10" ht="35.450000000000003" hidden="1" customHeight="1">
      <c r="J4359" s="28">
        <f>IFERROR(VLOOKUP(TEXT(B4359,"0"),STOCK!A:H,7,0),1)</f>
        <v>1</v>
      </c>
    </row>
    <row r="4360" spans="10:10" ht="35.450000000000003" hidden="1" customHeight="1">
      <c r="J4360" s="28">
        <f>IFERROR(VLOOKUP(TEXT(B4360,"0"),STOCK!A:H,7,0),1)</f>
        <v>1</v>
      </c>
    </row>
    <row r="4361" spans="10:10" ht="35.450000000000003" hidden="1" customHeight="1">
      <c r="J4361" s="28">
        <f>IFERROR(VLOOKUP(TEXT(B4361,"0"),STOCK!A:H,7,0),1)</f>
        <v>1</v>
      </c>
    </row>
    <row r="4362" spans="10:10" ht="35.450000000000003" hidden="1" customHeight="1">
      <c r="J4362" s="28">
        <f>IFERROR(VLOOKUP(TEXT(B4362,"0"),STOCK!A:H,7,0),1)</f>
        <v>1</v>
      </c>
    </row>
    <row r="4363" spans="10:10" ht="35.450000000000003" hidden="1" customHeight="1">
      <c r="J4363" s="28">
        <f>IFERROR(VLOOKUP(TEXT(B4363,"0"),STOCK!A:H,7,0),1)</f>
        <v>1</v>
      </c>
    </row>
    <row r="4364" spans="10:10" ht="35.450000000000003" hidden="1" customHeight="1">
      <c r="J4364" s="28">
        <f>IFERROR(VLOOKUP(TEXT(B4364,"0"),STOCK!A:H,7,0),1)</f>
        <v>1</v>
      </c>
    </row>
    <row r="4365" spans="10:10" ht="35.450000000000003" hidden="1" customHeight="1">
      <c r="J4365" s="28">
        <f>IFERROR(VLOOKUP(TEXT(B4365,"0"),STOCK!A:H,7,0),1)</f>
        <v>1</v>
      </c>
    </row>
    <row r="4366" spans="10:10" ht="35.450000000000003" hidden="1" customHeight="1">
      <c r="J4366" s="28">
        <f>IFERROR(VLOOKUP(TEXT(B4366,"0"),STOCK!A:H,7,0),1)</f>
        <v>1</v>
      </c>
    </row>
    <row r="4367" spans="10:10" ht="35.450000000000003" hidden="1" customHeight="1">
      <c r="J4367" s="28">
        <f>IFERROR(VLOOKUP(TEXT(B4367,"0"),STOCK!A:H,7,0),1)</f>
        <v>1</v>
      </c>
    </row>
    <row r="4368" spans="10:10" ht="35.450000000000003" hidden="1" customHeight="1">
      <c r="J4368" s="28">
        <f>IFERROR(VLOOKUP(TEXT(B4368,"0"),STOCK!A:H,7,0),1)</f>
        <v>1</v>
      </c>
    </row>
    <row r="4369" spans="10:10" ht="35.450000000000003" hidden="1" customHeight="1">
      <c r="J4369" s="28">
        <f>IFERROR(VLOOKUP(TEXT(B4369,"0"),STOCK!A:H,7,0),1)</f>
        <v>1</v>
      </c>
    </row>
    <row r="4370" spans="10:10" ht="35.450000000000003" hidden="1" customHeight="1">
      <c r="J4370" s="28">
        <f>IFERROR(VLOOKUP(TEXT(B4370,"0"),STOCK!A:H,7,0),1)</f>
        <v>1</v>
      </c>
    </row>
    <row r="4371" spans="10:10" ht="35.450000000000003" hidden="1" customHeight="1">
      <c r="J4371" s="28">
        <f>IFERROR(VLOOKUP(TEXT(B4371,"0"),STOCK!A:H,7,0),1)</f>
        <v>1</v>
      </c>
    </row>
    <row r="4372" spans="10:10" ht="35.450000000000003" hidden="1" customHeight="1">
      <c r="J4372" s="28">
        <f>IFERROR(VLOOKUP(TEXT(B4372,"0"),STOCK!A:H,7,0),1)</f>
        <v>1</v>
      </c>
    </row>
    <row r="4373" spans="10:10" ht="35.450000000000003" hidden="1" customHeight="1">
      <c r="J4373" s="28">
        <f>IFERROR(VLOOKUP(TEXT(B4373,"0"),STOCK!A:H,7,0),1)</f>
        <v>1</v>
      </c>
    </row>
    <row r="4374" spans="10:10" ht="35.450000000000003" hidden="1" customHeight="1">
      <c r="J4374" s="28">
        <f>IFERROR(VLOOKUP(TEXT(B4374,"0"),STOCK!A:H,7,0),1)</f>
        <v>1</v>
      </c>
    </row>
    <row r="4375" spans="10:10" ht="35.450000000000003" hidden="1" customHeight="1">
      <c r="J4375" s="28">
        <f>IFERROR(VLOOKUP(TEXT(B4375,"0"),STOCK!A:H,7,0),1)</f>
        <v>1</v>
      </c>
    </row>
    <row r="4376" spans="10:10" ht="35.450000000000003" hidden="1" customHeight="1">
      <c r="J4376" s="28">
        <f>IFERROR(VLOOKUP(TEXT(B4376,"0"),STOCK!A:H,7,0),1)</f>
        <v>1</v>
      </c>
    </row>
    <row r="4377" spans="10:10" ht="35.450000000000003" hidden="1" customHeight="1">
      <c r="J4377" s="28">
        <f>IFERROR(VLOOKUP(TEXT(B4377,"0"),STOCK!A:H,7,0),1)</f>
        <v>1</v>
      </c>
    </row>
    <row r="4378" spans="10:10" ht="35.450000000000003" hidden="1" customHeight="1">
      <c r="J4378" s="28">
        <f>IFERROR(VLOOKUP(TEXT(B4378,"0"),STOCK!A:H,7,0),1)</f>
        <v>1</v>
      </c>
    </row>
    <row r="4379" spans="10:10" ht="35.450000000000003" hidden="1" customHeight="1">
      <c r="J4379" s="28">
        <f>IFERROR(VLOOKUP(TEXT(B4379,"0"),STOCK!A:H,7,0),1)</f>
        <v>1</v>
      </c>
    </row>
    <row r="4380" spans="10:10" ht="35.450000000000003" hidden="1" customHeight="1">
      <c r="J4380" s="28">
        <f>IFERROR(VLOOKUP(TEXT(B4380,"0"),STOCK!A:H,7,0),1)</f>
        <v>1</v>
      </c>
    </row>
    <row r="4381" spans="10:10" ht="35.450000000000003" hidden="1" customHeight="1">
      <c r="J4381" s="28">
        <f>IFERROR(VLOOKUP(TEXT(B4381,"0"),STOCK!A:H,7,0),1)</f>
        <v>1</v>
      </c>
    </row>
    <row r="4382" spans="10:10" ht="35.450000000000003" hidden="1" customHeight="1">
      <c r="J4382" s="28">
        <f>IFERROR(VLOOKUP(TEXT(B4382,"0"),STOCK!A:H,7,0),1)</f>
        <v>1</v>
      </c>
    </row>
    <row r="4383" spans="10:10" ht="35.450000000000003" hidden="1" customHeight="1">
      <c r="J4383" s="28">
        <f>IFERROR(VLOOKUP(TEXT(B4383,"0"),STOCK!A:H,7,0),1)</f>
        <v>1</v>
      </c>
    </row>
    <row r="4384" spans="10:10" ht="35.450000000000003" hidden="1" customHeight="1">
      <c r="J4384" s="28">
        <f>IFERROR(VLOOKUP(TEXT(B4384,"0"),STOCK!A:H,7,0),1)</f>
        <v>1</v>
      </c>
    </row>
    <row r="4385" spans="10:10" ht="35.450000000000003" hidden="1" customHeight="1">
      <c r="J4385" s="28">
        <f>IFERROR(VLOOKUP(TEXT(B4385,"0"),STOCK!A:H,7,0),1)</f>
        <v>1</v>
      </c>
    </row>
    <row r="4386" spans="10:10" ht="35.450000000000003" hidden="1" customHeight="1">
      <c r="J4386" s="28">
        <f>IFERROR(VLOOKUP(TEXT(B4386,"0"),STOCK!A:H,7,0),1)</f>
        <v>1</v>
      </c>
    </row>
    <row r="4387" spans="10:10" ht="35.450000000000003" hidden="1" customHeight="1">
      <c r="J4387" s="28">
        <f>IFERROR(VLOOKUP(TEXT(B4387,"0"),STOCK!A:H,7,0),1)</f>
        <v>1</v>
      </c>
    </row>
    <row r="4388" spans="10:10" ht="35.450000000000003" hidden="1" customHeight="1">
      <c r="J4388" s="28">
        <f>IFERROR(VLOOKUP(TEXT(B4388,"0"),STOCK!A:H,7,0),1)</f>
        <v>1</v>
      </c>
    </row>
    <row r="4389" spans="10:10" ht="35.450000000000003" hidden="1" customHeight="1">
      <c r="J4389" s="28">
        <f>IFERROR(VLOOKUP(TEXT(B4389,"0"),STOCK!A:H,7,0),1)</f>
        <v>1</v>
      </c>
    </row>
    <row r="4390" spans="10:10" ht="35.450000000000003" hidden="1" customHeight="1">
      <c r="J4390" s="28">
        <f>IFERROR(VLOOKUP(TEXT(B4390,"0"),STOCK!A:H,7,0),1)</f>
        <v>1</v>
      </c>
    </row>
    <row r="4391" spans="10:10" ht="35.450000000000003" hidden="1" customHeight="1">
      <c r="J4391" s="28">
        <f>IFERROR(VLOOKUP(TEXT(B4391,"0"),STOCK!A:H,7,0),1)</f>
        <v>1</v>
      </c>
    </row>
    <row r="4392" spans="10:10" ht="35.450000000000003" hidden="1" customHeight="1">
      <c r="J4392" s="28">
        <f>IFERROR(VLOOKUP(TEXT(B4392,"0"),STOCK!A:H,7,0),1)</f>
        <v>1</v>
      </c>
    </row>
    <row r="4393" spans="10:10" ht="35.450000000000003" hidden="1" customHeight="1">
      <c r="J4393" s="28">
        <f>IFERROR(VLOOKUP(TEXT(B4393,"0"),STOCK!A:H,7,0),1)</f>
        <v>1</v>
      </c>
    </row>
    <row r="4394" spans="10:10" ht="35.450000000000003" hidden="1" customHeight="1">
      <c r="J4394" s="28">
        <f>IFERROR(VLOOKUP(TEXT(B4394,"0"),STOCK!A:H,7,0),1)</f>
        <v>1</v>
      </c>
    </row>
    <row r="4395" spans="10:10" ht="35.450000000000003" hidden="1" customHeight="1">
      <c r="J4395" s="28">
        <f>IFERROR(VLOOKUP(TEXT(B4395,"0"),STOCK!A:H,7,0),1)</f>
        <v>1</v>
      </c>
    </row>
    <row r="4396" spans="10:10" ht="35.450000000000003" hidden="1" customHeight="1">
      <c r="J4396" s="28">
        <f>IFERROR(VLOOKUP(TEXT(B4396,"0"),STOCK!A:H,7,0),1)</f>
        <v>1</v>
      </c>
    </row>
    <row r="4397" spans="10:10" ht="35.450000000000003" hidden="1" customHeight="1">
      <c r="J4397" s="28">
        <f>IFERROR(VLOOKUP(TEXT(B4397,"0"),STOCK!A:H,7,0),1)</f>
        <v>1</v>
      </c>
    </row>
    <row r="4398" spans="10:10" ht="35.450000000000003" hidden="1" customHeight="1">
      <c r="J4398" s="28">
        <f>IFERROR(VLOOKUP(TEXT(B4398,"0"),STOCK!A:H,7,0),1)</f>
        <v>1</v>
      </c>
    </row>
    <row r="4399" spans="10:10" ht="35.450000000000003" hidden="1" customHeight="1">
      <c r="J4399" s="28">
        <f>IFERROR(VLOOKUP(TEXT(B4399,"0"),STOCK!A:H,7,0),1)</f>
        <v>1</v>
      </c>
    </row>
    <row r="4400" spans="10:10" ht="35.450000000000003" hidden="1" customHeight="1">
      <c r="J4400" s="28">
        <f>IFERROR(VLOOKUP(TEXT(B4400,"0"),STOCK!A:H,7,0),1)</f>
        <v>1</v>
      </c>
    </row>
    <row r="4401" spans="10:10" ht="35.450000000000003" hidden="1" customHeight="1">
      <c r="J4401" s="28">
        <f>IFERROR(VLOOKUP(TEXT(B4401,"0"),STOCK!A:H,7,0),1)</f>
        <v>1</v>
      </c>
    </row>
    <row r="4402" spans="10:10" ht="35.450000000000003" hidden="1" customHeight="1">
      <c r="J4402" s="28">
        <f>IFERROR(VLOOKUP(TEXT(B4402,"0"),STOCK!A:H,7,0),1)</f>
        <v>1</v>
      </c>
    </row>
    <row r="4403" spans="10:10" ht="35.450000000000003" hidden="1" customHeight="1">
      <c r="J4403" s="28">
        <f>IFERROR(VLOOKUP(TEXT(B4403,"0"),STOCK!A:H,7,0),1)</f>
        <v>1</v>
      </c>
    </row>
    <row r="4404" spans="10:10" ht="35.450000000000003" hidden="1" customHeight="1">
      <c r="J4404" s="28">
        <f>IFERROR(VLOOKUP(TEXT(B4404,"0"),STOCK!A:H,7,0),1)</f>
        <v>1</v>
      </c>
    </row>
    <row r="4405" spans="10:10" ht="35.450000000000003" hidden="1" customHeight="1">
      <c r="J4405" s="28">
        <f>IFERROR(VLOOKUP(TEXT(B4405,"0"),STOCK!A:H,7,0),1)</f>
        <v>1</v>
      </c>
    </row>
    <row r="4406" spans="10:10" ht="35.450000000000003" hidden="1" customHeight="1">
      <c r="J4406" s="28">
        <f>IFERROR(VLOOKUP(TEXT(B4406,"0"),STOCK!A:H,7,0),1)</f>
        <v>1</v>
      </c>
    </row>
    <row r="4407" spans="10:10" ht="35.450000000000003" hidden="1" customHeight="1">
      <c r="J4407" s="28">
        <f>IFERROR(VLOOKUP(TEXT(B4407,"0"),STOCK!A:H,7,0),1)</f>
        <v>1</v>
      </c>
    </row>
    <row r="4408" spans="10:10" ht="35.450000000000003" hidden="1" customHeight="1">
      <c r="J4408" s="28">
        <f>IFERROR(VLOOKUP(TEXT(B4408,"0"),STOCK!A:H,7,0),1)</f>
        <v>1</v>
      </c>
    </row>
    <row r="4409" spans="10:10" ht="35.450000000000003" hidden="1" customHeight="1">
      <c r="J4409" s="28">
        <f>IFERROR(VLOOKUP(TEXT(B4409,"0"),STOCK!A:H,7,0),1)</f>
        <v>1</v>
      </c>
    </row>
    <row r="4410" spans="10:10" ht="35.450000000000003" hidden="1" customHeight="1">
      <c r="J4410" s="28">
        <f>IFERROR(VLOOKUP(TEXT(B4410,"0"),STOCK!A:H,7,0),1)</f>
        <v>1</v>
      </c>
    </row>
    <row r="4411" spans="10:10" ht="35.450000000000003" hidden="1" customHeight="1">
      <c r="J4411" s="28">
        <f>IFERROR(VLOOKUP(TEXT(B4411,"0"),STOCK!A:H,7,0),1)</f>
        <v>1</v>
      </c>
    </row>
    <row r="4412" spans="10:10" ht="35.450000000000003" hidden="1" customHeight="1">
      <c r="J4412" s="28">
        <f>IFERROR(VLOOKUP(TEXT(B4412,"0"),STOCK!A:H,7,0),1)</f>
        <v>1</v>
      </c>
    </row>
    <row r="4413" spans="10:10" ht="35.450000000000003" hidden="1" customHeight="1">
      <c r="J4413" s="28">
        <f>IFERROR(VLOOKUP(TEXT(B4413,"0"),STOCK!A:H,7,0),1)</f>
        <v>1</v>
      </c>
    </row>
    <row r="4414" spans="10:10" ht="35.450000000000003" hidden="1" customHeight="1">
      <c r="J4414" s="28">
        <f>IFERROR(VLOOKUP(TEXT(B4414,"0"),STOCK!A:H,7,0),1)</f>
        <v>1</v>
      </c>
    </row>
    <row r="4415" spans="10:10" ht="35.450000000000003" hidden="1" customHeight="1">
      <c r="J4415" s="28">
        <f>IFERROR(VLOOKUP(TEXT(B4415,"0"),STOCK!A:H,7,0),1)</f>
        <v>1</v>
      </c>
    </row>
    <row r="4416" spans="10:10" ht="35.450000000000003" hidden="1" customHeight="1">
      <c r="J4416" s="28">
        <f>IFERROR(VLOOKUP(TEXT(B4416,"0"),STOCK!A:H,7,0),1)</f>
        <v>1</v>
      </c>
    </row>
    <row r="4417" spans="10:10" ht="35.450000000000003" hidden="1" customHeight="1">
      <c r="J4417" s="28">
        <f>IFERROR(VLOOKUP(TEXT(B4417,"0"),STOCK!A:H,7,0),1)</f>
        <v>1</v>
      </c>
    </row>
    <row r="4418" spans="10:10" ht="35.450000000000003" hidden="1" customHeight="1">
      <c r="J4418" s="28">
        <f>IFERROR(VLOOKUP(TEXT(B4418,"0"),STOCK!A:H,7,0),1)</f>
        <v>1</v>
      </c>
    </row>
    <row r="4419" spans="10:10" ht="35.450000000000003" hidden="1" customHeight="1">
      <c r="J4419" s="28">
        <f>IFERROR(VLOOKUP(TEXT(B4419,"0"),STOCK!A:H,7,0),1)</f>
        <v>1</v>
      </c>
    </row>
    <row r="4420" spans="10:10" ht="35.450000000000003" hidden="1" customHeight="1">
      <c r="J4420" s="28">
        <f>IFERROR(VLOOKUP(TEXT(B4420,"0"),STOCK!A:H,7,0),1)</f>
        <v>1</v>
      </c>
    </row>
    <row r="4421" spans="10:10" ht="35.450000000000003" hidden="1" customHeight="1">
      <c r="J4421" s="28">
        <f>IFERROR(VLOOKUP(TEXT(B4421,"0"),STOCK!A:H,7,0),1)</f>
        <v>1</v>
      </c>
    </row>
    <row r="4422" spans="10:10" ht="35.450000000000003" hidden="1" customHeight="1">
      <c r="J4422" s="28">
        <f>IFERROR(VLOOKUP(TEXT(B4422,"0"),STOCK!A:H,7,0),1)</f>
        <v>1</v>
      </c>
    </row>
    <row r="4423" spans="10:10" ht="35.450000000000003" hidden="1" customHeight="1">
      <c r="J4423" s="28">
        <f>IFERROR(VLOOKUP(TEXT(B4423,"0"),STOCK!A:H,7,0),1)</f>
        <v>1</v>
      </c>
    </row>
    <row r="4424" spans="10:10" ht="35.450000000000003" hidden="1" customHeight="1">
      <c r="J4424" s="28">
        <f>IFERROR(VLOOKUP(TEXT(B4424,"0"),STOCK!A:H,7,0),1)</f>
        <v>1</v>
      </c>
    </row>
    <row r="4425" spans="10:10" ht="35.450000000000003" hidden="1" customHeight="1">
      <c r="J4425" s="28">
        <f>IFERROR(VLOOKUP(TEXT(B4425,"0"),STOCK!A:H,7,0),1)</f>
        <v>1</v>
      </c>
    </row>
    <row r="4426" spans="10:10" ht="35.450000000000003" hidden="1" customHeight="1">
      <c r="J4426" s="28">
        <f>IFERROR(VLOOKUP(TEXT(B4426,"0"),STOCK!A:H,7,0),1)</f>
        <v>1</v>
      </c>
    </row>
    <row r="4427" spans="10:10" ht="35.450000000000003" hidden="1" customHeight="1">
      <c r="J4427" s="28">
        <f>IFERROR(VLOOKUP(TEXT(B4427,"0"),STOCK!A:H,7,0),1)</f>
        <v>1</v>
      </c>
    </row>
    <row r="4428" spans="10:10" ht="35.450000000000003" hidden="1" customHeight="1">
      <c r="J4428" s="28">
        <f>IFERROR(VLOOKUP(TEXT(B4428,"0"),STOCK!A:H,7,0),1)</f>
        <v>1</v>
      </c>
    </row>
    <row r="4429" spans="10:10" ht="35.450000000000003" hidden="1" customHeight="1">
      <c r="J4429" s="28">
        <f>IFERROR(VLOOKUP(TEXT(B4429,"0"),STOCK!A:H,7,0),1)</f>
        <v>1</v>
      </c>
    </row>
    <row r="4430" spans="10:10" ht="35.450000000000003" hidden="1" customHeight="1">
      <c r="J4430" s="28">
        <f>IFERROR(VLOOKUP(TEXT(B4430,"0"),STOCK!A:H,7,0),1)</f>
        <v>1</v>
      </c>
    </row>
    <row r="4431" spans="10:10" ht="35.450000000000003" hidden="1" customHeight="1">
      <c r="J4431" s="28">
        <f>IFERROR(VLOOKUP(TEXT(B4431,"0"),STOCK!A:H,7,0),1)</f>
        <v>1</v>
      </c>
    </row>
    <row r="4432" spans="10:10" ht="35.450000000000003" hidden="1" customHeight="1">
      <c r="J4432" s="28">
        <f>IFERROR(VLOOKUP(TEXT(B4432,"0"),STOCK!A:H,7,0),1)</f>
        <v>1</v>
      </c>
    </row>
    <row r="4433" spans="10:10" ht="35.450000000000003" hidden="1" customHeight="1">
      <c r="J4433" s="28">
        <f>IFERROR(VLOOKUP(TEXT(B4433,"0"),STOCK!A:H,7,0),1)</f>
        <v>1</v>
      </c>
    </row>
    <row r="4434" spans="10:10" ht="35.450000000000003" hidden="1" customHeight="1">
      <c r="J4434" s="28">
        <f>IFERROR(VLOOKUP(TEXT(B4434,"0"),STOCK!A:H,7,0),1)</f>
        <v>1</v>
      </c>
    </row>
    <row r="4435" spans="10:10" ht="35.450000000000003" hidden="1" customHeight="1">
      <c r="J4435" s="28">
        <f>IFERROR(VLOOKUP(TEXT(B4435,"0"),STOCK!A:H,7,0),1)</f>
        <v>1</v>
      </c>
    </row>
    <row r="4436" spans="10:10" ht="35.450000000000003" hidden="1" customHeight="1">
      <c r="J4436" s="28">
        <f>IFERROR(VLOOKUP(TEXT(B4436,"0"),STOCK!A:H,7,0),1)</f>
        <v>1</v>
      </c>
    </row>
    <row r="4437" spans="10:10" ht="35.450000000000003" hidden="1" customHeight="1">
      <c r="J4437" s="28">
        <f>IFERROR(VLOOKUP(TEXT(B4437,"0"),STOCK!A:H,7,0),1)</f>
        <v>1</v>
      </c>
    </row>
    <row r="4438" spans="10:10" ht="35.450000000000003" hidden="1" customHeight="1">
      <c r="J4438" s="28">
        <f>IFERROR(VLOOKUP(TEXT(B4438,"0"),STOCK!A:H,7,0),1)</f>
        <v>1</v>
      </c>
    </row>
    <row r="4439" spans="10:10" ht="35.450000000000003" hidden="1" customHeight="1">
      <c r="J4439" s="28">
        <f>IFERROR(VLOOKUP(TEXT(B4439,"0"),STOCK!A:H,7,0),1)</f>
        <v>1</v>
      </c>
    </row>
    <row r="4440" spans="10:10" ht="35.450000000000003" hidden="1" customHeight="1">
      <c r="J4440" s="28">
        <f>IFERROR(VLOOKUP(TEXT(B4440,"0"),STOCK!A:H,7,0),1)</f>
        <v>1</v>
      </c>
    </row>
    <row r="4441" spans="10:10" ht="35.450000000000003" hidden="1" customHeight="1">
      <c r="J4441" s="28">
        <f>IFERROR(VLOOKUP(TEXT(B4441,"0"),STOCK!A:H,7,0),1)</f>
        <v>1</v>
      </c>
    </row>
    <row r="4442" spans="10:10" ht="35.450000000000003" hidden="1" customHeight="1">
      <c r="J4442" s="28">
        <f>IFERROR(VLOOKUP(TEXT(B4442,"0"),STOCK!A:H,7,0),1)</f>
        <v>1</v>
      </c>
    </row>
    <row r="4443" spans="10:10" ht="35.450000000000003" hidden="1" customHeight="1">
      <c r="J4443" s="28">
        <f>IFERROR(VLOOKUP(TEXT(B4443,"0"),STOCK!A:H,7,0),1)</f>
        <v>1</v>
      </c>
    </row>
    <row r="4444" spans="10:10" ht="35.450000000000003" hidden="1" customHeight="1">
      <c r="J4444" s="28">
        <f>IFERROR(VLOOKUP(TEXT(B4444,"0"),STOCK!A:H,7,0),1)</f>
        <v>1</v>
      </c>
    </row>
    <row r="4445" spans="10:10" ht="35.450000000000003" hidden="1" customHeight="1">
      <c r="J4445" s="28">
        <f>IFERROR(VLOOKUP(TEXT(B4445,"0"),STOCK!A:H,7,0),1)</f>
        <v>1</v>
      </c>
    </row>
    <row r="4446" spans="10:10" ht="35.450000000000003" hidden="1" customHeight="1">
      <c r="J4446" s="28">
        <f>IFERROR(VLOOKUP(TEXT(B4446,"0"),STOCK!A:H,7,0),1)</f>
        <v>1</v>
      </c>
    </row>
    <row r="4447" spans="10:10" ht="35.450000000000003" hidden="1" customHeight="1">
      <c r="J4447" s="28">
        <f>IFERROR(VLOOKUP(TEXT(B4447,"0"),STOCK!A:H,7,0),1)</f>
        <v>1</v>
      </c>
    </row>
    <row r="4448" spans="10:10" ht="35.450000000000003" hidden="1" customHeight="1">
      <c r="J4448" s="28">
        <f>IFERROR(VLOOKUP(TEXT(B4448,"0"),STOCK!A:H,7,0),1)</f>
        <v>1</v>
      </c>
    </row>
    <row r="4449" spans="10:10" ht="35.450000000000003" hidden="1" customHeight="1">
      <c r="J4449" s="28">
        <f>IFERROR(VLOOKUP(TEXT(B4449,"0"),STOCK!A:H,7,0),1)</f>
        <v>1</v>
      </c>
    </row>
    <row r="4450" spans="10:10" ht="35.450000000000003" hidden="1" customHeight="1">
      <c r="J4450" s="28">
        <f>IFERROR(VLOOKUP(TEXT(B4450,"0"),STOCK!A:H,7,0),1)</f>
        <v>1</v>
      </c>
    </row>
    <row r="4451" spans="10:10" ht="35.450000000000003" hidden="1" customHeight="1">
      <c r="J4451" s="28">
        <f>IFERROR(VLOOKUP(TEXT(B4451,"0"),STOCK!A:H,7,0),1)</f>
        <v>1</v>
      </c>
    </row>
    <row r="4452" spans="10:10" ht="35.450000000000003" hidden="1" customHeight="1">
      <c r="J4452" s="28">
        <f>IFERROR(VLOOKUP(TEXT(B4452,"0"),STOCK!A:H,7,0),1)</f>
        <v>1</v>
      </c>
    </row>
    <row r="4453" spans="10:10" ht="35.450000000000003" hidden="1" customHeight="1">
      <c r="J4453" s="28">
        <f>IFERROR(VLOOKUP(TEXT(B4453,"0"),STOCK!A:H,7,0),1)</f>
        <v>1</v>
      </c>
    </row>
    <row r="4454" spans="10:10" ht="35.450000000000003" hidden="1" customHeight="1">
      <c r="J4454" s="28">
        <f>IFERROR(VLOOKUP(TEXT(B4454,"0"),STOCK!A:H,7,0),1)</f>
        <v>1</v>
      </c>
    </row>
    <row r="4455" spans="10:10" ht="35.450000000000003" hidden="1" customHeight="1">
      <c r="J4455" s="28">
        <f>IFERROR(VLOOKUP(TEXT(B4455,"0"),STOCK!A:H,7,0),1)</f>
        <v>1</v>
      </c>
    </row>
    <row r="4456" spans="10:10" ht="35.450000000000003" hidden="1" customHeight="1">
      <c r="J4456" s="28">
        <f>IFERROR(VLOOKUP(TEXT(B4456,"0"),STOCK!A:H,7,0),1)</f>
        <v>1</v>
      </c>
    </row>
    <row r="4457" spans="10:10" ht="35.450000000000003" hidden="1" customHeight="1">
      <c r="J4457" s="28">
        <f>IFERROR(VLOOKUP(TEXT(B4457,"0"),STOCK!A:H,7,0),1)</f>
        <v>1</v>
      </c>
    </row>
    <row r="4458" spans="10:10" ht="35.450000000000003" hidden="1" customHeight="1">
      <c r="J4458" s="28">
        <f>IFERROR(VLOOKUP(TEXT(B4458,"0"),STOCK!A:H,7,0),1)</f>
        <v>1</v>
      </c>
    </row>
    <row r="4459" spans="10:10" ht="35.450000000000003" hidden="1" customHeight="1">
      <c r="J4459" s="28">
        <f>IFERROR(VLOOKUP(TEXT(B4459,"0"),STOCK!A:H,7,0),1)</f>
        <v>1</v>
      </c>
    </row>
    <row r="4460" spans="10:10" ht="35.450000000000003" hidden="1" customHeight="1">
      <c r="J4460" s="28">
        <f>IFERROR(VLOOKUP(TEXT(B4460,"0"),STOCK!A:H,7,0),1)</f>
        <v>1</v>
      </c>
    </row>
    <row r="4461" spans="10:10" ht="35.450000000000003" hidden="1" customHeight="1">
      <c r="J4461" s="28">
        <f>IFERROR(VLOOKUP(TEXT(B4461,"0"),STOCK!A:H,7,0),1)</f>
        <v>1</v>
      </c>
    </row>
    <row r="4462" spans="10:10" ht="35.450000000000003" hidden="1" customHeight="1">
      <c r="J4462" s="28">
        <f>IFERROR(VLOOKUP(TEXT(B4462,"0"),STOCK!A:H,7,0),1)</f>
        <v>1</v>
      </c>
    </row>
    <row r="4463" spans="10:10" ht="35.450000000000003" hidden="1" customHeight="1">
      <c r="J4463" s="28">
        <f>IFERROR(VLOOKUP(TEXT(B4463,"0"),STOCK!A:H,7,0),1)</f>
        <v>1</v>
      </c>
    </row>
    <row r="4464" spans="10:10" ht="35.450000000000003" hidden="1" customHeight="1">
      <c r="J4464" s="28">
        <f>IFERROR(VLOOKUP(TEXT(B4464,"0"),STOCK!A:H,7,0),1)</f>
        <v>1</v>
      </c>
    </row>
    <row r="4465" spans="10:10" ht="35.450000000000003" hidden="1" customHeight="1">
      <c r="J4465" s="28">
        <f>IFERROR(VLOOKUP(TEXT(B4465,"0"),STOCK!A:H,7,0),1)</f>
        <v>1</v>
      </c>
    </row>
    <row r="4466" spans="10:10" ht="35.450000000000003" hidden="1" customHeight="1">
      <c r="J4466" s="28">
        <f>IFERROR(VLOOKUP(TEXT(B4466,"0"),STOCK!A:H,7,0),1)</f>
        <v>1</v>
      </c>
    </row>
    <row r="4467" spans="10:10" ht="35.450000000000003" hidden="1" customHeight="1">
      <c r="J4467" s="28">
        <f>IFERROR(VLOOKUP(TEXT(B4467,"0"),STOCK!A:H,7,0),1)</f>
        <v>1</v>
      </c>
    </row>
    <row r="4468" spans="10:10" ht="35.450000000000003" hidden="1" customHeight="1">
      <c r="J4468" s="28">
        <f>IFERROR(VLOOKUP(TEXT(B4468,"0"),STOCK!A:H,7,0),1)</f>
        <v>1</v>
      </c>
    </row>
    <row r="4469" spans="10:10" ht="35.450000000000003" hidden="1" customHeight="1">
      <c r="J4469" s="28">
        <f>IFERROR(VLOOKUP(TEXT(B4469,"0"),STOCK!A:H,7,0),1)</f>
        <v>1</v>
      </c>
    </row>
    <row r="4470" spans="10:10" ht="35.450000000000003" hidden="1" customHeight="1">
      <c r="J4470" s="28">
        <f>IFERROR(VLOOKUP(TEXT(B4470,"0"),STOCK!A:H,7,0),1)</f>
        <v>1</v>
      </c>
    </row>
    <row r="4471" spans="10:10" ht="35.450000000000003" hidden="1" customHeight="1">
      <c r="J4471" s="28">
        <f>IFERROR(VLOOKUP(TEXT(B4471,"0"),STOCK!A:H,7,0),1)</f>
        <v>1</v>
      </c>
    </row>
    <row r="4472" spans="10:10" ht="35.450000000000003" hidden="1" customHeight="1">
      <c r="J4472" s="28">
        <f>IFERROR(VLOOKUP(TEXT(B4472,"0"),STOCK!A:H,7,0),1)</f>
        <v>1</v>
      </c>
    </row>
    <row r="4473" spans="10:10" ht="35.450000000000003" hidden="1" customHeight="1">
      <c r="J4473" s="28">
        <f>IFERROR(VLOOKUP(TEXT(B4473,"0"),STOCK!A:H,7,0),1)</f>
        <v>1</v>
      </c>
    </row>
    <row r="4474" spans="10:10" ht="35.450000000000003" hidden="1" customHeight="1">
      <c r="J4474" s="28">
        <f>IFERROR(VLOOKUP(TEXT(B4474,"0"),STOCK!A:H,7,0),1)</f>
        <v>1</v>
      </c>
    </row>
    <row r="4475" spans="10:10" ht="35.450000000000003" hidden="1" customHeight="1">
      <c r="J4475" s="28">
        <f>IFERROR(VLOOKUP(TEXT(B4475,"0"),STOCK!A:H,7,0),1)</f>
        <v>1</v>
      </c>
    </row>
    <row r="4476" spans="10:10" ht="35.450000000000003" hidden="1" customHeight="1">
      <c r="J4476" s="28">
        <f>IFERROR(VLOOKUP(TEXT(B4476,"0"),STOCK!A:H,7,0),1)</f>
        <v>1</v>
      </c>
    </row>
    <row r="4477" spans="10:10" ht="35.450000000000003" hidden="1" customHeight="1">
      <c r="J4477" s="28">
        <f>IFERROR(VLOOKUP(TEXT(B4477,"0"),STOCK!A:H,7,0),1)</f>
        <v>1</v>
      </c>
    </row>
    <row r="4478" spans="10:10" ht="35.450000000000003" hidden="1" customHeight="1">
      <c r="J4478" s="28">
        <f>IFERROR(VLOOKUP(TEXT(B4478,"0"),STOCK!A:H,7,0),1)</f>
        <v>1</v>
      </c>
    </row>
    <row r="4479" spans="10:10" ht="35.450000000000003" hidden="1" customHeight="1">
      <c r="J4479" s="28">
        <f>IFERROR(VLOOKUP(TEXT(B4479,"0"),STOCK!A:H,7,0),1)</f>
        <v>1</v>
      </c>
    </row>
    <row r="4480" spans="10:10" ht="35.450000000000003" hidden="1" customHeight="1">
      <c r="J4480" s="28">
        <f>IFERROR(VLOOKUP(TEXT(B4480,"0"),STOCK!A:H,7,0),1)</f>
        <v>1</v>
      </c>
    </row>
    <row r="4481" spans="10:10" ht="35.450000000000003" hidden="1" customHeight="1">
      <c r="J4481" s="28">
        <f>IFERROR(VLOOKUP(TEXT(B4481,"0"),STOCK!A:H,7,0),1)</f>
        <v>1</v>
      </c>
    </row>
    <row r="4482" spans="10:10" ht="35.450000000000003" hidden="1" customHeight="1">
      <c r="J4482" s="28">
        <f>IFERROR(VLOOKUP(TEXT(B4482,"0"),STOCK!A:H,7,0),1)</f>
        <v>1</v>
      </c>
    </row>
    <row r="4483" spans="10:10" ht="35.450000000000003" hidden="1" customHeight="1">
      <c r="J4483" s="28">
        <f>IFERROR(VLOOKUP(TEXT(B4483,"0"),STOCK!A:H,7,0),1)</f>
        <v>1</v>
      </c>
    </row>
    <row r="4484" spans="10:10" ht="35.450000000000003" hidden="1" customHeight="1">
      <c r="J4484" s="28">
        <f>IFERROR(VLOOKUP(TEXT(B4484,"0"),STOCK!A:H,7,0),1)</f>
        <v>1</v>
      </c>
    </row>
    <row r="4485" spans="10:10" ht="35.450000000000003" hidden="1" customHeight="1">
      <c r="J4485" s="28">
        <f>IFERROR(VLOOKUP(TEXT(B4485,"0"),STOCK!A:H,7,0),1)</f>
        <v>1</v>
      </c>
    </row>
    <row r="4486" spans="10:10" ht="35.450000000000003" hidden="1" customHeight="1">
      <c r="J4486" s="28">
        <f>IFERROR(VLOOKUP(TEXT(B4486,"0"),STOCK!A:H,7,0),1)</f>
        <v>1</v>
      </c>
    </row>
    <row r="4487" spans="10:10" ht="35.450000000000003" hidden="1" customHeight="1">
      <c r="J4487" s="28">
        <f>IFERROR(VLOOKUP(TEXT(B4487,"0"),STOCK!A:H,7,0),1)</f>
        <v>1</v>
      </c>
    </row>
    <row r="4488" spans="10:10" ht="35.450000000000003" hidden="1" customHeight="1">
      <c r="J4488" s="28">
        <f>IFERROR(VLOOKUP(TEXT(B4488,"0"),STOCK!A:H,7,0),1)</f>
        <v>1</v>
      </c>
    </row>
    <row r="4489" spans="10:10" ht="35.450000000000003" hidden="1" customHeight="1">
      <c r="J4489" s="28">
        <f>IFERROR(VLOOKUP(TEXT(B4489,"0"),STOCK!A:H,7,0),1)</f>
        <v>1</v>
      </c>
    </row>
    <row r="4490" spans="10:10" ht="35.450000000000003" hidden="1" customHeight="1">
      <c r="J4490" s="28">
        <f>IFERROR(VLOOKUP(TEXT(B4490,"0"),STOCK!A:H,7,0),1)</f>
        <v>1</v>
      </c>
    </row>
    <row r="4491" spans="10:10" ht="35.450000000000003" hidden="1" customHeight="1">
      <c r="J4491" s="28">
        <f>IFERROR(VLOOKUP(TEXT(B4491,"0"),STOCK!A:H,7,0),1)</f>
        <v>1</v>
      </c>
    </row>
    <row r="4492" spans="10:10" ht="35.450000000000003" hidden="1" customHeight="1">
      <c r="J4492" s="28">
        <f>IFERROR(VLOOKUP(TEXT(B4492,"0"),STOCK!A:H,7,0),1)</f>
        <v>1</v>
      </c>
    </row>
    <row r="4493" spans="10:10" ht="35.450000000000003" hidden="1" customHeight="1">
      <c r="J4493" s="28">
        <f>IFERROR(VLOOKUP(TEXT(B4493,"0"),STOCK!A:H,7,0),1)</f>
        <v>1</v>
      </c>
    </row>
    <row r="4494" spans="10:10" ht="35.450000000000003" hidden="1" customHeight="1">
      <c r="J4494" s="28">
        <f>IFERROR(VLOOKUP(TEXT(B4494,"0"),STOCK!A:H,7,0),1)</f>
        <v>1</v>
      </c>
    </row>
    <row r="4495" spans="10:10" ht="35.450000000000003" hidden="1" customHeight="1">
      <c r="J4495" s="28">
        <f>IFERROR(VLOOKUP(TEXT(B4495,"0"),STOCK!A:H,7,0),1)</f>
        <v>1</v>
      </c>
    </row>
    <row r="4496" spans="10:10" ht="35.450000000000003" hidden="1" customHeight="1">
      <c r="J4496" s="28">
        <f>IFERROR(VLOOKUP(TEXT(B4496,"0"),STOCK!A:H,7,0),1)</f>
        <v>1</v>
      </c>
    </row>
    <row r="4497" spans="10:10" ht="35.450000000000003" hidden="1" customHeight="1">
      <c r="J4497" s="28">
        <f>IFERROR(VLOOKUP(TEXT(B4497,"0"),STOCK!A:H,7,0),1)</f>
        <v>1</v>
      </c>
    </row>
    <row r="4498" spans="10:10" ht="35.450000000000003" hidden="1" customHeight="1">
      <c r="J4498" s="28">
        <f>IFERROR(VLOOKUP(TEXT(B4498,"0"),STOCK!A:H,7,0),1)</f>
        <v>1</v>
      </c>
    </row>
    <row r="4499" spans="10:10" ht="35.450000000000003" hidden="1" customHeight="1">
      <c r="J4499" s="28">
        <f>IFERROR(VLOOKUP(TEXT(B4499,"0"),STOCK!A:H,7,0),1)</f>
        <v>1</v>
      </c>
    </row>
    <row r="4500" spans="10:10" ht="35.450000000000003" hidden="1" customHeight="1">
      <c r="J4500" s="28">
        <f>IFERROR(VLOOKUP(TEXT(B4500,"0"),STOCK!A:H,7,0),1)</f>
        <v>1</v>
      </c>
    </row>
    <row r="4501" spans="10:10" ht="35.450000000000003" hidden="1" customHeight="1">
      <c r="J4501" s="28">
        <f>IFERROR(VLOOKUP(TEXT(B4501,"0"),STOCK!A:H,7,0),1)</f>
        <v>1</v>
      </c>
    </row>
    <row r="4502" spans="10:10" ht="35.450000000000003" hidden="1" customHeight="1">
      <c r="J4502" s="28">
        <f>IFERROR(VLOOKUP(TEXT(B4502,"0"),STOCK!A:H,7,0),1)</f>
        <v>1</v>
      </c>
    </row>
    <row r="4503" spans="10:10" ht="35.450000000000003" hidden="1" customHeight="1">
      <c r="J4503" s="28">
        <f>IFERROR(VLOOKUP(TEXT(B4503,"0"),STOCK!A:H,7,0),1)</f>
        <v>1</v>
      </c>
    </row>
    <row r="4504" spans="10:10" ht="35.450000000000003" hidden="1" customHeight="1">
      <c r="J4504" s="28">
        <f>IFERROR(VLOOKUP(TEXT(B4504,"0"),STOCK!A:H,7,0),1)</f>
        <v>1</v>
      </c>
    </row>
    <row r="4505" spans="10:10" ht="35.450000000000003" hidden="1" customHeight="1">
      <c r="J4505" s="28">
        <f>IFERROR(VLOOKUP(TEXT(B4505,"0"),STOCK!A:H,7,0),1)</f>
        <v>1</v>
      </c>
    </row>
    <row r="4506" spans="10:10" ht="35.450000000000003" hidden="1" customHeight="1">
      <c r="J4506" s="28">
        <f>IFERROR(VLOOKUP(TEXT(B4506,"0"),STOCK!A:H,7,0),1)</f>
        <v>1</v>
      </c>
    </row>
    <row r="4507" spans="10:10" ht="35.450000000000003" hidden="1" customHeight="1">
      <c r="J4507" s="28">
        <f>IFERROR(VLOOKUP(TEXT(B4507,"0"),STOCK!A:H,7,0),1)</f>
        <v>1</v>
      </c>
    </row>
    <row r="4508" spans="10:10" ht="35.450000000000003" hidden="1" customHeight="1">
      <c r="J4508" s="28">
        <f>IFERROR(VLOOKUP(TEXT(B4508,"0"),STOCK!A:H,7,0),1)</f>
        <v>1</v>
      </c>
    </row>
    <row r="4509" spans="10:10" ht="35.450000000000003" hidden="1" customHeight="1">
      <c r="J4509" s="28">
        <f>IFERROR(VLOOKUP(TEXT(B4509,"0"),STOCK!A:H,7,0),1)</f>
        <v>1</v>
      </c>
    </row>
    <row r="4510" spans="10:10" ht="35.450000000000003" hidden="1" customHeight="1">
      <c r="J4510" s="28">
        <f>IFERROR(VLOOKUP(TEXT(B4510,"0"),STOCK!A:H,7,0),1)</f>
        <v>1</v>
      </c>
    </row>
    <row r="4511" spans="10:10" ht="35.450000000000003" hidden="1" customHeight="1">
      <c r="J4511" s="28">
        <f>IFERROR(VLOOKUP(TEXT(B4511,"0"),STOCK!A:H,7,0),1)</f>
        <v>1</v>
      </c>
    </row>
    <row r="4512" spans="10:10" ht="35.450000000000003" hidden="1" customHeight="1">
      <c r="J4512" s="28">
        <f>IFERROR(VLOOKUP(TEXT(B4512,"0"),STOCK!A:H,7,0),1)</f>
        <v>1</v>
      </c>
    </row>
    <row r="4513" spans="10:10" ht="35.450000000000003" hidden="1" customHeight="1">
      <c r="J4513" s="28">
        <f>IFERROR(VLOOKUP(TEXT(B4513,"0"),STOCK!A:H,7,0),1)</f>
        <v>1</v>
      </c>
    </row>
    <row r="4514" spans="10:10" ht="35.450000000000003" hidden="1" customHeight="1">
      <c r="J4514" s="28">
        <f>IFERROR(VLOOKUP(TEXT(B4514,"0"),STOCK!A:H,7,0),1)</f>
        <v>1</v>
      </c>
    </row>
    <row r="4515" spans="10:10" ht="35.450000000000003" hidden="1" customHeight="1">
      <c r="J4515" s="28">
        <f>IFERROR(VLOOKUP(TEXT(B4515,"0"),STOCK!A:H,7,0),1)</f>
        <v>1</v>
      </c>
    </row>
    <row r="4516" spans="10:10" ht="35.450000000000003" hidden="1" customHeight="1">
      <c r="J4516" s="28">
        <f>IFERROR(VLOOKUP(TEXT(B4516,"0"),STOCK!A:H,7,0),1)</f>
        <v>1</v>
      </c>
    </row>
    <row r="4517" spans="10:10" ht="35.450000000000003" hidden="1" customHeight="1">
      <c r="J4517" s="28">
        <f>IFERROR(VLOOKUP(TEXT(B4517,"0"),STOCK!A:H,7,0),1)</f>
        <v>1</v>
      </c>
    </row>
    <row r="4518" spans="10:10" ht="35.450000000000003" hidden="1" customHeight="1">
      <c r="J4518" s="28">
        <f>IFERROR(VLOOKUP(TEXT(B4518,"0"),STOCK!A:H,7,0),1)</f>
        <v>1</v>
      </c>
    </row>
    <row r="4519" spans="10:10" ht="35.450000000000003" hidden="1" customHeight="1">
      <c r="J4519" s="28">
        <f>IFERROR(VLOOKUP(TEXT(B4519,"0"),STOCK!A:H,7,0),1)</f>
        <v>1</v>
      </c>
    </row>
    <row r="4520" spans="10:10" ht="35.450000000000003" hidden="1" customHeight="1">
      <c r="J4520" s="28">
        <f>IFERROR(VLOOKUP(TEXT(B4520,"0"),STOCK!A:H,7,0),1)</f>
        <v>1</v>
      </c>
    </row>
    <row r="4521" spans="10:10" ht="35.450000000000003" hidden="1" customHeight="1">
      <c r="J4521" s="28">
        <f>IFERROR(VLOOKUP(TEXT(B4521,"0"),STOCK!A:H,7,0),1)</f>
        <v>1</v>
      </c>
    </row>
    <row r="4522" spans="10:10" ht="35.450000000000003" hidden="1" customHeight="1">
      <c r="J4522" s="28">
        <f>IFERROR(VLOOKUP(TEXT(B4522,"0"),STOCK!A:H,7,0),1)</f>
        <v>1</v>
      </c>
    </row>
    <row r="4523" spans="10:10" ht="35.450000000000003" hidden="1" customHeight="1">
      <c r="J4523" s="28">
        <f>IFERROR(VLOOKUP(TEXT(B4523,"0"),STOCK!A:H,7,0),1)</f>
        <v>1</v>
      </c>
    </row>
    <row r="4524" spans="10:10" ht="35.450000000000003" hidden="1" customHeight="1">
      <c r="J4524" s="28">
        <f>IFERROR(VLOOKUP(TEXT(B4524,"0"),STOCK!A:H,7,0),1)</f>
        <v>1</v>
      </c>
    </row>
    <row r="4525" spans="10:10" ht="35.450000000000003" hidden="1" customHeight="1">
      <c r="J4525" s="28">
        <f>IFERROR(VLOOKUP(TEXT(B4525,"0"),STOCK!A:H,7,0),1)</f>
        <v>1</v>
      </c>
    </row>
    <row r="4526" spans="10:10" ht="35.450000000000003" hidden="1" customHeight="1">
      <c r="J4526" s="28">
        <f>IFERROR(VLOOKUP(TEXT(B4526,"0"),STOCK!A:H,7,0),1)</f>
        <v>1</v>
      </c>
    </row>
    <row r="4527" spans="10:10" ht="35.450000000000003" hidden="1" customHeight="1">
      <c r="J4527" s="28">
        <f>IFERROR(VLOOKUP(TEXT(B4527,"0"),STOCK!A:H,7,0),1)</f>
        <v>1</v>
      </c>
    </row>
    <row r="4528" spans="10:10" ht="35.450000000000003" hidden="1" customHeight="1">
      <c r="J4528" s="28">
        <f>IFERROR(VLOOKUP(TEXT(B4528,"0"),STOCK!A:H,7,0),1)</f>
        <v>1</v>
      </c>
    </row>
    <row r="4529" spans="10:10" ht="35.450000000000003" hidden="1" customHeight="1">
      <c r="J4529" s="28">
        <f>IFERROR(VLOOKUP(TEXT(B4529,"0"),STOCK!A:H,7,0),1)</f>
        <v>1</v>
      </c>
    </row>
    <row r="4530" spans="10:10" ht="35.450000000000003" hidden="1" customHeight="1">
      <c r="J4530" s="28">
        <f>IFERROR(VLOOKUP(TEXT(B4530,"0"),STOCK!A:H,7,0),1)</f>
        <v>1</v>
      </c>
    </row>
    <row r="4531" spans="10:10" ht="35.450000000000003" hidden="1" customHeight="1">
      <c r="J4531" s="28">
        <f>IFERROR(VLOOKUP(TEXT(B4531,"0"),STOCK!A:H,7,0),1)</f>
        <v>1</v>
      </c>
    </row>
    <row r="4532" spans="10:10" ht="35.450000000000003" hidden="1" customHeight="1">
      <c r="J4532" s="28">
        <f>IFERROR(VLOOKUP(TEXT(B4532,"0"),STOCK!A:H,7,0),1)</f>
        <v>1</v>
      </c>
    </row>
    <row r="4533" spans="10:10" ht="35.450000000000003" hidden="1" customHeight="1">
      <c r="J4533" s="28">
        <f>IFERROR(VLOOKUP(TEXT(B4533,"0"),STOCK!A:H,7,0),1)</f>
        <v>1</v>
      </c>
    </row>
    <row r="4534" spans="10:10" ht="35.450000000000003" hidden="1" customHeight="1">
      <c r="J4534" s="28">
        <f>IFERROR(VLOOKUP(TEXT(B4534,"0"),STOCK!A:H,7,0),1)</f>
        <v>1</v>
      </c>
    </row>
    <row r="4535" spans="10:10" ht="35.450000000000003" hidden="1" customHeight="1">
      <c r="J4535" s="28">
        <f>IFERROR(VLOOKUP(TEXT(B4535,"0"),STOCK!A:H,7,0),1)</f>
        <v>1</v>
      </c>
    </row>
    <row r="4536" spans="10:10" ht="35.450000000000003" hidden="1" customHeight="1">
      <c r="J4536" s="28">
        <f>IFERROR(VLOOKUP(TEXT(B4536,"0"),STOCK!A:H,7,0),1)</f>
        <v>1</v>
      </c>
    </row>
    <row r="4537" spans="10:10" ht="35.450000000000003" hidden="1" customHeight="1">
      <c r="J4537" s="28">
        <f>IFERROR(VLOOKUP(TEXT(B4537,"0"),STOCK!A:H,7,0),1)</f>
        <v>1</v>
      </c>
    </row>
    <row r="4538" spans="10:10" ht="35.450000000000003" hidden="1" customHeight="1">
      <c r="J4538" s="28">
        <f>IFERROR(VLOOKUP(TEXT(B4538,"0"),STOCK!A:H,7,0),1)</f>
        <v>1</v>
      </c>
    </row>
    <row r="4539" spans="10:10" ht="35.450000000000003" hidden="1" customHeight="1">
      <c r="J4539" s="28">
        <f>IFERROR(VLOOKUP(TEXT(B4539,"0"),STOCK!A:H,7,0),1)</f>
        <v>1</v>
      </c>
    </row>
    <row r="4540" spans="10:10" ht="35.450000000000003" hidden="1" customHeight="1">
      <c r="J4540" s="28">
        <f>IFERROR(VLOOKUP(TEXT(B4540,"0"),STOCK!A:H,7,0),1)</f>
        <v>1</v>
      </c>
    </row>
    <row r="4541" spans="10:10" ht="35.450000000000003" hidden="1" customHeight="1">
      <c r="J4541" s="28">
        <f>IFERROR(VLOOKUP(TEXT(B4541,"0"),STOCK!A:H,7,0),1)</f>
        <v>1</v>
      </c>
    </row>
    <row r="4542" spans="10:10" ht="35.450000000000003" hidden="1" customHeight="1">
      <c r="J4542" s="28">
        <f>IFERROR(VLOOKUP(TEXT(B4542,"0"),STOCK!A:H,7,0),1)</f>
        <v>1</v>
      </c>
    </row>
    <row r="4543" spans="10:10" ht="35.450000000000003" hidden="1" customHeight="1">
      <c r="J4543" s="28">
        <f>IFERROR(VLOOKUP(TEXT(B4543,"0"),STOCK!A:H,7,0),1)</f>
        <v>1</v>
      </c>
    </row>
    <row r="4544" spans="10:10" ht="35.450000000000003" hidden="1" customHeight="1">
      <c r="J4544" s="28">
        <f>IFERROR(VLOOKUP(TEXT(B4544,"0"),STOCK!A:H,7,0),1)</f>
        <v>1</v>
      </c>
    </row>
    <row r="4545" spans="10:10" ht="35.450000000000003" hidden="1" customHeight="1">
      <c r="J4545" s="28">
        <f>IFERROR(VLOOKUP(TEXT(B4545,"0"),STOCK!A:H,7,0),1)</f>
        <v>1</v>
      </c>
    </row>
    <row r="4546" spans="10:10" ht="35.450000000000003" hidden="1" customHeight="1">
      <c r="J4546" s="28">
        <f>IFERROR(VLOOKUP(TEXT(B4546,"0"),STOCK!A:H,7,0),1)</f>
        <v>1</v>
      </c>
    </row>
    <row r="4547" spans="10:10" ht="35.450000000000003" hidden="1" customHeight="1">
      <c r="J4547" s="28">
        <f>IFERROR(VLOOKUP(TEXT(B4547,"0"),STOCK!A:H,7,0),1)</f>
        <v>1</v>
      </c>
    </row>
    <row r="4548" spans="10:10" ht="35.450000000000003" hidden="1" customHeight="1">
      <c r="J4548" s="28">
        <f>IFERROR(VLOOKUP(TEXT(B4548,"0"),STOCK!A:H,7,0),1)</f>
        <v>1</v>
      </c>
    </row>
    <row r="4549" spans="10:10" ht="35.450000000000003" hidden="1" customHeight="1">
      <c r="J4549" s="28">
        <f>IFERROR(VLOOKUP(TEXT(B4549,"0"),STOCK!A:H,7,0),1)</f>
        <v>1</v>
      </c>
    </row>
    <row r="4550" spans="10:10" ht="35.450000000000003" hidden="1" customHeight="1">
      <c r="J4550" s="28">
        <f>IFERROR(VLOOKUP(TEXT(B4550,"0"),STOCK!A:H,7,0),1)</f>
        <v>1</v>
      </c>
    </row>
    <row r="4551" spans="10:10" ht="35.450000000000003" hidden="1" customHeight="1">
      <c r="J4551" s="28">
        <f>IFERROR(VLOOKUP(TEXT(B4551,"0"),STOCK!A:H,7,0),1)</f>
        <v>1</v>
      </c>
    </row>
    <row r="4552" spans="10:10" ht="35.450000000000003" hidden="1" customHeight="1">
      <c r="J4552" s="28">
        <f>IFERROR(VLOOKUP(TEXT(B4552,"0"),STOCK!A:H,7,0),1)</f>
        <v>1</v>
      </c>
    </row>
    <row r="4553" spans="10:10" ht="35.450000000000003" hidden="1" customHeight="1">
      <c r="J4553" s="28">
        <f>IFERROR(VLOOKUP(TEXT(B4553,"0"),STOCK!A:H,7,0),1)</f>
        <v>1</v>
      </c>
    </row>
    <row r="4554" spans="10:10" ht="35.450000000000003" hidden="1" customHeight="1">
      <c r="J4554" s="28">
        <f>IFERROR(VLOOKUP(TEXT(B4554,"0"),STOCK!A:H,7,0),1)</f>
        <v>1</v>
      </c>
    </row>
    <row r="4555" spans="10:10" ht="35.450000000000003" hidden="1" customHeight="1">
      <c r="J4555" s="28">
        <f>IFERROR(VLOOKUP(TEXT(B4555,"0"),STOCK!A:H,7,0),1)</f>
        <v>1</v>
      </c>
    </row>
    <row r="4556" spans="10:10" ht="35.450000000000003" hidden="1" customHeight="1">
      <c r="J4556" s="28">
        <f>IFERROR(VLOOKUP(TEXT(B4556,"0"),STOCK!A:H,7,0),1)</f>
        <v>1</v>
      </c>
    </row>
    <row r="4557" spans="10:10" ht="35.450000000000003" hidden="1" customHeight="1">
      <c r="J4557" s="28">
        <f>IFERROR(VLOOKUP(TEXT(B4557,"0"),STOCK!A:H,7,0),1)</f>
        <v>1</v>
      </c>
    </row>
    <row r="4558" spans="10:10" ht="35.450000000000003" hidden="1" customHeight="1">
      <c r="J4558" s="28">
        <f>IFERROR(VLOOKUP(TEXT(B4558,"0"),STOCK!A:H,7,0),1)</f>
        <v>1</v>
      </c>
    </row>
    <row r="4559" spans="10:10" ht="35.450000000000003" hidden="1" customHeight="1">
      <c r="J4559" s="28">
        <f>IFERROR(VLOOKUP(TEXT(B4559,"0"),STOCK!A:H,7,0),1)</f>
        <v>1</v>
      </c>
    </row>
    <row r="4560" spans="10:10" ht="35.450000000000003" hidden="1" customHeight="1">
      <c r="J4560" s="28">
        <f>IFERROR(VLOOKUP(TEXT(B4560,"0"),STOCK!A:H,7,0),1)</f>
        <v>1</v>
      </c>
    </row>
    <row r="4561" spans="10:10" ht="35.450000000000003" hidden="1" customHeight="1">
      <c r="J4561" s="28">
        <f>IFERROR(VLOOKUP(TEXT(B4561,"0"),STOCK!A:H,7,0),1)</f>
        <v>1</v>
      </c>
    </row>
    <row r="4562" spans="10:10" ht="35.450000000000003" hidden="1" customHeight="1">
      <c r="J4562" s="28">
        <f>IFERROR(VLOOKUP(TEXT(B4562,"0"),STOCK!A:H,7,0),1)</f>
        <v>1</v>
      </c>
    </row>
    <row r="4563" spans="10:10" ht="35.450000000000003" hidden="1" customHeight="1">
      <c r="J4563" s="28">
        <f>IFERROR(VLOOKUP(TEXT(B4563,"0"),STOCK!A:H,7,0),1)</f>
        <v>1</v>
      </c>
    </row>
    <row r="4564" spans="10:10" ht="35.450000000000003" hidden="1" customHeight="1">
      <c r="J4564" s="28">
        <f>IFERROR(VLOOKUP(TEXT(B4564,"0"),STOCK!A:H,7,0),1)</f>
        <v>1</v>
      </c>
    </row>
    <row r="4565" spans="10:10" ht="35.450000000000003" hidden="1" customHeight="1">
      <c r="J4565" s="28">
        <f>IFERROR(VLOOKUP(TEXT(B4565,"0"),STOCK!A:H,7,0),1)</f>
        <v>1</v>
      </c>
    </row>
    <row r="4566" spans="10:10" ht="35.450000000000003" hidden="1" customHeight="1">
      <c r="J4566" s="28">
        <f>IFERROR(VLOOKUP(TEXT(B4566,"0"),STOCK!A:H,7,0),1)</f>
        <v>1</v>
      </c>
    </row>
    <row r="4567" spans="10:10" ht="35.450000000000003" hidden="1" customHeight="1">
      <c r="J4567" s="28">
        <f>IFERROR(VLOOKUP(TEXT(B4567,"0"),STOCK!A:H,7,0),1)</f>
        <v>1</v>
      </c>
    </row>
    <row r="4568" spans="10:10" ht="35.450000000000003" hidden="1" customHeight="1">
      <c r="J4568" s="28">
        <f>IFERROR(VLOOKUP(TEXT(B4568,"0"),STOCK!A:H,7,0),1)</f>
        <v>1</v>
      </c>
    </row>
    <row r="4569" spans="10:10" ht="35.450000000000003" hidden="1" customHeight="1">
      <c r="J4569" s="28">
        <f>IFERROR(VLOOKUP(TEXT(B4569,"0"),STOCK!A:H,7,0),1)</f>
        <v>1</v>
      </c>
    </row>
    <row r="4570" spans="10:10" ht="35.450000000000003" hidden="1" customHeight="1">
      <c r="J4570" s="28">
        <f>IFERROR(VLOOKUP(TEXT(B4570,"0"),STOCK!A:H,7,0),1)</f>
        <v>1</v>
      </c>
    </row>
    <row r="4571" spans="10:10" ht="35.450000000000003" hidden="1" customHeight="1">
      <c r="J4571" s="28">
        <f>IFERROR(VLOOKUP(TEXT(B4571,"0"),STOCK!A:H,7,0),1)</f>
        <v>1</v>
      </c>
    </row>
    <row r="4572" spans="10:10" ht="35.450000000000003" hidden="1" customHeight="1">
      <c r="J4572" s="28">
        <f>IFERROR(VLOOKUP(TEXT(B4572,"0"),STOCK!A:H,7,0),1)</f>
        <v>1</v>
      </c>
    </row>
    <row r="4573" spans="10:10" ht="35.450000000000003" hidden="1" customHeight="1">
      <c r="J4573" s="28">
        <f>IFERROR(VLOOKUP(TEXT(B4573,"0"),STOCK!A:H,7,0),1)</f>
        <v>1</v>
      </c>
    </row>
    <row r="4574" spans="10:10" ht="35.450000000000003" hidden="1" customHeight="1">
      <c r="J4574" s="28">
        <f>IFERROR(VLOOKUP(TEXT(B4574,"0"),STOCK!A:H,7,0),1)</f>
        <v>1</v>
      </c>
    </row>
    <row r="4575" spans="10:10" ht="35.450000000000003" hidden="1" customHeight="1">
      <c r="J4575" s="28">
        <f>IFERROR(VLOOKUP(TEXT(B4575,"0"),STOCK!A:H,7,0),1)</f>
        <v>1</v>
      </c>
    </row>
    <row r="4576" spans="10:10" ht="35.450000000000003" hidden="1" customHeight="1">
      <c r="J4576" s="28">
        <f>IFERROR(VLOOKUP(TEXT(B4576,"0"),STOCK!A:H,7,0),1)</f>
        <v>1</v>
      </c>
    </row>
    <row r="4577" spans="10:10" ht="35.450000000000003" hidden="1" customHeight="1">
      <c r="J4577" s="28">
        <f>IFERROR(VLOOKUP(TEXT(B4577,"0"),STOCK!A:H,7,0),1)</f>
        <v>1</v>
      </c>
    </row>
    <row r="4578" spans="10:10" ht="35.450000000000003" hidden="1" customHeight="1">
      <c r="J4578" s="28">
        <f>IFERROR(VLOOKUP(TEXT(B4578,"0"),STOCK!A:H,7,0),1)</f>
        <v>1</v>
      </c>
    </row>
    <row r="4579" spans="10:10" ht="35.450000000000003" hidden="1" customHeight="1">
      <c r="J4579" s="28">
        <f>IFERROR(VLOOKUP(TEXT(B4579,"0"),STOCK!A:H,7,0),1)</f>
        <v>1</v>
      </c>
    </row>
    <row r="4580" spans="10:10" ht="35.450000000000003" hidden="1" customHeight="1">
      <c r="J4580" s="28">
        <f>IFERROR(VLOOKUP(TEXT(B4580,"0"),STOCK!A:H,7,0),1)</f>
        <v>1</v>
      </c>
    </row>
    <row r="4581" spans="10:10" ht="35.450000000000003" hidden="1" customHeight="1">
      <c r="J4581" s="28">
        <f>IFERROR(VLOOKUP(TEXT(B4581,"0"),STOCK!A:H,7,0),1)</f>
        <v>1</v>
      </c>
    </row>
    <row r="4582" spans="10:10" ht="35.450000000000003" hidden="1" customHeight="1">
      <c r="J4582" s="28">
        <f>IFERROR(VLOOKUP(TEXT(B4582,"0"),STOCK!A:H,7,0),1)</f>
        <v>1</v>
      </c>
    </row>
    <row r="4583" spans="10:10" ht="35.450000000000003" hidden="1" customHeight="1">
      <c r="J4583" s="28">
        <f>IFERROR(VLOOKUP(TEXT(B4583,"0"),STOCK!A:H,7,0),1)</f>
        <v>1</v>
      </c>
    </row>
    <row r="4584" spans="10:10" ht="35.450000000000003" hidden="1" customHeight="1">
      <c r="J4584" s="28">
        <f>IFERROR(VLOOKUP(TEXT(B4584,"0"),STOCK!A:H,7,0),1)</f>
        <v>1</v>
      </c>
    </row>
    <row r="4585" spans="10:10" ht="35.450000000000003" hidden="1" customHeight="1">
      <c r="J4585" s="28">
        <f>IFERROR(VLOOKUP(TEXT(B4585,"0"),STOCK!A:H,7,0),1)</f>
        <v>1</v>
      </c>
    </row>
    <row r="4586" spans="10:10" ht="35.450000000000003" hidden="1" customHeight="1">
      <c r="J4586" s="28">
        <f>IFERROR(VLOOKUP(TEXT(B4586,"0"),STOCK!A:H,7,0),1)</f>
        <v>1</v>
      </c>
    </row>
    <row r="4587" spans="10:10" ht="35.450000000000003" hidden="1" customHeight="1">
      <c r="J4587" s="28">
        <f>IFERROR(VLOOKUP(TEXT(B4587,"0"),STOCK!A:H,7,0),1)</f>
        <v>1</v>
      </c>
    </row>
    <row r="4588" spans="10:10" ht="35.450000000000003" hidden="1" customHeight="1">
      <c r="J4588" s="28">
        <f>IFERROR(VLOOKUP(TEXT(B4588,"0"),STOCK!A:H,7,0),1)</f>
        <v>1</v>
      </c>
    </row>
    <row r="4589" spans="10:10" ht="35.450000000000003" hidden="1" customHeight="1">
      <c r="J4589" s="28">
        <f>IFERROR(VLOOKUP(TEXT(B4589,"0"),STOCK!A:H,7,0),1)</f>
        <v>1</v>
      </c>
    </row>
    <row r="4590" spans="10:10" ht="35.450000000000003" hidden="1" customHeight="1">
      <c r="J4590" s="28">
        <f>IFERROR(VLOOKUP(TEXT(B4590,"0"),STOCK!A:H,7,0),1)</f>
        <v>1</v>
      </c>
    </row>
    <row r="4591" spans="10:10" ht="35.450000000000003" hidden="1" customHeight="1">
      <c r="J4591" s="28">
        <f>IFERROR(VLOOKUP(TEXT(B4591,"0"),STOCK!A:H,7,0),1)</f>
        <v>1</v>
      </c>
    </row>
    <row r="4592" spans="10:10" ht="35.450000000000003" hidden="1" customHeight="1">
      <c r="J4592" s="28">
        <f>IFERROR(VLOOKUP(TEXT(B4592,"0"),STOCK!A:H,7,0),1)</f>
        <v>1</v>
      </c>
    </row>
    <row r="4593" spans="10:10" ht="35.450000000000003" hidden="1" customHeight="1">
      <c r="J4593" s="28">
        <f>IFERROR(VLOOKUP(TEXT(B4593,"0"),STOCK!A:H,7,0),1)</f>
        <v>1</v>
      </c>
    </row>
    <row r="4594" spans="10:10" ht="35.450000000000003" hidden="1" customHeight="1">
      <c r="J4594" s="28">
        <f>IFERROR(VLOOKUP(TEXT(B4594,"0"),STOCK!A:H,7,0),1)</f>
        <v>1</v>
      </c>
    </row>
    <row r="4595" spans="10:10" ht="35.450000000000003" hidden="1" customHeight="1">
      <c r="J4595" s="28">
        <f>IFERROR(VLOOKUP(TEXT(B4595,"0"),STOCK!A:H,7,0),1)</f>
        <v>1</v>
      </c>
    </row>
    <row r="4596" spans="10:10" ht="35.450000000000003" hidden="1" customHeight="1">
      <c r="J4596" s="28">
        <f>IFERROR(VLOOKUP(TEXT(B4596,"0"),STOCK!A:H,7,0),1)</f>
        <v>1</v>
      </c>
    </row>
    <row r="4597" spans="10:10" ht="35.450000000000003" hidden="1" customHeight="1">
      <c r="J4597" s="28">
        <f>IFERROR(VLOOKUP(TEXT(B4597,"0"),STOCK!A:H,7,0),1)</f>
        <v>1</v>
      </c>
    </row>
    <row r="4598" spans="10:10" ht="35.450000000000003" hidden="1" customHeight="1">
      <c r="J4598" s="28">
        <f>IFERROR(VLOOKUP(TEXT(B4598,"0"),STOCK!A:H,7,0),1)</f>
        <v>1</v>
      </c>
    </row>
    <row r="4599" spans="10:10" ht="35.450000000000003" hidden="1" customHeight="1">
      <c r="J4599" s="28">
        <f>IFERROR(VLOOKUP(TEXT(B4599,"0"),STOCK!A:H,7,0),1)</f>
        <v>1</v>
      </c>
    </row>
    <row r="4600" spans="10:10" ht="35.450000000000003" hidden="1" customHeight="1">
      <c r="J4600" s="28">
        <f>IFERROR(VLOOKUP(TEXT(B4600,"0"),STOCK!A:H,7,0),1)</f>
        <v>1</v>
      </c>
    </row>
    <row r="4601" spans="10:10" ht="35.450000000000003" hidden="1" customHeight="1">
      <c r="J4601" s="28">
        <f>IFERROR(VLOOKUP(TEXT(B4601,"0"),STOCK!A:H,7,0),1)</f>
        <v>1</v>
      </c>
    </row>
    <row r="4602" spans="10:10" ht="35.450000000000003" hidden="1" customHeight="1">
      <c r="J4602" s="28">
        <f>IFERROR(VLOOKUP(TEXT(B4602,"0"),STOCK!A:H,7,0),1)</f>
        <v>1</v>
      </c>
    </row>
    <row r="4603" spans="10:10" ht="35.450000000000003" hidden="1" customHeight="1">
      <c r="J4603" s="28">
        <f>IFERROR(VLOOKUP(TEXT(B4603,"0"),STOCK!A:H,7,0),1)</f>
        <v>1</v>
      </c>
    </row>
    <row r="4604" spans="10:10" ht="35.450000000000003" hidden="1" customHeight="1">
      <c r="J4604" s="28">
        <f>IFERROR(VLOOKUP(TEXT(B4604,"0"),STOCK!A:H,7,0),1)</f>
        <v>1</v>
      </c>
    </row>
    <row r="4605" spans="10:10" ht="35.450000000000003" hidden="1" customHeight="1">
      <c r="J4605" s="28">
        <f>IFERROR(VLOOKUP(TEXT(B4605,"0"),STOCK!A:H,7,0),1)</f>
        <v>1</v>
      </c>
    </row>
    <row r="4606" spans="10:10" ht="35.450000000000003" hidden="1" customHeight="1">
      <c r="J4606" s="28">
        <f>IFERROR(VLOOKUP(TEXT(B4606,"0"),STOCK!A:H,7,0),1)</f>
        <v>1</v>
      </c>
    </row>
    <row r="4607" spans="10:10" ht="35.450000000000003" hidden="1" customHeight="1">
      <c r="J4607" s="28">
        <f>IFERROR(VLOOKUP(TEXT(B4607,"0"),STOCK!A:H,7,0),1)</f>
        <v>1</v>
      </c>
    </row>
    <row r="4608" spans="10:10" ht="35.450000000000003" hidden="1" customHeight="1">
      <c r="J4608" s="28">
        <f>IFERROR(VLOOKUP(TEXT(B4608,"0"),STOCK!A:H,7,0),1)</f>
        <v>1</v>
      </c>
    </row>
    <row r="4609" spans="10:10" ht="35.450000000000003" hidden="1" customHeight="1">
      <c r="J4609" s="28">
        <f>IFERROR(VLOOKUP(TEXT(B4609,"0"),STOCK!A:H,7,0),1)</f>
        <v>1</v>
      </c>
    </row>
    <row r="4610" spans="10:10" ht="35.450000000000003" hidden="1" customHeight="1">
      <c r="J4610" s="28">
        <f>IFERROR(VLOOKUP(TEXT(B4610,"0"),STOCK!A:H,7,0),1)</f>
        <v>1</v>
      </c>
    </row>
    <row r="4611" spans="10:10" ht="35.450000000000003" hidden="1" customHeight="1">
      <c r="J4611" s="28">
        <f>IFERROR(VLOOKUP(TEXT(B4611,"0"),STOCK!A:H,7,0),1)</f>
        <v>1</v>
      </c>
    </row>
    <row r="4612" spans="10:10" ht="35.450000000000003" hidden="1" customHeight="1">
      <c r="J4612" s="28">
        <f>IFERROR(VLOOKUP(TEXT(B4612,"0"),STOCK!A:H,7,0),1)</f>
        <v>1</v>
      </c>
    </row>
    <row r="4613" spans="10:10" ht="35.450000000000003" hidden="1" customHeight="1">
      <c r="J4613" s="28">
        <f>IFERROR(VLOOKUP(TEXT(B4613,"0"),STOCK!A:H,7,0),1)</f>
        <v>1</v>
      </c>
    </row>
    <row r="4614" spans="10:10" ht="35.450000000000003" hidden="1" customHeight="1">
      <c r="J4614" s="28">
        <f>IFERROR(VLOOKUP(TEXT(B4614,"0"),STOCK!A:H,7,0),1)</f>
        <v>1</v>
      </c>
    </row>
    <row r="4615" spans="10:10" ht="35.450000000000003" hidden="1" customHeight="1">
      <c r="J4615" s="28">
        <f>IFERROR(VLOOKUP(TEXT(B4615,"0"),STOCK!A:H,7,0),1)</f>
        <v>1</v>
      </c>
    </row>
    <row r="4616" spans="10:10" ht="35.450000000000003" hidden="1" customHeight="1">
      <c r="J4616" s="28">
        <f>IFERROR(VLOOKUP(TEXT(B4616,"0"),STOCK!A:H,7,0),1)</f>
        <v>1</v>
      </c>
    </row>
    <row r="4617" spans="10:10" ht="35.450000000000003" hidden="1" customHeight="1">
      <c r="J4617" s="28">
        <f>IFERROR(VLOOKUP(TEXT(B4617,"0"),STOCK!A:H,7,0),1)</f>
        <v>1</v>
      </c>
    </row>
    <row r="4618" spans="10:10" ht="35.450000000000003" hidden="1" customHeight="1">
      <c r="J4618" s="28">
        <f>IFERROR(VLOOKUP(TEXT(B4618,"0"),STOCK!A:H,7,0),1)</f>
        <v>1</v>
      </c>
    </row>
    <row r="4619" spans="10:10" ht="35.450000000000003" hidden="1" customHeight="1">
      <c r="J4619" s="28">
        <f>IFERROR(VLOOKUP(TEXT(B4619,"0"),STOCK!A:H,7,0),1)</f>
        <v>1</v>
      </c>
    </row>
    <row r="4620" spans="10:10" ht="35.450000000000003" hidden="1" customHeight="1">
      <c r="J4620" s="28">
        <f>IFERROR(VLOOKUP(TEXT(B4620,"0"),STOCK!A:H,7,0),1)</f>
        <v>1</v>
      </c>
    </row>
    <row r="4621" spans="10:10" ht="35.450000000000003" hidden="1" customHeight="1">
      <c r="J4621" s="28">
        <f>IFERROR(VLOOKUP(TEXT(B4621,"0"),STOCK!A:H,7,0),1)</f>
        <v>1</v>
      </c>
    </row>
    <row r="4622" spans="10:10" ht="35.450000000000003" hidden="1" customHeight="1">
      <c r="J4622" s="28">
        <f>IFERROR(VLOOKUP(TEXT(B4622,"0"),STOCK!A:H,7,0),1)</f>
        <v>1</v>
      </c>
    </row>
    <row r="4623" spans="10:10" ht="35.450000000000003" hidden="1" customHeight="1">
      <c r="J4623" s="28">
        <f>IFERROR(VLOOKUP(TEXT(B4623,"0"),STOCK!A:H,7,0),1)</f>
        <v>1</v>
      </c>
    </row>
    <row r="4624" spans="10:10" ht="35.450000000000003" hidden="1" customHeight="1">
      <c r="J4624" s="28">
        <f>IFERROR(VLOOKUP(TEXT(B4624,"0"),STOCK!A:H,7,0),1)</f>
        <v>1</v>
      </c>
    </row>
    <row r="4625" spans="10:10" ht="35.450000000000003" hidden="1" customHeight="1">
      <c r="J4625" s="28">
        <f>IFERROR(VLOOKUP(TEXT(B4625,"0"),STOCK!A:H,7,0),1)</f>
        <v>1</v>
      </c>
    </row>
    <row r="4626" spans="10:10" ht="35.450000000000003" hidden="1" customHeight="1">
      <c r="J4626" s="28">
        <f>IFERROR(VLOOKUP(TEXT(B4626,"0"),STOCK!A:H,7,0),1)</f>
        <v>1</v>
      </c>
    </row>
    <row r="4627" spans="10:10" ht="35.450000000000003" hidden="1" customHeight="1">
      <c r="J4627" s="28">
        <f>IFERROR(VLOOKUP(TEXT(B4627,"0"),STOCK!A:H,7,0),1)</f>
        <v>1</v>
      </c>
    </row>
    <row r="4628" spans="10:10" ht="35.450000000000003" hidden="1" customHeight="1">
      <c r="J4628" s="28">
        <f>IFERROR(VLOOKUP(TEXT(B4628,"0"),STOCK!A:H,7,0),1)</f>
        <v>1</v>
      </c>
    </row>
    <row r="4629" spans="10:10" ht="35.450000000000003" hidden="1" customHeight="1">
      <c r="J4629" s="28">
        <f>IFERROR(VLOOKUP(TEXT(B4629,"0"),STOCK!A:H,7,0),1)</f>
        <v>1</v>
      </c>
    </row>
    <row r="4630" spans="10:10" ht="35.450000000000003" hidden="1" customHeight="1">
      <c r="J4630" s="28">
        <f>IFERROR(VLOOKUP(TEXT(B4630,"0"),STOCK!A:H,7,0),1)</f>
        <v>1</v>
      </c>
    </row>
    <row r="4631" spans="10:10" ht="35.450000000000003" hidden="1" customHeight="1">
      <c r="J4631" s="28">
        <f>IFERROR(VLOOKUP(TEXT(B4631,"0"),STOCK!A:H,7,0),1)</f>
        <v>1</v>
      </c>
    </row>
    <row r="4632" spans="10:10" ht="35.450000000000003" hidden="1" customHeight="1">
      <c r="J4632" s="28">
        <f>IFERROR(VLOOKUP(TEXT(B4632,"0"),STOCK!A:H,7,0),1)</f>
        <v>1</v>
      </c>
    </row>
    <row r="4633" spans="10:10" ht="35.450000000000003" hidden="1" customHeight="1">
      <c r="J4633" s="28">
        <f>IFERROR(VLOOKUP(TEXT(B4633,"0"),STOCK!A:H,7,0),1)</f>
        <v>1</v>
      </c>
    </row>
    <row r="4634" spans="10:10" ht="35.450000000000003" hidden="1" customHeight="1">
      <c r="J4634" s="28">
        <f>IFERROR(VLOOKUP(TEXT(B4634,"0"),STOCK!A:H,7,0),1)</f>
        <v>1</v>
      </c>
    </row>
    <row r="4635" spans="10:10" ht="35.450000000000003" hidden="1" customHeight="1">
      <c r="J4635" s="28">
        <f>IFERROR(VLOOKUP(TEXT(B4635,"0"),STOCK!A:H,7,0),1)</f>
        <v>1</v>
      </c>
    </row>
    <row r="4636" spans="10:10" ht="35.450000000000003" hidden="1" customHeight="1">
      <c r="J4636" s="28">
        <f>IFERROR(VLOOKUP(TEXT(B4636,"0"),STOCK!A:H,7,0),1)</f>
        <v>1</v>
      </c>
    </row>
    <row r="4637" spans="10:10" ht="35.450000000000003" hidden="1" customHeight="1">
      <c r="J4637" s="28">
        <f>IFERROR(VLOOKUP(TEXT(B4637,"0"),STOCK!A:H,7,0),1)</f>
        <v>1</v>
      </c>
    </row>
    <row r="4638" spans="10:10" ht="35.450000000000003" hidden="1" customHeight="1">
      <c r="J4638" s="28">
        <f>IFERROR(VLOOKUP(TEXT(B4638,"0"),STOCK!A:H,7,0),1)</f>
        <v>1</v>
      </c>
    </row>
    <row r="4639" spans="10:10" ht="35.450000000000003" hidden="1" customHeight="1">
      <c r="J4639" s="28">
        <f>IFERROR(VLOOKUP(TEXT(B4639,"0"),STOCK!A:H,7,0),1)</f>
        <v>1</v>
      </c>
    </row>
    <row r="4640" spans="10:10" ht="35.450000000000003" hidden="1" customHeight="1">
      <c r="J4640" s="28">
        <f>IFERROR(VLOOKUP(TEXT(B4640,"0"),STOCK!A:H,7,0),1)</f>
        <v>1</v>
      </c>
    </row>
    <row r="4641" spans="10:10" ht="35.450000000000003" hidden="1" customHeight="1">
      <c r="J4641" s="28">
        <f>IFERROR(VLOOKUP(TEXT(B4641,"0"),STOCK!A:H,7,0),1)</f>
        <v>1</v>
      </c>
    </row>
    <row r="4642" spans="10:10" ht="35.450000000000003" hidden="1" customHeight="1">
      <c r="J4642" s="28">
        <f>IFERROR(VLOOKUP(TEXT(B4642,"0"),STOCK!A:H,7,0),1)</f>
        <v>1</v>
      </c>
    </row>
    <row r="4643" spans="10:10" ht="35.450000000000003" hidden="1" customHeight="1">
      <c r="J4643" s="28">
        <f>IFERROR(VLOOKUP(TEXT(B4643,"0"),STOCK!A:H,7,0),1)</f>
        <v>1</v>
      </c>
    </row>
    <row r="4644" spans="10:10" ht="35.450000000000003" hidden="1" customHeight="1">
      <c r="J4644" s="28">
        <f>IFERROR(VLOOKUP(TEXT(B4644,"0"),STOCK!A:H,7,0),1)</f>
        <v>1</v>
      </c>
    </row>
    <row r="4645" spans="10:10" ht="35.450000000000003" hidden="1" customHeight="1">
      <c r="J4645" s="28">
        <f>IFERROR(VLOOKUP(TEXT(B4645,"0"),STOCK!A:H,7,0),1)</f>
        <v>1</v>
      </c>
    </row>
    <row r="4646" spans="10:10" ht="35.450000000000003" hidden="1" customHeight="1">
      <c r="J4646" s="28">
        <f>IFERROR(VLOOKUP(TEXT(B4646,"0"),STOCK!A:H,7,0),1)</f>
        <v>1</v>
      </c>
    </row>
    <row r="4647" spans="10:10" ht="35.450000000000003" hidden="1" customHeight="1">
      <c r="J4647" s="28">
        <f>IFERROR(VLOOKUP(TEXT(B4647,"0"),STOCK!A:H,7,0),1)</f>
        <v>1</v>
      </c>
    </row>
    <row r="4648" spans="10:10" ht="35.450000000000003" hidden="1" customHeight="1">
      <c r="J4648" s="28">
        <f>IFERROR(VLOOKUP(TEXT(B4648,"0"),STOCK!A:H,7,0),1)</f>
        <v>1</v>
      </c>
    </row>
    <row r="4649" spans="10:10" ht="35.450000000000003" hidden="1" customHeight="1">
      <c r="J4649" s="28">
        <f>IFERROR(VLOOKUP(TEXT(B4649,"0"),STOCK!A:H,7,0),1)</f>
        <v>1</v>
      </c>
    </row>
    <row r="4650" spans="10:10" ht="35.450000000000003" hidden="1" customHeight="1">
      <c r="J4650" s="28">
        <f>IFERROR(VLOOKUP(TEXT(B4650,"0"),STOCK!A:H,7,0),1)</f>
        <v>1</v>
      </c>
    </row>
    <row r="4651" spans="10:10" ht="35.450000000000003" hidden="1" customHeight="1">
      <c r="J4651" s="28">
        <f>IFERROR(VLOOKUP(TEXT(B4651,"0"),STOCK!A:H,7,0),1)</f>
        <v>1</v>
      </c>
    </row>
    <row r="4652" spans="10:10" ht="35.450000000000003" hidden="1" customHeight="1">
      <c r="J4652" s="28">
        <f>IFERROR(VLOOKUP(TEXT(B4652,"0"),STOCK!A:H,7,0),1)</f>
        <v>1</v>
      </c>
    </row>
    <row r="4653" spans="10:10" ht="35.450000000000003" hidden="1" customHeight="1">
      <c r="J4653" s="28">
        <f>IFERROR(VLOOKUP(TEXT(B4653,"0"),STOCK!A:H,7,0),1)</f>
        <v>1</v>
      </c>
    </row>
    <row r="4654" spans="10:10" ht="35.450000000000003" hidden="1" customHeight="1">
      <c r="J4654" s="28">
        <f>IFERROR(VLOOKUP(TEXT(B4654,"0"),STOCK!A:H,7,0),1)</f>
        <v>1</v>
      </c>
    </row>
    <row r="4655" spans="10:10" ht="35.450000000000003" hidden="1" customHeight="1">
      <c r="J4655" s="28">
        <f>IFERROR(VLOOKUP(TEXT(B4655,"0"),STOCK!A:H,7,0),1)</f>
        <v>1</v>
      </c>
    </row>
    <row r="4656" spans="10:10" ht="35.450000000000003" hidden="1" customHeight="1">
      <c r="J4656" s="28">
        <f>IFERROR(VLOOKUP(TEXT(B4656,"0"),STOCK!A:H,7,0),1)</f>
        <v>1</v>
      </c>
    </row>
    <row r="4657" spans="10:10" ht="35.450000000000003" hidden="1" customHeight="1">
      <c r="J4657" s="28">
        <f>IFERROR(VLOOKUP(TEXT(B4657,"0"),STOCK!A:H,7,0),1)</f>
        <v>1</v>
      </c>
    </row>
    <row r="4658" spans="10:10" ht="35.450000000000003" hidden="1" customHeight="1">
      <c r="J4658" s="28">
        <f>IFERROR(VLOOKUP(TEXT(B4658,"0"),STOCK!A:H,7,0),1)</f>
        <v>1</v>
      </c>
    </row>
    <row r="4659" spans="10:10" ht="35.450000000000003" hidden="1" customHeight="1">
      <c r="J4659" s="28">
        <f>IFERROR(VLOOKUP(TEXT(B4659,"0"),STOCK!A:H,7,0),1)</f>
        <v>1</v>
      </c>
    </row>
    <row r="4660" spans="10:10" ht="35.450000000000003" hidden="1" customHeight="1">
      <c r="J4660" s="28">
        <f>IFERROR(VLOOKUP(TEXT(B4660,"0"),STOCK!A:H,7,0),1)</f>
        <v>1</v>
      </c>
    </row>
    <row r="4661" spans="10:10" ht="35.450000000000003" hidden="1" customHeight="1">
      <c r="J4661" s="28">
        <f>IFERROR(VLOOKUP(TEXT(B4661,"0"),STOCK!A:H,7,0),1)</f>
        <v>1</v>
      </c>
    </row>
    <row r="4662" spans="10:10" ht="35.450000000000003" hidden="1" customHeight="1">
      <c r="J4662" s="28">
        <f>IFERROR(VLOOKUP(TEXT(B4662,"0"),STOCK!A:H,7,0),1)</f>
        <v>1</v>
      </c>
    </row>
    <row r="4663" spans="10:10" ht="35.450000000000003" hidden="1" customHeight="1">
      <c r="J4663" s="28">
        <f>IFERROR(VLOOKUP(TEXT(B4663,"0"),STOCK!A:H,7,0),1)</f>
        <v>1</v>
      </c>
    </row>
    <row r="4664" spans="10:10" ht="35.450000000000003" hidden="1" customHeight="1">
      <c r="J4664" s="28">
        <f>IFERROR(VLOOKUP(TEXT(B4664,"0"),STOCK!A:H,7,0),1)</f>
        <v>1</v>
      </c>
    </row>
    <row r="4665" spans="10:10" ht="35.450000000000003" hidden="1" customHeight="1">
      <c r="J4665" s="28">
        <f>IFERROR(VLOOKUP(TEXT(B4665,"0"),STOCK!A:H,7,0),1)</f>
        <v>1</v>
      </c>
    </row>
    <row r="4666" spans="10:10" ht="35.450000000000003" hidden="1" customHeight="1">
      <c r="J4666" s="28">
        <f>IFERROR(VLOOKUP(TEXT(B4666,"0"),STOCK!A:H,7,0),1)</f>
        <v>1</v>
      </c>
    </row>
    <row r="4667" spans="10:10" ht="35.450000000000003" hidden="1" customHeight="1">
      <c r="J4667" s="28">
        <f>IFERROR(VLOOKUP(TEXT(B4667,"0"),STOCK!A:H,7,0),1)</f>
        <v>1</v>
      </c>
    </row>
    <row r="4668" spans="10:10" ht="35.450000000000003" hidden="1" customHeight="1">
      <c r="J4668" s="28">
        <f>IFERROR(VLOOKUP(TEXT(B4668,"0"),STOCK!A:H,7,0),1)</f>
        <v>1</v>
      </c>
    </row>
    <row r="4669" spans="10:10" ht="35.450000000000003" hidden="1" customHeight="1">
      <c r="J4669" s="28">
        <f>IFERROR(VLOOKUP(TEXT(B4669,"0"),STOCK!A:H,7,0),1)</f>
        <v>1</v>
      </c>
    </row>
    <row r="4670" spans="10:10" ht="35.450000000000003" hidden="1" customHeight="1">
      <c r="J4670" s="28">
        <f>IFERROR(VLOOKUP(TEXT(B4670,"0"),STOCK!A:H,7,0),1)</f>
        <v>1</v>
      </c>
    </row>
    <row r="4671" spans="10:10" ht="35.450000000000003" hidden="1" customHeight="1">
      <c r="J4671" s="28">
        <f>IFERROR(VLOOKUP(TEXT(B4671,"0"),STOCK!A:H,7,0),1)</f>
        <v>1</v>
      </c>
    </row>
    <row r="4672" spans="10:10" ht="35.450000000000003" hidden="1" customHeight="1">
      <c r="J4672" s="28">
        <f>IFERROR(VLOOKUP(TEXT(B4672,"0"),STOCK!A:H,7,0),1)</f>
        <v>1</v>
      </c>
    </row>
    <row r="4673" spans="10:10" ht="35.450000000000003" hidden="1" customHeight="1">
      <c r="J4673" s="28">
        <f>IFERROR(VLOOKUP(TEXT(B4673,"0"),STOCK!A:H,7,0),1)</f>
        <v>1</v>
      </c>
    </row>
    <row r="4674" spans="10:10" ht="35.450000000000003" hidden="1" customHeight="1">
      <c r="J4674" s="28">
        <f>IFERROR(VLOOKUP(TEXT(B4674,"0"),STOCK!A:H,7,0),1)</f>
        <v>1</v>
      </c>
    </row>
    <row r="4675" spans="10:10" ht="35.450000000000003" hidden="1" customHeight="1">
      <c r="J4675" s="28">
        <f>IFERROR(VLOOKUP(TEXT(B4675,"0"),STOCK!A:H,7,0),1)</f>
        <v>1</v>
      </c>
    </row>
    <row r="4676" spans="10:10" ht="35.450000000000003" hidden="1" customHeight="1">
      <c r="J4676" s="28">
        <f>IFERROR(VLOOKUP(TEXT(B4676,"0"),STOCK!A:H,7,0),1)</f>
        <v>1</v>
      </c>
    </row>
    <row r="4677" spans="10:10" ht="35.450000000000003" hidden="1" customHeight="1">
      <c r="J4677" s="28">
        <f>IFERROR(VLOOKUP(TEXT(B4677,"0"),STOCK!A:H,7,0),1)</f>
        <v>1</v>
      </c>
    </row>
    <row r="4678" spans="10:10" ht="35.450000000000003" hidden="1" customHeight="1">
      <c r="J4678" s="28">
        <f>IFERROR(VLOOKUP(TEXT(B4678,"0"),STOCK!A:H,7,0),1)</f>
        <v>1</v>
      </c>
    </row>
    <row r="4679" spans="10:10" ht="35.450000000000003" hidden="1" customHeight="1">
      <c r="J4679" s="28">
        <f>IFERROR(VLOOKUP(TEXT(B4679,"0"),STOCK!A:H,7,0),1)</f>
        <v>1</v>
      </c>
    </row>
    <row r="4680" spans="10:10" ht="35.450000000000003" hidden="1" customHeight="1">
      <c r="J4680" s="28">
        <f>IFERROR(VLOOKUP(TEXT(B4680,"0"),STOCK!A:H,7,0),1)</f>
        <v>1</v>
      </c>
    </row>
    <row r="4681" spans="10:10" ht="35.450000000000003" hidden="1" customHeight="1">
      <c r="J4681" s="28">
        <f>IFERROR(VLOOKUP(TEXT(B4681,"0"),STOCK!A:H,7,0),1)</f>
        <v>1</v>
      </c>
    </row>
    <row r="4682" spans="10:10" ht="35.450000000000003" hidden="1" customHeight="1">
      <c r="J4682" s="28">
        <f>IFERROR(VLOOKUP(TEXT(B4682,"0"),STOCK!A:H,7,0),1)</f>
        <v>1</v>
      </c>
    </row>
    <row r="4683" spans="10:10" ht="35.450000000000003" hidden="1" customHeight="1">
      <c r="J4683" s="28">
        <f>IFERROR(VLOOKUP(TEXT(B4683,"0"),STOCK!A:H,7,0),1)</f>
        <v>1</v>
      </c>
    </row>
    <row r="4684" spans="10:10" ht="35.450000000000003" hidden="1" customHeight="1">
      <c r="J4684" s="28">
        <f>IFERROR(VLOOKUP(TEXT(B4684,"0"),STOCK!A:H,7,0),1)</f>
        <v>1</v>
      </c>
    </row>
    <row r="4685" spans="10:10" ht="35.450000000000003" hidden="1" customHeight="1">
      <c r="J4685" s="28">
        <f>IFERROR(VLOOKUP(TEXT(B4685,"0"),STOCK!A:H,7,0),1)</f>
        <v>1</v>
      </c>
    </row>
    <row r="4686" spans="10:10" ht="35.450000000000003" hidden="1" customHeight="1">
      <c r="J4686" s="28">
        <f>IFERROR(VLOOKUP(TEXT(B4686,"0"),STOCK!A:H,7,0),1)</f>
        <v>1</v>
      </c>
    </row>
    <row r="4687" spans="10:10" ht="35.450000000000003" hidden="1" customHeight="1">
      <c r="J4687" s="28">
        <f>IFERROR(VLOOKUP(TEXT(B4687,"0"),STOCK!A:H,7,0),1)</f>
        <v>1</v>
      </c>
    </row>
    <row r="4688" spans="10:10" ht="35.450000000000003" hidden="1" customHeight="1">
      <c r="J4688" s="28">
        <f>IFERROR(VLOOKUP(TEXT(B4688,"0"),STOCK!A:H,7,0),1)</f>
        <v>1</v>
      </c>
    </row>
    <row r="4689" spans="10:10" ht="35.450000000000003" hidden="1" customHeight="1">
      <c r="J4689" s="28">
        <f>IFERROR(VLOOKUP(TEXT(B4689,"0"),STOCK!A:H,7,0),1)</f>
        <v>1</v>
      </c>
    </row>
    <row r="4690" spans="10:10" ht="35.450000000000003" hidden="1" customHeight="1">
      <c r="J4690" s="28">
        <f>IFERROR(VLOOKUP(TEXT(B4690,"0"),STOCK!A:H,7,0),1)</f>
        <v>1</v>
      </c>
    </row>
    <row r="4691" spans="10:10" ht="35.450000000000003" hidden="1" customHeight="1">
      <c r="J4691" s="28">
        <f>IFERROR(VLOOKUP(TEXT(B4691,"0"),STOCK!A:H,7,0),1)</f>
        <v>1</v>
      </c>
    </row>
    <row r="4692" spans="10:10" ht="35.450000000000003" hidden="1" customHeight="1">
      <c r="J4692" s="28">
        <f>IFERROR(VLOOKUP(TEXT(B4692,"0"),STOCK!A:H,7,0),1)</f>
        <v>1</v>
      </c>
    </row>
    <row r="4693" spans="10:10" ht="35.450000000000003" hidden="1" customHeight="1">
      <c r="J4693" s="28">
        <f>IFERROR(VLOOKUP(TEXT(B4693,"0"),STOCK!A:H,7,0),1)</f>
        <v>1</v>
      </c>
    </row>
    <row r="4694" spans="10:10" ht="35.450000000000003" hidden="1" customHeight="1">
      <c r="J4694" s="28">
        <f>IFERROR(VLOOKUP(TEXT(B4694,"0"),STOCK!A:H,7,0),1)</f>
        <v>1</v>
      </c>
    </row>
    <row r="4695" spans="10:10" ht="35.450000000000003" hidden="1" customHeight="1">
      <c r="J4695" s="28">
        <f>IFERROR(VLOOKUP(TEXT(B4695,"0"),STOCK!A:H,7,0),1)</f>
        <v>1</v>
      </c>
    </row>
    <row r="4696" spans="10:10" ht="35.450000000000003" hidden="1" customHeight="1">
      <c r="J4696" s="28">
        <f>IFERROR(VLOOKUP(TEXT(B4696,"0"),STOCK!A:H,7,0),1)</f>
        <v>1</v>
      </c>
    </row>
    <row r="4697" spans="10:10" ht="35.450000000000003" hidden="1" customHeight="1">
      <c r="J4697" s="28">
        <f>IFERROR(VLOOKUP(TEXT(B4697,"0"),STOCK!A:H,7,0),1)</f>
        <v>1</v>
      </c>
    </row>
    <row r="4698" spans="10:10" ht="35.450000000000003" hidden="1" customHeight="1">
      <c r="J4698" s="28">
        <f>IFERROR(VLOOKUP(TEXT(B4698,"0"),STOCK!A:H,7,0),1)</f>
        <v>1</v>
      </c>
    </row>
    <row r="4699" spans="10:10" ht="35.450000000000003" hidden="1" customHeight="1">
      <c r="J4699" s="28">
        <f>IFERROR(VLOOKUP(TEXT(B4699,"0"),STOCK!A:H,7,0),1)</f>
        <v>1</v>
      </c>
    </row>
    <row r="4700" spans="10:10" ht="35.450000000000003" hidden="1" customHeight="1">
      <c r="J4700" s="28">
        <f>IFERROR(VLOOKUP(TEXT(B4700,"0"),STOCK!A:H,7,0),1)</f>
        <v>1</v>
      </c>
    </row>
    <row r="4701" spans="10:10" ht="35.450000000000003" hidden="1" customHeight="1">
      <c r="J4701" s="28">
        <f>IFERROR(VLOOKUP(TEXT(B4701,"0"),STOCK!A:H,7,0),1)</f>
        <v>1</v>
      </c>
    </row>
    <row r="4702" spans="10:10" ht="35.450000000000003" hidden="1" customHeight="1">
      <c r="J4702" s="28">
        <f>IFERROR(VLOOKUP(TEXT(B4702,"0"),STOCK!A:H,7,0),1)</f>
        <v>1</v>
      </c>
    </row>
    <row r="4703" spans="10:10" ht="35.450000000000003" hidden="1" customHeight="1">
      <c r="J4703" s="28">
        <f>IFERROR(VLOOKUP(TEXT(B4703,"0"),STOCK!A:H,7,0),1)</f>
        <v>1</v>
      </c>
    </row>
    <row r="4704" spans="10:10" ht="35.450000000000003" hidden="1" customHeight="1">
      <c r="J4704" s="28">
        <f>IFERROR(VLOOKUP(TEXT(B4704,"0"),STOCK!A:H,7,0),1)</f>
        <v>1</v>
      </c>
    </row>
    <row r="4705" spans="10:10" ht="35.450000000000003" hidden="1" customHeight="1">
      <c r="J4705" s="28">
        <f>IFERROR(VLOOKUP(TEXT(B4705,"0"),STOCK!A:H,7,0),1)</f>
        <v>1</v>
      </c>
    </row>
    <row r="4706" spans="10:10" ht="35.450000000000003" hidden="1" customHeight="1">
      <c r="J4706" s="28">
        <f>IFERROR(VLOOKUP(TEXT(B4706,"0"),STOCK!A:H,7,0),1)</f>
        <v>1</v>
      </c>
    </row>
    <row r="4707" spans="10:10" ht="35.450000000000003" hidden="1" customHeight="1">
      <c r="J4707" s="28">
        <f>IFERROR(VLOOKUP(TEXT(B4707,"0"),STOCK!A:H,7,0),1)</f>
        <v>1</v>
      </c>
    </row>
    <row r="4708" spans="10:10" ht="35.450000000000003" hidden="1" customHeight="1">
      <c r="J4708" s="28">
        <f>IFERROR(VLOOKUP(TEXT(B4708,"0"),STOCK!A:H,7,0),1)</f>
        <v>1</v>
      </c>
    </row>
    <row r="4709" spans="10:10" ht="35.450000000000003" hidden="1" customHeight="1">
      <c r="J4709" s="28">
        <f>IFERROR(VLOOKUP(TEXT(B4709,"0"),STOCK!A:H,7,0),1)</f>
        <v>1</v>
      </c>
    </row>
    <row r="4710" spans="10:10" ht="35.450000000000003" hidden="1" customHeight="1">
      <c r="J4710" s="28">
        <f>IFERROR(VLOOKUP(TEXT(B4710,"0"),STOCK!A:H,7,0),1)</f>
        <v>1</v>
      </c>
    </row>
    <row r="4711" spans="10:10" ht="35.450000000000003" hidden="1" customHeight="1">
      <c r="J4711" s="28">
        <f>IFERROR(VLOOKUP(TEXT(B4711,"0"),STOCK!A:H,7,0),1)</f>
        <v>1</v>
      </c>
    </row>
    <row r="4712" spans="10:10" ht="35.450000000000003" hidden="1" customHeight="1">
      <c r="J4712" s="28">
        <f>IFERROR(VLOOKUP(TEXT(B4712,"0"),STOCK!A:H,7,0),1)</f>
        <v>1</v>
      </c>
    </row>
    <row r="4713" spans="10:10" ht="35.450000000000003" hidden="1" customHeight="1">
      <c r="J4713" s="28">
        <f>IFERROR(VLOOKUP(TEXT(B4713,"0"),STOCK!A:H,7,0),1)</f>
        <v>1</v>
      </c>
    </row>
    <row r="4714" spans="10:10" ht="35.450000000000003" hidden="1" customHeight="1">
      <c r="J4714" s="28">
        <f>IFERROR(VLOOKUP(TEXT(B4714,"0"),STOCK!A:H,7,0),1)</f>
        <v>1</v>
      </c>
    </row>
    <row r="4715" spans="10:10" ht="35.450000000000003" hidden="1" customHeight="1">
      <c r="J4715" s="28">
        <f>IFERROR(VLOOKUP(TEXT(B4715,"0"),STOCK!A:H,7,0),1)</f>
        <v>1</v>
      </c>
    </row>
    <row r="4716" spans="10:10" ht="35.450000000000003" hidden="1" customHeight="1">
      <c r="J4716" s="28">
        <f>IFERROR(VLOOKUP(TEXT(B4716,"0"),STOCK!A:H,7,0),1)</f>
        <v>1</v>
      </c>
    </row>
    <row r="4717" spans="10:10" ht="35.450000000000003" hidden="1" customHeight="1">
      <c r="J4717" s="28">
        <f>IFERROR(VLOOKUP(TEXT(B4717,"0"),STOCK!A:H,7,0),1)</f>
        <v>1</v>
      </c>
    </row>
    <row r="4718" spans="10:10" ht="35.450000000000003" hidden="1" customHeight="1">
      <c r="J4718" s="28">
        <f>IFERROR(VLOOKUP(TEXT(B4718,"0"),STOCK!A:H,7,0),1)</f>
        <v>1</v>
      </c>
    </row>
    <row r="4719" spans="10:10" ht="35.450000000000003" hidden="1" customHeight="1">
      <c r="J4719" s="28">
        <f>IFERROR(VLOOKUP(TEXT(B4719,"0"),STOCK!A:H,7,0),1)</f>
        <v>1</v>
      </c>
    </row>
    <row r="4720" spans="10:10" ht="35.450000000000003" hidden="1" customHeight="1">
      <c r="J4720" s="28">
        <f>IFERROR(VLOOKUP(TEXT(B4720,"0"),STOCK!A:H,7,0),1)</f>
        <v>1</v>
      </c>
    </row>
    <row r="4721" spans="10:10" ht="35.450000000000003" hidden="1" customHeight="1">
      <c r="J4721" s="28">
        <f>IFERROR(VLOOKUP(TEXT(B4721,"0"),STOCK!A:H,7,0),1)</f>
        <v>1</v>
      </c>
    </row>
    <row r="4722" spans="10:10" ht="35.450000000000003" hidden="1" customHeight="1">
      <c r="J4722" s="28">
        <f>IFERROR(VLOOKUP(TEXT(B4722,"0"),STOCK!A:H,7,0),1)</f>
        <v>1</v>
      </c>
    </row>
    <row r="4723" spans="10:10" ht="35.450000000000003" hidden="1" customHeight="1">
      <c r="J4723" s="28">
        <f>IFERROR(VLOOKUP(TEXT(B4723,"0"),STOCK!A:H,7,0),1)</f>
        <v>1</v>
      </c>
    </row>
    <row r="4724" spans="10:10" ht="35.450000000000003" hidden="1" customHeight="1">
      <c r="J4724" s="28">
        <f>IFERROR(VLOOKUP(TEXT(B4724,"0"),STOCK!A:H,7,0),1)</f>
        <v>1</v>
      </c>
    </row>
    <row r="4725" spans="10:10" ht="35.450000000000003" hidden="1" customHeight="1">
      <c r="J4725" s="28">
        <f>IFERROR(VLOOKUP(TEXT(B4725,"0"),STOCK!A:H,7,0),1)</f>
        <v>1</v>
      </c>
    </row>
    <row r="4726" spans="10:10" ht="35.450000000000003" hidden="1" customHeight="1">
      <c r="J4726" s="28">
        <f>IFERROR(VLOOKUP(TEXT(B4726,"0"),STOCK!A:H,7,0),1)</f>
        <v>1</v>
      </c>
    </row>
    <row r="4727" spans="10:10" ht="35.450000000000003" hidden="1" customHeight="1">
      <c r="J4727" s="28">
        <f>IFERROR(VLOOKUP(TEXT(B4727,"0"),STOCK!A:H,7,0),1)</f>
        <v>1</v>
      </c>
    </row>
    <row r="4728" spans="10:10" ht="35.450000000000003" hidden="1" customHeight="1">
      <c r="J4728" s="28">
        <f>IFERROR(VLOOKUP(TEXT(B4728,"0"),STOCK!A:H,7,0),1)</f>
        <v>1</v>
      </c>
    </row>
    <row r="4729" spans="10:10" ht="35.450000000000003" hidden="1" customHeight="1">
      <c r="J4729" s="28">
        <f>IFERROR(VLOOKUP(TEXT(B4729,"0"),STOCK!A:H,7,0),1)</f>
        <v>1</v>
      </c>
    </row>
    <row r="4730" spans="10:10" ht="35.450000000000003" hidden="1" customHeight="1">
      <c r="J4730" s="28">
        <f>IFERROR(VLOOKUP(TEXT(B4730,"0"),STOCK!A:H,7,0),1)</f>
        <v>1</v>
      </c>
    </row>
    <row r="4731" spans="10:10" ht="35.450000000000003" hidden="1" customHeight="1">
      <c r="J4731" s="28">
        <f>IFERROR(VLOOKUP(TEXT(B4731,"0"),STOCK!A:H,7,0),1)</f>
        <v>1</v>
      </c>
    </row>
    <row r="4732" spans="10:10" ht="35.450000000000003" hidden="1" customHeight="1">
      <c r="J4732" s="28">
        <f>IFERROR(VLOOKUP(TEXT(B4732,"0"),STOCK!A:H,7,0),1)</f>
        <v>1</v>
      </c>
    </row>
    <row r="4733" spans="10:10" ht="35.450000000000003" hidden="1" customHeight="1">
      <c r="J4733" s="28">
        <f>IFERROR(VLOOKUP(TEXT(B4733,"0"),STOCK!A:H,7,0),1)</f>
        <v>1</v>
      </c>
    </row>
    <row r="4734" spans="10:10" ht="35.450000000000003" hidden="1" customHeight="1">
      <c r="J4734" s="28">
        <f>IFERROR(VLOOKUP(TEXT(B4734,"0"),STOCK!A:H,7,0),1)</f>
        <v>1</v>
      </c>
    </row>
    <row r="4735" spans="10:10" ht="35.450000000000003" hidden="1" customHeight="1">
      <c r="J4735" s="28">
        <f>IFERROR(VLOOKUP(TEXT(B4735,"0"),STOCK!A:H,7,0),1)</f>
        <v>1</v>
      </c>
    </row>
    <row r="4736" spans="10:10" ht="35.450000000000003" hidden="1" customHeight="1">
      <c r="J4736" s="28">
        <f>IFERROR(VLOOKUP(TEXT(B4736,"0"),STOCK!A:H,7,0),1)</f>
        <v>1</v>
      </c>
    </row>
    <row r="4737" spans="10:10" ht="35.450000000000003" hidden="1" customHeight="1">
      <c r="J4737" s="28">
        <f>IFERROR(VLOOKUP(TEXT(B4737,"0"),STOCK!A:H,7,0),1)</f>
        <v>1</v>
      </c>
    </row>
    <row r="4738" spans="10:10" ht="35.450000000000003" hidden="1" customHeight="1">
      <c r="J4738" s="28">
        <f>IFERROR(VLOOKUP(TEXT(B4738,"0"),STOCK!A:H,7,0),1)</f>
        <v>1</v>
      </c>
    </row>
    <row r="4739" spans="10:10" ht="35.450000000000003" hidden="1" customHeight="1">
      <c r="J4739" s="28">
        <f>IFERROR(VLOOKUP(TEXT(B4739,"0"),STOCK!A:H,7,0),1)</f>
        <v>1</v>
      </c>
    </row>
    <row r="4740" spans="10:10" ht="35.450000000000003" hidden="1" customHeight="1">
      <c r="J4740" s="28">
        <f>IFERROR(VLOOKUP(TEXT(B4740,"0"),STOCK!A:H,7,0),1)</f>
        <v>1</v>
      </c>
    </row>
    <row r="4741" spans="10:10" ht="35.450000000000003" hidden="1" customHeight="1">
      <c r="J4741" s="28">
        <f>IFERROR(VLOOKUP(TEXT(B4741,"0"),STOCK!A:H,7,0),1)</f>
        <v>1</v>
      </c>
    </row>
    <row r="4742" spans="10:10" ht="35.450000000000003" hidden="1" customHeight="1">
      <c r="J4742" s="28">
        <f>IFERROR(VLOOKUP(TEXT(B4742,"0"),STOCK!A:H,7,0),1)</f>
        <v>1</v>
      </c>
    </row>
    <row r="4743" spans="10:10" ht="35.450000000000003" hidden="1" customHeight="1">
      <c r="J4743" s="28">
        <f>IFERROR(VLOOKUP(TEXT(B4743,"0"),STOCK!A:H,7,0),1)</f>
        <v>1</v>
      </c>
    </row>
    <row r="4744" spans="10:10" ht="35.450000000000003" hidden="1" customHeight="1">
      <c r="J4744" s="28">
        <f>IFERROR(VLOOKUP(TEXT(B4744,"0"),STOCK!A:H,7,0),1)</f>
        <v>1</v>
      </c>
    </row>
    <row r="4745" spans="10:10" ht="35.450000000000003" hidden="1" customHeight="1">
      <c r="J4745" s="28">
        <f>IFERROR(VLOOKUP(TEXT(B4745,"0"),STOCK!A:H,7,0),1)</f>
        <v>1</v>
      </c>
    </row>
    <row r="4746" spans="10:10" ht="35.450000000000003" hidden="1" customHeight="1">
      <c r="J4746" s="28">
        <f>IFERROR(VLOOKUP(TEXT(B4746,"0"),STOCK!A:H,7,0),1)</f>
        <v>1</v>
      </c>
    </row>
    <row r="4747" spans="10:10" ht="35.450000000000003" hidden="1" customHeight="1">
      <c r="J4747" s="28">
        <f>IFERROR(VLOOKUP(TEXT(B4747,"0"),STOCK!A:H,7,0),1)</f>
        <v>1</v>
      </c>
    </row>
    <row r="4748" spans="10:10" ht="35.450000000000003" hidden="1" customHeight="1">
      <c r="J4748" s="28">
        <f>IFERROR(VLOOKUP(TEXT(B4748,"0"),STOCK!A:H,7,0),1)</f>
        <v>1</v>
      </c>
    </row>
    <row r="4749" spans="10:10" ht="35.450000000000003" hidden="1" customHeight="1">
      <c r="J4749" s="28">
        <f>IFERROR(VLOOKUP(TEXT(B4749,"0"),STOCK!A:H,7,0),1)</f>
        <v>1</v>
      </c>
    </row>
    <row r="4750" spans="10:10" ht="35.450000000000003" hidden="1" customHeight="1">
      <c r="J4750" s="28">
        <f>IFERROR(VLOOKUP(TEXT(B4750,"0"),STOCK!A:H,7,0),1)</f>
        <v>1</v>
      </c>
    </row>
    <row r="4751" spans="10:10" ht="35.450000000000003" hidden="1" customHeight="1">
      <c r="J4751" s="28">
        <f>IFERROR(VLOOKUP(TEXT(B4751,"0"),STOCK!A:H,7,0),1)</f>
        <v>1</v>
      </c>
    </row>
    <row r="4752" spans="10:10" ht="35.450000000000003" hidden="1" customHeight="1">
      <c r="J4752" s="28">
        <f>IFERROR(VLOOKUP(TEXT(B4752,"0"),STOCK!A:H,7,0),1)</f>
        <v>1</v>
      </c>
    </row>
    <row r="4753" spans="10:10" ht="35.450000000000003" hidden="1" customHeight="1">
      <c r="J4753" s="28">
        <f>IFERROR(VLOOKUP(TEXT(B4753,"0"),STOCK!A:H,7,0),1)</f>
        <v>1</v>
      </c>
    </row>
    <row r="4754" spans="10:10" ht="35.450000000000003" hidden="1" customHeight="1">
      <c r="J4754" s="28">
        <f>IFERROR(VLOOKUP(TEXT(B4754,"0"),STOCK!A:H,7,0),1)</f>
        <v>1</v>
      </c>
    </row>
    <row r="4755" spans="10:10" ht="35.450000000000003" hidden="1" customHeight="1">
      <c r="J4755" s="28">
        <f>IFERROR(VLOOKUP(TEXT(B4755,"0"),STOCK!A:H,7,0),1)</f>
        <v>1</v>
      </c>
    </row>
    <row r="4756" spans="10:10" ht="35.450000000000003" hidden="1" customHeight="1">
      <c r="J4756" s="28">
        <f>IFERROR(VLOOKUP(TEXT(B4756,"0"),STOCK!A:H,7,0),1)</f>
        <v>1</v>
      </c>
    </row>
    <row r="4757" spans="10:10" ht="35.450000000000003" hidden="1" customHeight="1">
      <c r="J4757" s="28">
        <f>IFERROR(VLOOKUP(TEXT(B4757,"0"),STOCK!A:H,7,0),1)</f>
        <v>1</v>
      </c>
    </row>
    <row r="4758" spans="10:10" ht="35.450000000000003" hidden="1" customHeight="1">
      <c r="J4758" s="28">
        <f>IFERROR(VLOOKUP(TEXT(B4758,"0"),STOCK!A:H,7,0),1)</f>
        <v>1</v>
      </c>
    </row>
    <row r="4759" spans="10:10" ht="35.450000000000003" hidden="1" customHeight="1">
      <c r="J4759" s="28">
        <f>IFERROR(VLOOKUP(TEXT(B4759,"0"),STOCK!A:H,7,0),1)</f>
        <v>1</v>
      </c>
    </row>
    <row r="4760" spans="10:10" ht="35.450000000000003" hidden="1" customHeight="1">
      <c r="J4760" s="28">
        <f>IFERROR(VLOOKUP(TEXT(B4760,"0"),STOCK!A:H,7,0),1)</f>
        <v>1</v>
      </c>
    </row>
    <row r="4761" spans="10:10" ht="35.450000000000003" hidden="1" customHeight="1">
      <c r="J4761" s="28">
        <f>IFERROR(VLOOKUP(TEXT(B4761,"0"),STOCK!A:H,7,0),1)</f>
        <v>1</v>
      </c>
    </row>
    <row r="4762" spans="10:10" ht="35.450000000000003" hidden="1" customHeight="1">
      <c r="J4762" s="28">
        <f>IFERROR(VLOOKUP(TEXT(B4762,"0"),STOCK!A:H,7,0),1)</f>
        <v>1</v>
      </c>
    </row>
    <row r="4763" spans="10:10" ht="35.450000000000003" hidden="1" customHeight="1">
      <c r="J4763" s="28">
        <f>IFERROR(VLOOKUP(TEXT(B4763,"0"),STOCK!A:H,7,0),1)</f>
        <v>1</v>
      </c>
    </row>
    <row r="4764" spans="10:10" ht="35.450000000000003" hidden="1" customHeight="1">
      <c r="J4764" s="28">
        <f>IFERROR(VLOOKUP(TEXT(B4764,"0"),STOCK!A:H,7,0),1)</f>
        <v>1</v>
      </c>
    </row>
    <row r="4765" spans="10:10" ht="35.450000000000003" hidden="1" customHeight="1">
      <c r="J4765" s="28">
        <f>IFERROR(VLOOKUP(TEXT(B4765,"0"),STOCK!A:H,7,0),1)</f>
        <v>1</v>
      </c>
    </row>
    <row r="4766" spans="10:10" ht="35.450000000000003" hidden="1" customHeight="1">
      <c r="J4766" s="28">
        <f>IFERROR(VLOOKUP(TEXT(B4766,"0"),STOCK!A:H,7,0),1)</f>
        <v>1</v>
      </c>
    </row>
    <row r="4767" spans="10:10" ht="35.450000000000003" hidden="1" customHeight="1">
      <c r="J4767" s="28">
        <f>IFERROR(VLOOKUP(TEXT(B4767,"0"),STOCK!A:H,7,0),1)</f>
        <v>1</v>
      </c>
    </row>
    <row r="4768" spans="10:10" ht="35.450000000000003" hidden="1" customHeight="1">
      <c r="J4768" s="28">
        <f>IFERROR(VLOOKUP(TEXT(B4768,"0"),STOCK!A:H,7,0),1)</f>
        <v>1</v>
      </c>
    </row>
    <row r="4769" spans="10:10" ht="35.450000000000003" hidden="1" customHeight="1">
      <c r="J4769" s="28">
        <f>IFERROR(VLOOKUP(TEXT(B4769,"0"),STOCK!A:H,7,0),1)</f>
        <v>1</v>
      </c>
    </row>
    <row r="4770" spans="10:10" ht="35.450000000000003" hidden="1" customHeight="1">
      <c r="J4770" s="28">
        <f>IFERROR(VLOOKUP(TEXT(B4770,"0"),STOCK!A:H,7,0),1)</f>
        <v>1</v>
      </c>
    </row>
    <row r="4771" spans="10:10" ht="35.450000000000003" hidden="1" customHeight="1">
      <c r="J4771" s="28">
        <f>IFERROR(VLOOKUP(TEXT(B4771,"0"),STOCK!A:H,7,0),1)</f>
        <v>1</v>
      </c>
    </row>
    <row r="4772" spans="10:10" ht="35.450000000000003" hidden="1" customHeight="1">
      <c r="J4772" s="28">
        <f>IFERROR(VLOOKUP(TEXT(B4772,"0"),STOCK!A:H,7,0),1)</f>
        <v>1</v>
      </c>
    </row>
    <row r="4773" spans="10:10" ht="35.450000000000003" hidden="1" customHeight="1">
      <c r="J4773" s="28">
        <f>IFERROR(VLOOKUP(TEXT(B4773,"0"),STOCK!A:H,7,0),1)</f>
        <v>1</v>
      </c>
    </row>
    <row r="4774" spans="10:10" ht="35.450000000000003" hidden="1" customHeight="1">
      <c r="J4774" s="28">
        <f>IFERROR(VLOOKUP(TEXT(B4774,"0"),STOCK!A:H,7,0),1)</f>
        <v>1</v>
      </c>
    </row>
    <row r="4775" spans="10:10" ht="35.450000000000003" hidden="1" customHeight="1">
      <c r="J4775" s="28">
        <f>IFERROR(VLOOKUP(TEXT(B4775,"0"),STOCK!A:H,7,0),1)</f>
        <v>1</v>
      </c>
    </row>
    <row r="4776" spans="10:10" ht="35.450000000000003" hidden="1" customHeight="1">
      <c r="J4776" s="28">
        <f>IFERROR(VLOOKUP(TEXT(B4776,"0"),STOCK!A:H,7,0),1)</f>
        <v>1</v>
      </c>
    </row>
    <row r="4777" spans="10:10" ht="35.450000000000003" hidden="1" customHeight="1">
      <c r="J4777" s="28">
        <f>IFERROR(VLOOKUP(TEXT(B4777,"0"),STOCK!A:H,7,0),1)</f>
        <v>1</v>
      </c>
    </row>
    <row r="4778" spans="10:10" ht="35.450000000000003" hidden="1" customHeight="1">
      <c r="J4778" s="28">
        <f>IFERROR(VLOOKUP(TEXT(B4778,"0"),STOCK!A:H,7,0),1)</f>
        <v>1</v>
      </c>
    </row>
    <row r="4779" spans="10:10" ht="35.450000000000003" hidden="1" customHeight="1">
      <c r="J4779" s="28">
        <f>IFERROR(VLOOKUP(TEXT(B4779,"0"),STOCK!A:H,7,0),1)</f>
        <v>1</v>
      </c>
    </row>
    <row r="4780" spans="10:10" ht="35.450000000000003" hidden="1" customHeight="1">
      <c r="J4780" s="28">
        <f>IFERROR(VLOOKUP(TEXT(B4780,"0"),STOCK!A:H,7,0),1)</f>
        <v>1</v>
      </c>
    </row>
    <row r="4781" spans="10:10" ht="35.450000000000003" hidden="1" customHeight="1">
      <c r="J4781" s="28">
        <f>IFERROR(VLOOKUP(TEXT(B4781,"0"),STOCK!A:H,7,0),1)</f>
        <v>1</v>
      </c>
    </row>
    <row r="4782" spans="10:10" ht="35.450000000000003" hidden="1" customHeight="1">
      <c r="J4782" s="28">
        <f>IFERROR(VLOOKUP(TEXT(B4782,"0"),STOCK!A:H,7,0),1)</f>
        <v>1</v>
      </c>
    </row>
    <row r="4783" spans="10:10" ht="35.450000000000003" hidden="1" customHeight="1">
      <c r="J4783" s="28">
        <f>IFERROR(VLOOKUP(TEXT(B4783,"0"),STOCK!A:H,7,0),1)</f>
        <v>1</v>
      </c>
    </row>
    <row r="4784" spans="10:10" ht="35.450000000000003" hidden="1" customHeight="1">
      <c r="J4784" s="28">
        <f>IFERROR(VLOOKUP(TEXT(B4784,"0"),STOCK!A:H,7,0),1)</f>
        <v>1</v>
      </c>
    </row>
    <row r="4785" spans="10:10" ht="35.450000000000003" hidden="1" customHeight="1">
      <c r="J4785" s="28">
        <f>IFERROR(VLOOKUP(TEXT(B4785,"0"),STOCK!A:H,7,0),1)</f>
        <v>1</v>
      </c>
    </row>
    <row r="4786" spans="10:10" ht="35.450000000000003" hidden="1" customHeight="1">
      <c r="J4786" s="28">
        <f>IFERROR(VLOOKUP(TEXT(B4786,"0"),STOCK!A:H,7,0),1)</f>
        <v>1</v>
      </c>
    </row>
    <row r="4787" spans="10:10" ht="35.450000000000003" hidden="1" customHeight="1">
      <c r="J4787" s="28">
        <f>IFERROR(VLOOKUP(TEXT(B4787,"0"),STOCK!A:H,7,0),1)</f>
        <v>1</v>
      </c>
    </row>
    <row r="4788" spans="10:10" ht="35.450000000000003" hidden="1" customHeight="1">
      <c r="J4788" s="28">
        <f>IFERROR(VLOOKUP(TEXT(B4788,"0"),STOCK!A:H,7,0),1)</f>
        <v>1</v>
      </c>
    </row>
    <row r="4789" spans="10:10" ht="35.450000000000003" hidden="1" customHeight="1">
      <c r="J4789" s="28">
        <f>IFERROR(VLOOKUP(TEXT(B4789,"0"),STOCK!A:H,7,0),1)</f>
        <v>1</v>
      </c>
    </row>
    <row r="4790" spans="10:10" ht="35.450000000000003" hidden="1" customHeight="1">
      <c r="J4790" s="28">
        <f>IFERROR(VLOOKUP(TEXT(B4790,"0"),STOCK!A:H,7,0),1)</f>
        <v>1</v>
      </c>
    </row>
    <row r="4791" spans="10:10" ht="35.450000000000003" hidden="1" customHeight="1">
      <c r="J4791" s="28">
        <f>IFERROR(VLOOKUP(TEXT(B4791,"0"),STOCK!A:H,7,0),1)</f>
        <v>1</v>
      </c>
    </row>
    <row r="4792" spans="10:10" ht="35.450000000000003" hidden="1" customHeight="1">
      <c r="J4792" s="28">
        <f>IFERROR(VLOOKUP(TEXT(B4792,"0"),STOCK!A:H,7,0),1)</f>
        <v>1</v>
      </c>
    </row>
    <row r="4793" spans="10:10" ht="35.450000000000003" hidden="1" customHeight="1">
      <c r="J4793" s="28">
        <f>IFERROR(VLOOKUP(TEXT(B4793,"0"),STOCK!A:H,7,0),1)</f>
        <v>1</v>
      </c>
    </row>
    <row r="4794" spans="10:10" ht="35.450000000000003" hidden="1" customHeight="1">
      <c r="J4794" s="28">
        <f>IFERROR(VLOOKUP(TEXT(B4794,"0"),STOCK!A:H,7,0),1)</f>
        <v>1</v>
      </c>
    </row>
    <row r="4795" spans="10:10" ht="35.450000000000003" hidden="1" customHeight="1">
      <c r="J4795" s="28">
        <f>IFERROR(VLOOKUP(TEXT(B4795,"0"),STOCK!A:H,7,0),1)</f>
        <v>1</v>
      </c>
    </row>
    <row r="4796" spans="10:10" ht="35.450000000000003" hidden="1" customHeight="1">
      <c r="J4796" s="28">
        <f>IFERROR(VLOOKUP(TEXT(B4796,"0"),STOCK!A:H,7,0),1)</f>
        <v>1</v>
      </c>
    </row>
    <row r="4797" spans="10:10" ht="35.450000000000003" hidden="1" customHeight="1">
      <c r="J4797" s="28">
        <f>IFERROR(VLOOKUP(TEXT(B4797,"0"),STOCK!A:H,7,0),1)</f>
        <v>1</v>
      </c>
    </row>
    <row r="4798" spans="10:10" ht="35.450000000000003" hidden="1" customHeight="1">
      <c r="J4798" s="28">
        <f>IFERROR(VLOOKUP(TEXT(B4798,"0"),STOCK!A:H,7,0),1)</f>
        <v>1</v>
      </c>
    </row>
    <row r="4799" spans="10:10" ht="35.450000000000003" hidden="1" customHeight="1">
      <c r="J4799" s="28">
        <f>IFERROR(VLOOKUP(TEXT(B4799,"0"),STOCK!A:H,7,0),1)</f>
        <v>1</v>
      </c>
    </row>
    <row r="4800" spans="10:10" ht="35.450000000000003" hidden="1" customHeight="1">
      <c r="J4800" s="28">
        <f>IFERROR(VLOOKUP(TEXT(B4800,"0"),STOCK!A:H,7,0),1)</f>
        <v>1</v>
      </c>
    </row>
    <row r="4801" spans="10:10" ht="35.450000000000003" hidden="1" customHeight="1">
      <c r="J4801" s="28">
        <f>IFERROR(VLOOKUP(TEXT(B4801,"0"),STOCK!A:H,7,0),1)</f>
        <v>1</v>
      </c>
    </row>
    <row r="4802" spans="10:10" ht="35.450000000000003" hidden="1" customHeight="1">
      <c r="J4802" s="28">
        <f>IFERROR(VLOOKUP(TEXT(B4802,"0"),STOCK!A:H,7,0),1)</f>
        <v>1</v>
      </c>
    </row>
    <row r="4803" spans="10:10" ht="35.450000000000003" hidden="1" customHeight="1">
      <c r="J4803" s="28">
        <f>IFERROR(VLOOKUP(TEXT(B4803,"0"),STOCK!A:H,7,0),1)</f>
        <v>1</v>
      </c>
    </row>
    <row r="4804" spans="10:10" ht="35.450000000000003" hidden="1" customHeight="1">
      <c r="J4804" s="28">
        <f>IFERROR(VLOOKUP(TEXT(B4804,"0"),STOCK!A:H,7,0),1)</f>
        <v>1</v>
      </c>
    </row>
    <row r="4805" spans="10:10" ht="35.450000000000003" hidden="1" customHeight="1">
      <c r="J4805" s="28">
        <f>IFERROR(VLOOKUP(TEXT(B4805,"0"),STOCK!A:H,7,0),1)</f>
        <v>1</v>
      </c>
    </row>
    <row r="4806" spans="10:10" ht="35.450000000000003" hidden="1" customHeight="1">
      <c r="J4806" s="28">
        <f>IFERROR(VLOOKUP(TEXT(B4806,"0"),STOCK!A:H,7,0),1)</f>
        <v>1</v>
      </c>
    </row>
    <row r="4807" spans="10:10" ht="35.450000000000003" hidden="1" customHeight="1">
      <c r="J4807" s="28">
        <f>IFERROR(VLOOKUP(TEXT(B4807,"0"),STOCK!A:H,7,0),1)</f>
        <v>1</v>
      </c>
    </row>
    <row r="4808" spans="10:10" ht="35.450000000000003" hidden="1" customHeight="1">
      <c r="J4808" s="28">
        <f>IFERROR(VLOOKUP(TEXT(B4808,"0"),STOCK!A:H,7,0),1)</f>
        <v>1</v>
      </c>
    </row>
    <row r="4809" spans="10:10" ht="35.450000000000003" hidden="1" customHeight="1">
      <c r="J4809" s="28">
        <f>IFERROR(VLOOKUP(TEXT(B4809,"0"),STOCK!A:H,7,0),1)</f>
        <v>1</v>
      </c>
    </row>
    <row r="4810" spans="10:10" ht="35.450000000000003" hidden="1" customHeight="1">
      <c r="J4810" s="28">
        <f>IFERROR(VLOOKUP(TEXT(B4810,"0"),STOCK!A:H,7,0),1)</f>
        <v>1</v>
      </c>
    </row>
    <row r="4811" spans="10:10" ht="35.450000000000003" hidden="1" customHeight="1">
      <c r="J4811" s="28">
        <f>IFERROR(VLOOKUP(TEXT(B4811,"0"),STOCK!A:H,7,0),1)</f>
        <v>1</v>
      </c>
    </row>
    <row r="4812" spans="10:10" ht="35.450000000000003" hidden="1" customHeight="1">
      <c r="J4812" s="28">
        <f>IFERROR(VLOOKUP(TEXT(B4812,"0"),STOCK!A:H,7,0),1)</f>
        <v>1</v>
      </c>
    </row>
    <row r="4813" spans="10:10" ht="35.450000000000003" hidden="1" customHeight="1">
      <c r="J4813" s="28">
        <f>IFERROR(VLOOKUP(TEXT(B4813,"0"),STOCK!A:H,7,0),1)</f>
        <v>1</v>
      </c>
    </row>
    <row r="4814" spans="10:10" ht="35.450000000000003" hidden="1" customHeight="1">
      <c r="J4814" s="28">
        <f>IFERROR(VLOOKUP(TEXT(B4814,"0"),STOCK!A:H,7,0),1)</f>
        <v>1</v>
      </c>
    </row>
    <row r="4815" spans="10:10" ht="35.450000000000003" hidden="1" customHeight="1">
      <c r="J4815" s="28">
        <f>IFERROR(VLOOKUP(TEXT(B4815,"0"),STOCK!A:H,7,0),1)</f>
        <v>1</v>
      </c>
    </row>
    <row r="4816" spans="10:10" ht="35.450000000000003" hidden="1" customHeight="1">
      <c r="J4816" s="28">
        <f>IFERROR(VLOOKUP(TEXT(B4816,"0"),STOCK!A:H,7,0),1)</f>
        <v>1</v>
      </c>
    </row>
    <row r="4817" spans="10:10" ht="35.450000000000003" hidden="1" customHeight="1">
      <c r="J4817" s="28">
        <f>IFERROR(VLOOKUP(TEXT(B4817,"0"),STOCK!A:H,7,0),1)</f>
        <v>1</v>
      </c>
    </row>
    <row r="4818" spans="10:10" ht="35.450000000000003" hidden="1" customHeight="1">
      <c r="J4818" s="28">
        <f>IFERROR(VLOOKUP(TEXT(B4818,"0"),STOCK!A:H,7,0),1)</f>
        <v>1</v>
      </c>
    </row>
    <row r="4819" spans="10:10" ht="35.450000000000003" hidden="1" customHeight="1">
      <c r="J4819" s="28">
        <f>IFERROR(VLOOKUP(TEXT(B4819,"0"),STOCK!A:H,7,0),1)</f>
        <v>1</v>
      </c>
    </row>
    <row r="4820" spans="10:10" ht="35.450000000000003" hidden="1" customHeight="1">
      <c r="J4820" s="28">
        <f>IFERROR(VLOOKUP(TEXT(B4820,"0"),STOCK!A:H,7,0),1)</f>
        <v>1</v>
      </c>
    </row>
    <row r="4821" spans="10:10" ht="35.450000000000003" hidden="1" customHeight="1">
      <c r="J4821" s="28">
        <f>IFERROR(VLOOKUP(TEXT(B4821,"0"),STOCK!A:H,7,0),1)</f>
        <v>1</v>
      </c>
    </row>
    <row r="4822" spans="10:10" ht="35.450000000000003" hidden="1" customHeight="1">
      <c r="J4822" s="28">
        <f>IFERROR(VLOOKUP(TEXT(B4822,"0"),STOCK!A:H,7,0),1)</f>
        <v>1</v>
      </c>
    </row>
    <row r="4823" spans="10:10" ht="35.450000000000003" hidden="1" customHeight="1">
      <c r="J4823" s="28">
        <f>IFERROR(VLOOKUP(TEXT(B4823,"0"),STOCK!A:H,7,0),1)</f>
        <v>1</v>
      </c>
    </row>
    <row r="4824" spans="10:10" ht="35.450000000000003" hidden="1" customHeight="1">
      <c r="J4824" s="28">
        <f>IFERROR(VLOOKUP(TEXT(B4824,"0"),STOCK!A:H,7,0),1)</f>
        <v>1</v>
      </c>
    </row>
    <row r="4825" spans="10:10" ht="35.450000000000003" hidden="1" customHeight="1">
      <c r="J4825" s="28">
        <f>IFERROR(VLOOKUP(TEXT(B4825,"0"),STOCK!A:H,7,0),1)</f>
        <v>1</v>
      </c>
    </row>
    <row r="4826" spans="10:10" ht="35.450000000000003" hidden="1" customHeight="1">
      <c r="J4826" s="28">
        <f>IFERROR(VLOOKUP(TEXT(B4826,"0"),STOCK!A:H,7,0),1)</f>
        <v>1</v>
      </c>
    </row>
    <row r="4827" spans="10:10" ht="35.450000000000003" hidden="1" customHeight="1">
      <c r="J4827" s="28">
        <f>IFERROR(VLOOKUP(TEXT(B4827,"0"),STOCK!A:H,7,0),1)</f>
        <v>1</v>
      </c>
    </row>
    <row r="4828" spans="10:10" ht="35.450000000000003" hidden="1" customHeight="1">
      <c r="J4828" s="28">
        <f>IFERROR(VLOOKUP(TEXT(B4828,"0"),STOCK!A:H,7,0),1)</f>
        <v>1</v>
      </c>
    </row>
    <row r="4829" spans="10:10" ht="35.450000000000003" hidden="1" customHeight="1">
      <c r="J4829" s="28">
        <f>IFERROR(VLOOKUP(TEXT(B4829,"0"),STOCK!A:H,7,0),1)</f>
        <v>1</v>
      </c>
    </row>
    <row r="4830" spans="10:10" ht="35.450000000000003" hidden="1" customHeight="1">
      <c r="J4830" s="28">
        <f>IFERROR(VLOOKUP(TEXT(B4830,"0"),STOCK!A:H,7,0),1)</f>
        <v>1</v>
      </c>
    </row>
    <row r="4831" spans="10:10" ht="35.450000000000003" hidden="1" customHeight="1">
      <c r="J4831" s="28">
        <f>IFERROR(VLOOKUP(TEXT(B4831,"0"),STOCK!A:H,7,0),1)</f>
        <v>1</v>
      </c>
    </row>
    <row r="4832" spans="10:10" ht="35.450000000000003" hidden="1" customHeight="1">
      <c r="J4832" s="28">
        <f>IFERROR(VLOOKUP(TEXT(B4832,"0"),STOCK!A:H,7,0),1)</f>
        <v>1</v>
      </c>
    </row>
    <row r="4833" spans="10:10" ht="35.450000000000003" hidden="1" customHeight="1">
      <c r="J4833" s="28">
        <f>IFERROR(VLOOKUP(TEXT(B4833,"0"),STOCK!A:H,7,0),1)</f>
        <v>1</v>
      </c>
    </row>
    <row r="4834" spans="10:10" ht="35.450000000000003" hidden="1" customHeight="1">
      <c r="J4834" s="28">
        <f>IFERROR(VLOOKUP(TEXT(B4834,"0"),STOCK!A:H,7,0),1)</f>
        <v>1</v>
      </c>
    </row>
    <row r="4835" spans="10:10" ht="35.450000000000003" hidden="1" customHeight="1">
      <c r="J4835" s="28">
        <f>IFERROR(VLOOKUP(TEXT(B4835,"0"),STOCK!A:H,7,0),1)</f>
        <v>1</v>
      </c>
    </row>
    <row r="4836" spans="10:10" ht="35.450000000000003" hidden="1" customHeight="1">
      <c r="J4836" s="28">
        <f>IFERROR(VLOOKUP(TEXT(B4836,"0"),STOCK!A:H,7,0),1)</f>
        <v>1</v>
      </c>
    </row>
    <row r="4837" spans="10:10" ht="35.450000000000003" hidden="1" customHeight="1">
      <c r="J4837" s="28">
        <f>IFERROR(VLOOKUP(TEXT(B4837,"0"),STOCK!A:H,7,0),1)</f>
        <v>1</v>
      </c>
    </row>
    <row r="4838" spans="10:10" ht="35.450000000000003" hidden="1" customHeight="1">
      <c r="J4838" s="28">
        <f>IFERROR(VLOOKUP(TEXT(B4838,"0"),STOCK!A:H,7,0),1)</f>
        <v>1</v>
      </c>
    </row>
    <row r="4839" spans="10:10" ht="35.450000000000003" hidden="1" customHeight="1">
      <c r="J4839" s="28">
        <f>IFERROR(VLOOKUP(TEXT(B4839,"0"),STOCK!A:H,7,0),1)</f>
        <v>1</v>
      </c>
    </row>
    <row r="4840" spans="10:10" ht="35.450000000000003" hidden="1" customHeight="1">
      <c r="J4840" s="28">
        <f>IFERROR(VLOOKUP(TEXT(B4840,"0"),STOCK!A:H,7,0),1)</f>
        <v>1</v>
      </c>
    </row>
    <row r="4841" spans="10:10" ht="35.450000000000003" hidden="1" customHeight="1">
      <c r="J4841" s="28">
        <f>IFERROR(VLOOKUP(TEXT(B4841,"0"),STOCK!A:H,7,0),1)</f>
        <v>1</v>
      </c>
    </row>
    <row r="4842" spans="10:10" ht="35.450000000000003" hidden="1" customHeight="1">
      <c r="J4842" s="28">
        <f>IFERROR(VLOOKUP(TEXT(B4842,"0"),STOCK!A:H,7,0),1)</f>
        <v>1</v>
      </c>
    </row>
    <row r="4843" spans="10:10" ht="35.450000000000003" hidden="1" customHeight="1">
      <c r="J4843" s="28">
        <f>IFERROR(VLOOKUP(TEXT(B4843,"0"),STOCK!A:H,7,0),1)</f>
        <v>1</v>
      </c>
    </row>
    <row r="4844" spans="10:10" ht="35.450000000000003" hidden="1" customHeight="1">
      <c r="J4844" s="28">
        <f>IFERROR(VLOOKUP(TEXT(B4844,"0"),STOCK!A:H,7,0),1)</f>
        <v>1</v>
      </c>
    </row>
    <row r="4845" spans="10:10" ht="35.450000000000003" hidden="1" customHeight="1">
      <c r="J4845" s="28">
        <f>IFERROR(VLOOKUP(TEXT(B4845,"0"),STOCK!A:H,7,0),1)</f>
        <v>1</v>
      </c>
    </row>
    <row r="4846" spans="10:10" ht="35.450000000000003" hidden="1" customHeight="1">
      <c r="J4846" s="28">
        <f>IFERROR(VLOOKUP(TEXT(B4846,"0"),STOCK!A:H,7,0),1)</f>
        <v>1</v>
      </c>
    </row>
    <row r="4847" spans="10:10" ht="35.450000000000003" hidden="1" customHeight="1">
      <c r="J4847" s="28">
        <f>IFERROR(VLOOKUP(TEXT(B4847,"0"),STOCK!A:H,7,0),1)</f>
        <v>1</v>
      </c>
    </row>
    <row r="4848" spans="10:10" ht="35.450000000000003" hidden="1" customHeight="1">
      <c r="J4848" s="28">
        <f>IFERROR(VLOOKUP(TEXT(B4848,"0"),STOCK!A:H,7,0),1)</f>
        <v>1</v>
      </c>
    </row>
    <row r="4849" spans="10:10" ht="35.450000000000003" hidden="1" customHeight="1">
      <c r="J4849" s="28">
        <f>IFERROR(VLOOKUP(TEXT(B4849,"0"),STOCK!A:H,7,0),1)</f>
        <v>1</v>
      </c>
    </row>
    <row r="4850" spans="10:10" ht="35.450000000000003" hidden="1" customHeight="1">
      <c r="J4850" s="28">
        <f>IFERROR(VLOOKUP(TEXT(B4850,"0"),STOCK!A:H,7,0),1)</f>
        <v>1</v>
      </c>
    </row>
    <row r="4851" spans="10:10" ht="35.450000000000003" hidden="1" customHeight="1">
      <c r="J4851" s="28">
        <f>IFERROR(VLOOKUP(TEXT(B4851,"0"),STOCK!A:H,7,0),1)</f>
        <v>1</v>
      </c>
    </row>
    <row r="4852" spans="10:10" ht="35.450000000000003" hidden="1" customHeight="1">
      <c r="J4852" s="28">
        <f>IFERROR(VLOOKUP(TEXT(B4852,"0"),STOCK!A:H,7,0),1)</f>
        <v>1</v>
      </c>
    </row>
    <row r="4853" spans="10:10" ht="35.450000000000003" hidden="1" customHeight="1">
      <c r="J4853" s="28">
        <f>IFERROR(VLOOKUP(TEXT(B4853,"0"),STOCK!A:H,7,0),1)</f>
        <v>1</v>
      </c>
    </row>
    <row r="4854" spans="10:10" ht="35.450000000000003" hidden="1" customHeight="1">
      <c r="J4854" s="28">
        <f>IFERROR(VLOOKUP(TEXT(B4854,"0"),STOCK!A:H,7,0),1)</f>
        <v>1</v>
      </c>
    </row>
    <row r="4855" spans="10:10" ht="35.450000000000003" hidden="1" customHeight="1">
      <c r="J4855" s="28">
        <f>IFERROR(VLOOKUP(TEXT(B4855,"0"),STOCK!A:H,7,0),1)</f>
        <v>1</v>
      </c>
    </row>
    <row r="4856" spans="10:10" ht="35.450000000000003" hidden="1" customHeight="1">
      <c r="J4856" s="28">
        <f>IFERROR(VLOOKUP(TEXT(B4856,"0"),STOCK!A:H,7,0),1)</f>
        <v>1</v>
      </c>
    </row>
    <row r="4857" spans="10:10" ht="35.450000000000003" hidden="1" customHeight="1">
      <c r="J4857" s="28">
        <f>IFERROR(VLOOKUP(TEXT(B4857,"0"),STOCK!A:H,7,0),1)</f>
        <v>1</v>
      </c>
    </row>
    <row r="4858" spans="10:10" ht="35.450000000000003" hidden="1" customHeight="1">
      <c r="J4858" s="28">
        <f>IFERROR(VLOOKUP(TEXT(B4858,"0"),STOCK!A:H,7,0),1)</f>
        <v>1</v>
      </c>
    </row>
    <row r="4859" spans="10:10" ht="35.450000000000003" hidden="1" customHeight="1">
      <c r="J4859" s="28">
        <f>IFERROR(VLOOKUP(TEXT(B4859,"0"),STOCK!A:H,7,0),1)</f>
        <v>1</v>
      </c>
    </row>
    <row r="4860" spans="10:10" ht="35.450000000000003" hidden="1" customHeight="1">
      <c r="J4860" s="28">
        <f>IFERROR(VLOOKUP(TEXT(B4860,"0"),STOCK!A:H,7,0),1)</f>
        <v>1</v>
      </c>
    </row>
    <row r="4861" spans="10:10" ht="35.450000000000003" hidden="1" customHeight="1">
      <c r="J4861" s="28">
        <f>IFERROR(VLOOKUP(TEXT(B4861,"0"),STOCK!A:H,7,0),1)</f>
        <v>1</v>
      </c>
    </row>
    <row r="4862" spans="10:10" ht="35.450000000000003" hidden="1" customHeight="1">
      <c r="J4862" s="28">
        <f>IFERROR(VLOOKUP(TEXT(B4862,"0"),STOCK!A:H,7,0),1)</f>
        <v>1</v>
      </c>
    </row>
    <row r="4863" spans="10:10" ht="35.450000000000003" hidden="1" customHeight="1">
      <c r="J4863" s="28">
        <f>IFERROR(VLOOKUP(TEXT(B4863,"0"),STOCK!A:H,7,0),1)</f>
        <v>1</v>
      </c>
    </row>
    <row r="4864" spans="10:10" ht="35.450000000000003" hidden="1" customHeight="1">
      <c r="J4864" s="28">
        <f>IFERROR(VLOOKUP(TEXT(B4864,"0"),STOCK!A:H,7,0),1)</f>
        <v>1</v>
      </c>
    </row>
    <row r="4865" spans="10:10" ht="35.450000000000003" hidden="1" customHeight="1">
      <c r="J4865" s="28">
        <f>IFERROR(VLOOKUP(TEXT(B4865,"0"),STOCK!A:H,7,0),1)</f>
        <v>1</v>
      </c>
    </row>
    <row r="4866" spans="10:10" ht="35.450000000000003" hidden="1" customHeight="1">
      <c r="J4866" s="28">
        <f>IFERROR(VLOOKUP(TEXT(B4866,"0"),STOCK!A:H,7,0),1)</f>
        <v>1</v>
      </c>
    </row>
    <row r="4867" spans="10:10" ht="35.450000000000003" hidden="1" customHeight="1">
      <c r="J4867" s="28">
        <f>IFERROR(VLOOKUP(TEXT(B4867,"0"),STOCK!A:H,7,0),1)</f>
        <v>1</v>
      </c>
    </row>
    <row r="4868" spans="10:10" ht="35.450000000000003" hidden="1" customHeight="1">
      <c r="J4868" s="28">
        <f>IFERROR(VLOOKUP(TEXT(B4868,"0"),STOCK!A:H,7,0),1)</f>
        <v>1</v>
      </c>
    </row>
    <row r="4869" spans="10:10" ht="35.450000000000003" hidden="1" customHeight="1">
      <c r="J4869" s="28">
        <f>IFERROR(VLOOKUP(TEXT(B4869,"0"),STOCK!A:H,7,0),1)</f>
        <v>1</v>
      </c>
    </row>
    <row r="4870" spans="10:10" ht="35.450000000000003" hidden="1" customHeight="1">
      <c r="J4870" s="28">
        <f>IFERROR(VLOOKUP(TEXT(B4870,"0"),STOCK!A:H,7,0),1)</f>
        <v>1</v>
      </c>
    </row>
    <row r="4871" spans="10:10" ht="35.450000000000003" hidden="1" customHeight="1">
      <c r="J4871" s="28">
        <f>IFERROR(VLOOKUP(TEXT(B4871,"0"),STOCK!A:H,7,0),1)</f>
        <v>1</v>
      </c>
    </row>
    <row r="4872" spans="10:10" ht="35.450000000000003" hidden="1" customHeight="1">
      <c r="J4872" s="28">
        <f>IFERROR(VLOOKUP(TEXT(B4872,"0"),STOCK!A:H,7,0),1)</f>
        <v>1</v>
      </c>
    </row>
    <row r="4873" spans="10:10" ht="35.450000000000003" hidden="1" customHeight="1">
      <c r="J4873" s="28">
        <f>IFERROR(VLOOKUP(TEXT(B4873,"0"),STOCK!A:H,7,0),1)</f>
        <v>1</v>
      </c>
    </row>
    <row r="4874" spans="10:10" ht="35.450000000000003" hidden="1" customHeight="1">
      <c r="J4874" s="28">
        <f>IFERROR(VLOOKUP(TEXT(B4874,"0"),STOCK!A:H,7,0),1)</f>
        <v>1</v>
      </c>
    </row>
    <row r="4875" spans="10:10" ht="35.450000000000003" hidden="1" customHeight="1">
      <c r="J4875" s="28">
        <f>IFERROR(VLOOKUP(TEXT(B4875,"0"),STOCK!A:H,7,0),1)</f>
        <v>1</v>
      </c>
    </row>
    <row r="4876" spans="10:10" ht="35.450000000000003" hidden="1" customHeight="1">
      <c r="J4876" s="28">
        <f>IFERROR(VLOOKUP(TEXT(B4876,"0"),STOCK!A:H,7,0),1)</f>
        <v>1</v>
      </c>
    </row>
    <row r="4877" spans="10:10" ht="35.450000000000003" hidden="1" customHeight="1">
      <c r="J4877" s="28">
        <f>IFERROR(VLOOKUP(TEXT(B4877,"0"),STOCK!A:H,7,0),1)</f>
        <v>1</v>
      </c>
    </row>
    <row r="4878" spans="10:10" ht="35.450000000000003" hidden="1" customHeight="1">
      <c r="J4878" s="28">
        <f>IFERROR(VLOOKUP(TEXT(B4878,"0"),STOCK!A:H,7,0),1)</f>
        <v>1</v>
      </c>
    </row>
    <row r="4879" spans="10:10" ht="35.450000000000003" hidden="1" customHeight="1">
      <c r="J4879" s="28">
        <f>IFERROR(VLOOKUP(TEXT(B4879,"0"),STOCK!A:H,7,0),1)</f>
        <v>1</v>
      </c>
    </row>
    <row r="4880" spans="10:10" ht="35.450000000000003" hidden="1" customHeight="1">
      <c r="J4880" s="28">
        <f>IFERROR(VLOOKUP(TEXT(B4880,"0"),STOCK!A:H,7,0),1)</f>
        <v>1</v>
      </c>
    </row>
    <row r="4881" spans="10:10" ht="35.450000000000003" hidden="1" customHeight="1">
      <c r="J4881" s="28">
        <f>IFERROR(VLOOKUP(TEXT(B4881,"0"),STOCK!A:H,7,0),1)</f>
        <v>1</v>
      </c>
    </row>
    <row r="4882" spans="10:10" ht="35.450000000000003" hidden="1" customHeight="1">
      <c r="J4882" s="28">
        <f>IFERROR(VLOOKUP(TEXT(B4882,"0"),STOCK!A:H,7,0),1)</f>
        <v>1</v>
      </c>
    </row>
    <row r="4883" spans="10:10" ht="35.450000000000003" hidden="1" customHeight="1">
      <c r="J4883" s="28">
        <f>IFERROR(VLOOKUP(TEXT(B4883,"0"),STOCK!A:H,7,0),1)</f>
        <v>1</v>
      </c>
    </row>
    <row r="4884" spans="10:10" ht="35.450000000000003" hidden="1" customHeight="1">
      <c r="J4884" s="28">
        <f>IFERROR(VLOOKUP(TEXT(B4884,"0"),STOCK!A:H,7,0),1)</f>
        <v>1</v>
      </c>
    </row>
    <row r="4885" spans="10:10" ht="35.450000000000003" hidden="1" customHeight="1">
      <c r="J4885" s="28">
        <f>IFERROR(VLOOKUP(TEXT(B4885,"0"),STOCK!A:H,7,0),1)</f>
        <v>1</v>
      </c>
    </row>
    <row r="4886" spans="10:10" ht="35.450000000000003" hidden="1" customHeight="1">
      <c r="J4886" s="28">
        <f>IFERROR(VLOOKUP(TEXT(B4886,"0"),STOCK!A:H,7,0),1)</f>
        <v>1</v>
      </c>
    </row>
    <row r="4887" spans="10:10" ht="35.450000000000003" hidden="1" customHeight="1">
      <c r="J4887" s="28">
        <f>IFERROR(VLOOKUP(TEXT(B4887,"0"),STOCK!A:H,7,0),1)</f>
        <v>1</v>
      </c>
    </row>
    <row r="4888" spans="10:10" ht="35.450000000000003" hidden="1" customHeight="1">
      <c r="J4888" s="28">
        <f>IFERROR(VLOOKUP(TEXT(B4888,"0"),STOCK!A:H,7,0),1)</f>
        <v>1</v>
      </c>
    </row>
    <row r="4889" spans="10:10" ht="35.450000000000003" hidden="1" customHeight="1">
      <c r="J4889" s="28">
        <f>IFERROR(VLOOKUP(TEXT(B4889,"0"),STOCK!A:H,7,0),1)</f>
        <v>1</v>
      </c>
    </row>
    <row r="4890" spans="10:10" ht="35.450000000000003" hidden="1" customHeight="1">
      <c r="J4890" s="28">
        <f>IFERROR(VLOOKUP(TEXT(B4890,"0"),STOCK!A:H,7,0),1)</f>
        <v>1</v>
      </c>
    </row>
    <row r="4891" spans="10:10" ht="35.450000000000003" hidden="1" customHeight="1">
      <c r="J4891" s="28">
        <f>IFERROR(VLOOKUP(TEXT(B4891,"0"),STOCK!A:H,7,0),1)</f>
        <v>1</v>
      </c>
    </row>
    <row r="4892" spans="10:10" ht="35.450000000000003" hidden="1" customHeight="1">
      <c r="J4892" s="28">
        <f>IFERROR(VLOOKUP(TEXT(B4892,"0"),STOCK!A:H,7,0),1)</f>
        <v>1</v>
      </c>
    </row>
    <row r="4893" spans="10:10" ht="35.450000000000003" hidden="1" customHeight="1">
      <c r="J4893" s="28">
        <f>IFERROR(VLOOKUP(TEXT(B4893,"0"),STOCK!A:H,7,0),1)</f>
        <v>1</v>
      </c>
    </row>
    <row r="4894" spans="10:10" ht="35.450000000000003" hidden="1" customHeight="1">
      <c r="J4894" s="28">
        <f>IFERROR(VLOOKUP(TEXT(B4894,"0"),STOCK!A:H,7,0),1)</f>
        <v>1</v>
      </c>
    </row>
    <row r="4895" spans="10:10" ht="35.450000000000003" hidden="1" customHeight="1">
      <c r="J4895" s="28">
        <f>IFERROR(VLOOKUP(TEXT(B4895,"0"),STOCK!A:H,7,0),1)</f>
        <v>1</v>
      </c>
    </row>
    <row r="4896" spans="10:10" ht="35.450000000000003" hidden="1" customHeight="1">
      <c r="J4896" s="28">
        <f>IFERROR(VLOOKUP(TEXT(B4896,"0"),STOCK!A:H,7,0),1)</f>
        <v>1</v>
      </c>
    </row>
    <row r="4897" spans="10:10" ht="35.450000000000003" hidden="1" customHeight="1">
      <c r="J4897" s="28">
        <f>IFERROR(VLOOKUP(TEXT(B4897,"0"),STOCK!A:H,7,0),1)</f>
        <v>1</v>
      </c>
    </row>
    <row r="4898" spans="10:10" ht="35.450000000000003" hidden="1" customHeight="1">
      <c r="J4898" s="28">
        <f>IFERROR(VLOOKUP(TEXT(B4898,"0"),STOCK!A:H,7,0),1)</f>
        <v>1</v>
      </c>
    </row>
    <row r="4899" spans="10:10" ht="35.450000000000003" hidden="1" customHeight="1">
      <c r="J4899" s="28">
        <f>IFERROR(VLOOKUP(TEXT(B4899,"0"),STOCK!A:H,7,0),1)</f>
        <v>1</v>
      </c>
    </row>
    <row r="4900" spans="10:10" ht="35.450000000000003" hidden="1" customHeight="1">
      <c r="J4900" s="28">
        <f>IFERROR(VLOOKUP(TEXT(B4900,"0"),STOCK!A:H,7,0),1)</f>
        <v>1</v>
      </c>
    </row>
    <row r="4901" spans="10:10" ht="35.450000000000003" hidden="1" customHeight="1">
      <c r="J4901" s="28">
        <f>IFERROR(VLOOKUP(TEXT(B4901,"0"),STOCK!A:H,7,0),1)</f>
        <v>1</v>
      </c>
    </row>
    <row r="4902" spans="10:10" ht="35.450000000000003" hidden="1" customHeight="1">
      <c r="J4902" s="28">
        <f>IFERROR(VLOOKUP(TEXT(B4902,"0"),STOCK!A:H,7,0),1)</f>
        <v>1</v>
      </c>
    </row>
    <row r="4903" spans="10:10" ht="35.450000000000003" hidden="1" customHeight="1">
      <c r="J4903" s="28">
        <f>IFERROR(VLOOKUP(TEXT(B4903,"0"),STOCK!A:H,7,0),1)</f>
        <v>1</v>
      </c>
    </row>
    <row r="4904" spans="10:10" ht="35.450000000000003" hidden="1" customHeight="1">
      <c r="J4904" s="28">
        <f>IFERROR(VLOOKUP(TEXT(B4904,"0"),STOCK!A:H,7,0),1)</f>
        <v>1</v>
      </c>
    </row>
    <row r="4905" spans="10:10" ht="35.450000000000003" hidden="1" customHeight="1">
      <c r="J4905" s="28">
        <f>IFERROR(VLOOKUP(TEXT(B4905,"0"),STOCK!A:H,7,0),1)</f>
        <v>1</v>
      </c>
    </row>
    <row r="4906" spans="10:10" ht="35.450000000000003" hidden="1" customHeight="1">
      <c r="J4906" s="28">
        <f>IFERROR(VLOOKUP(TEXT(B4906,"0"),STOCK!A:H,7,0),1)</f>
        <v>1</v>
      </c>
    </row>
    <row r="4907" spans="10:10" ht="35.450000000000003" hidden="1" customHeight="1">
      <c r="J4907" s="28">
        <f>IFERROR(VLOOKUP(TEXT(B4907,"0"),STOCK!A:H,7,0),1)</f>
        <v>1</v>
      </c>
    </row>
    <row r="4908" spans="10:10" ht="35.450000000000003" hidden="1" customHeight="1">
      <c r="J4908" s="28">
        <f>IFERROR(VLOOKUP(TEXT(B4908,"0"),STOCK!A:H,7,0),1)</f>
        <v>1</v>
      </c>
    </row>
    <row r="4909" spans="10:10" ht="35.450000000000003" hidden="1" customHeight="1">
      <c r="J4909" s="28">
        <f>IFERROR(VLOOKUP(TEXT(B4909,"0"),STOCK!A:H,7,0),1)</f>
        <v>1</v>
      </c>
    </row>
    <row r="4910" spans="10:10" ht="35.450000000000003" hidden="1" customHeight="1">
      <c r="J4910" s="28">
        <f>IFERROR(VLOOKUP(TEXT(B4910,"0"),STOCK!A:H,7,0),1)</f>
        <v>1</v>
      </c>
    </row>
    <row r="4911" spans="10:10" ht="35.450000000000003" hidden="1" customHeight="1">
      <c r="J4911" s="28">
        <f>IFERROR(VLOOKUP(TEXT(B4911,"0"),STOCK!A:H,7,0),1)</f>
        <v>1</v>
      </c>
    </row>
    <row r="4912" spans="10:10" ht="35.450000000000003" hidden="1" customHeight="1">
      <c r="J4912" s="28">
        <f>IFERROR(VLOOKUP(TEXT(B4912,"0"),STOCK!A:H,7,0),1)</f>
        <v>1</v>
      </c>
    </row>
    <row r="4913" spans="10:10" ht="35.450000000000003" hidden="1" customHeight="1">
      <c r="J4913" s="28">
        <f>IFERROR(VLOOKUP(TEXT(B4913,"0"),STOCK!A:H,7,0),1)</f>
        <v>1</v>
      </c>
    </row>
    <row r="4914" spans="10:10" ht="35.450000000000003" hidden="1" customHeight="1">
      <c r="J4914" s="28">
        <f>IFERROR(VLOOKUP(TEXT(B4914,"0"),STOCK!A:H,7,0),1)</f>
        <v>1</v>
      </c>
    </row>
    <row r="4915" spans="10:10" ht="35.450000000000003" hidden="1" customHeight="1">
      <c r="J4915" s="28">
        <f>IFERROR(VLOOKUP(TEXT(B4915,"0"),STOCK!A:H,7,0),1)</f>
        <v>1</v>
      </c>
    </row>
    <row r="4916" spans="10:10" ht="35.450000000000003" hidden="1" customHeight="1">
      <c r="J4916" s="28">
        <f>IFERROR(VLOOKUP(TEXT(B4916,"0"),STOCK!A:H,7,0),1)</f>
        <v>1</v>
      </c>
    </row>
    <row r="4917" spans="10:10" ht="35.450000000000003" hidden="1" customHeight="1">
      <c r="J4917" s="28">
        <f>IFERROR(VLOOKUP(TEXT(B4917,"0"),STOCK!A:H,7,0),1)</f>
        <v>1</v>
      </c>
    </row>
    <row r="4918" spans="10:10" ht="35.450000000000003" hidden="1" customHeight="1">
      <c r="J4918" s="28">
        <f>IFERROR(VLOOKUP(TEXT(B4918,"0"),STOCK!A:H,7,0),1)</f>
        <v>1</v>
      </c>
    </row>
    <row r="4919" spans="10:10" ht="35.450000000000003" hidden="1" customHeight="1">
      <c r="J4919" s="28">
        <f>IFERROR(VLOOKUP(TEXT(B4919,"0"),STOCK!A:H,7,0),1)</f>
        <v>1</v>
      </c>
    </row>
    <row r="4920" spans="10:10" ht="35.450000000000003" hidden="1" customHeight="1">
      <c r="J4920" s="28">
        <f>IFERROR(VLOOKUP(TEXT(B4920,"0"),STOCK!A:H,7,0),1)</f>
        <v>1</v>
      </c>
    </row>
    <row r="4921" spans="10:10" ht="35.450000000000003" hidden="1" customHeight="1">
      <c r="J4921" s="28">
        <f>IFERROR(VLOOKUP(TEXT(B4921,"0"),STOCK!A:H,7,0),1)</f>
        <v>1</v>
      </c>
    </row>
    <row r="4922" spans="10:10" ht="35.450000000000003" hidden="1" customHeight="1">
      <c r="J4922" s="28">
        <f>IFERROR(VLOOKUP(TEXT(B4922,"0"),STOCK!A:H,7,0),1)</f>
        <v>1</v>
      </c>
    </row>
    <row r="4923" spans="10:10" ht="35.450000000000003" hidden="1" customHeight="1">
      <c r="J4923" s="28">
        <f>IFERROR(VLOOKUP(TEXT(B4923,"0"),STOCK!A:H,7,0),1)</f>
        <v>1</v>
      </c>
    </row>
    <row r="4924" spans="10:10" ht="35.450000000000003" hidden="1" customHeight="1">
      <c r="J4924" s="28">
        <f>IFERROR(VLOOKUP(TEXT(B4924,"0"),STOCK!A:H,7,0),1)</f>
        <v>1</v>
      </c>
    </row>
    <row r="4925" spans="10:10" ht="35.450000000000003" hidden="1" customHeight="1">
      <c r="J4925" s="28">
        <f>IFERROR(VLOOKUP(TEXT(B4925,"0"),STOCK!A:H,7,0),1)</f>
        <v>1</v>
      </c>
    </row>
    <row r="4926" spans="10:10" ht="35.450000000000003" hidden="1" customHeight="1">
      <c r="J4926" s="28">
        <f>IFERROR(VLOOKUP(TEXT(B4926,"0"),STOCK!A:H,7,0),1)</f>
        <v>1</v>
      </c>
    </row>
    <row r="4927" spans="10:10" ht="35.450000000000003" hidden="1" customHeight="1">
      <c r="J4927" s="28">
        <f>IFERROR(VLOOKUP(TEXT(B4927,"0"),STOCK!A:H,7,0),1)</f>
        <v>1</v>
      </c>
    </row>
    <row r="4928" spans="10:10" ht="35.450000000000003" hidden="1" customHeight="1">
      <c r="J4928" s="28">
        <f>IFERROR(VLOOKUP(TEXT(B4928,"0"),STOCK!A:H,7,0),1)</f>
        <v>1</v>
      </c>
    </row>
    <row r="4929" spans="10:10" ht="35.450000000000003" hidden="1" customHeight="1">
      <c r="J4929" s="28">
        <f>IFERROR(VLOOKUP(TEXT(B4929,"0"),STOCK!A:H,7,0),1)</f>
        <v>1</v>
      </c>
    </row>
    <row r="4930" spans="10:10" ht="35.450000000000003" hidden="1" customHeight="1">
      <c r="J4930" s="28">
        <f>IFERROR(VLOOKUP(TEXT(B4930,"0"),STOCK!A:H,7,0),1)</f>
        <v>1</v>
      </c>
    </row>
    <row r="4931" spans="10:10" ht="35.450000000000003" hidden="1" customHeight="1">
      <c r="J4931" s="28">
        <f>IFERROR(VLOOKUP(TEXT(B4931,"0"),STOCK!A:H,7,0),1)</f>
        <v>1</v>
      </c>
    </row>
    <row r="4932" spans="10:10" ht="35.450000000000003" hidden="1" customHeight="1">
      <c r="J4932" s="28">
        <f>IFERROR(VLOOKUP(TEXT(B4932,"0"),STOCK!A:H,7,0),1)</f>
        <v>1</v>
      </c>
    </row>
    <row r="4933" spans="10:10" ht="35.450000000000003" hidden="1" customHeight="1">
      <c r="J4933" s="28">
        <f>IFERROR(VLOOKUP(TEXT(B4933,"0"),STOCK!A:H,7,0),1)</f>
        <v>1</v>
      </c>
    </row>
    <row r="4934" spans="10:10" ht="35.450000000000003" hidden="1" customHeight="1">
      <c r="J4934" s="28">
        <f>IFERROR(VLOOKUP(TEXT(B4934,"0"),STOCK!A:H,7,0),1)</f>
        <v>1</v>
      </c>
    </row>
    <row r="4935" spans="10:10" ht="35.450000000000003" hidden="1" customHeight="1">
      <c r="J4935" s="28">
        <f>IFERROR(VLOOKUP(TEXT(B4935,"0"),STOCK!A:H,7,0),1)</f>
        <v>1</v>
      </c>
    </row>
    <row r="4936" spans="10:10" ht="35.450000000000003" hidden="1" customHeight="1">
      <c r="J4936" s="28">
        <f>IFERROR(VLOOKUP(TEXT(B4936,"0"),STOCK!A:H,7,0),1)</f>
        <v>1</v>
      </c>
    </row>
    <row r="4937" spans="10:10" ht="35.450000000000003" hidden="1" customHeight="1">
      <c r="J4937" s="28">
        <f>IFERROR(VLOOKUP(TEXT(B4937,"0"),STOCK!A:H,7,0),1)</f>
        <v>1</v>
      </c>
    </row>
    <row r="4938" spans="10:10" ht="35.450000000000003" hidden="1" customHeight="1">
      <c r="J4938" s="28">
        <f>IFERROR(VLOOKUP(TEXT(B4938,"0"),STOCK!A:H,7,0),1)</f>
        <v>1</v>
      </c>
    </row>
    <row r="4939" spans="10:10" ht="35.450000000000003" hidden="1" customHeight="1">
      <c r="J4939" s="28">
        <f>IFERROR(VLOOKUP(TEXT(B4939,"0"),STOCK!A:H,7,0),1)</f>
        <v>1</v>
      </c>
    </row>
    <row r="4940" spans="10:10" ht="35.450000000000003" hidden="1" customHeight="1">
      <c r="J4940" s="28">
        <f>IFERROR(VLOOKUP(TEXT(B4940,"0"),STOCK!A:H,7,0),1)</f>
        <v>1</v>
      </c>
    </row>
    <row r="4941" spans="10:10" ht="35.450000000000003" hidden="1" customHeight="1">
      <c r="J4941" s="28">
        <f>IFERROR(VLOOKUP(TEXT(B4941,"0"),STOCK!A:H,7,0),1)</f>
        <v>1</v>
      </c>
    </row>
    <row r="4942" spans="10:10" ht="35.450000000000003" hidden="1" customHeight="1">
      <c r="J4942" s="28">
        <f>IFERROR(VLOOKUP(TEXT(B4942,"0"),STOCK!A:H,7,0),1)</f>
        <v>1</v>
      </c>
    </row>
    <row r="4943" spans="10:10" ht="35.450000000000003" hidden="1" customHeight="1">
      <c r="J4943" s="28">
        <f>IFERROR(VLOOKUP(TEXT(B4943,"0"),STOCK!A:H,7,0),1)</f>
        <v>1</v>
      </c>
    </row>
    <row r="4944" spans="10:10" ht="35.450000000000003" hidden="1" customHeight="1">
      <c r="J4944" s="28">
        <f>IFERROR(VLOOKUP(TEXT(B4944,"0"),STOCK!A:H,7,0),1)</f>
        <v>1</v>
      </c>
    </row>
    <row r="4945" spans="10:10" ht="35.450000000000003" hidden="1" customHeight="1">
      <c r="J4945" s="28">
        <f>IFERROR(VLOOKUP(TEXT(B4945,"0"),STOCK!A:H,7,0),1)</f>
        <v>1</v>
      </c>
    </row>
    <row r="4946" spans="10:10" ht="35.450000000000003" hidden="1" customHeight="1">
      <c r="J4946" s="28">
        <f>IFERROR(VLOOKUP(TEXT(B4946,"0"),STOCK!A:H,7,0),1)</f>
        <v>1</v>
      </c>
    </row>
    <row r="4947" spans="10:10" ht="35.450000000000003" hidden="1" customHeight="1">
      <c r="J4947" s="28">
        <f>IFERROR(VLOOKUP(TEXT(B4947,"0"),STOCK!A:H,7,0),1)</f>
        <v>1</v>
      </c>
    </row>
    <row r="4948" spans="10:10" ht="35.450000000000003" hidden="1" customHeight="1">
      <c r="J4948" s="28">
        <f>IFERROR(VLOOKUP(TEXT(B4948,"0"),STOCK!A:H,7,0),1)</f>
        <v>1</v>
      </c>
    </row>
    <row r="4949" spans="10:10" ht="35.450000000000003" hidden="1" customHeight="1">
      <c r="J4949" s="28">
        <f>IFERROR(VLOOKUP(TEXT(B4949,"0"),STOCK!A:H,7,0),1)</f>
        <v>1</v>
      </c>
    </row>
    <row r="4950" spans="10:10" ht="35.450000000000003" hidden="1" customHeight="1">
      <c r="J4950" s="28">
        <f>IFERROR(VLOOKUP(TEXT(B4950,"0"),STOCK!A:H,7,0),1)</f>
        <v>1</v>
      </c>
    </row>
    <row r="4951" spans="10:10" ht="35.450000000000003" hidden="1" customHeight="1">
      <c r="J4951" s="28">
        <f>IFERROR(VLOOKUP(TEXT(B4951,"0"),STOCK!A:H,7,0),1)</f>
        <v>1</v>
      </c>
    </row>
    <row r="4952" spans="10:10" ht="35.450000000000003" hidden="1" customHeight="1">
      <c r="J4952" s="28">
        <f>IFERROR(VLOOKUP(TEXT(B4952,"0"),STOCK!A:H,7,0),1)</f>
        <v>1</v>
      </c>
    </row>
    <row r="4953" spans="10:10" ht="35.450000000000003" hidden="1" customHeight="1">
      <c r="J4953" s="28">
        <f>IFERROR(VLOOKUP(TEXT(B4953,"0"),STOCK!A:H,7,0),1)</f>
        <v>1</v>
      </c>
    </row>
    <row r="4954" spans="10:10" ht="35.450000000000003" hidden="1" customHeight="1">
      <c r="J4954" s="28">
        <f>IFERROR(VLOOKUP(TEXT(B4954,"0"),STOCK!A:H,7,0),1)</f>
        <v>1</v>
      </c>
    </row>
    <row r="4955" spans="10:10" ht="35.450000000000003" hidden="1" customHeight="1">
      <c r="J4955" s="28">
        <f>IFERROR(VLOOKUP(TEXT(B4955,"0"),STOCK!A:H,7,0),1)</f>
        <v>1</v>
      </c>
    </row>
    <row r="4956" spans="10:10" ht="35.450000000000003" hidden="1" customHeight="1">
      <c r="J4956" s="28">
        <f>IFERROR(VLOOKUP(TEXT(B4956,"0"),STOCK!A:H,7,0),1)</f>
        <v>1</v>
      </c>
    </row>
    <row r="4957" spans="10:10" ht="35.450000000000003" hidden="1" customHeight="1">
      <c r="J4957" s="28">
        <f>IFERROR(VLOOKUP(TEXT(B4957,"0"),STOCK!A:H,7,0),1)</f>
        <v>1</v>
      </c>
    </row>
    <row r="4958" spans="10:10" ht="35.450000000000003" hidden="1" customHeight="1">
      <c r="J4958" s="28">
        <f>IFERROR(VLOOKUP(TEXT(B4958,"0"),STOCK!A:H,7,0),1)</f>
        <v>1</v>
      </c>
    </row>
    <row r="4959" spans="10:10" ht="35.450000000000003" hidden="1" customHeight="1">
      <c r="J4959" s="28">
        <f>IFERROR(VLOOKUP(TEXT(B4959,"0"),STOCK!A:H,7,0),1)</f>
        <v>1</v>
      </c>
    </row>
    <row r="4960" spans="10:10" ht="35.450000000000003" hidden="1" customHeight="1">
      <c r="J4960" s="28">
        <f>IFERROR(VLOOKUP(TEXT(B4960,"0"),STOCK!A:H,7,0),1)</f>
        <v>1</v>
      </c>
    </row>
    <row r="4961" spans="10:10" ht="35.450000000000003" hidden="1" customHeight="1">
      <c r="J4961" s="28">
        <f>IFERROR(VLOOKUP(TEXT(B4961,"0"),STOCK!A:H,7,0),1)</f>
        <v>1</v>
      </c>
    </row>
    <row r="4962" spans="10:10" ht="35.450000000000003" hidden="1" customHeight="1">
      <c r="J4962" s="28">
        <f>IFERROR(VLOOKUP(TEXT(B4962,"0"),STOCK!A:H,7,0),1)</f>
        <v>1</v>
      </c>
    </row>
    <row r="4963" spans="10:10" ht="35.450000000000003" hidden="1" customHeight="1">
      <c r="J4963" s="28">
        <f>IFERROR(VLOOKUP(TEXT(B4963,"0"),STOCK!A:H,7,0),1)</f>
        <v>1</v>
      </c>
    </row>
    <row r="4964" spans="10:10" ht="35.450000000000003" hidden="1" customHeight="1">
      <c r="J4964" s="28">
        <f>IFERROR(VLOOKUP(TEXT(B4964,"0"),STOCK!A:H,7,0),1)</f>
        <v>1</v>
      </c>
    </row>
    <row r="4965" spans="10:10" ht="35.450000000000003" hidden="1" customHeight="1">
      <c r="J4965" s="28">
        <f>IFERROR(VLOOKUP(TEXT(B4965,"0"),STOCK!A:H,7,0),1)</f>
        <v>1</v>
      </c>
    </row>
    <row r="4966" spans="10:10" ht="35.450000000000003" hidden="1" customHeight="1">
      <c r="J4966" s="28">
        <f>IFERROR(VLOOKUP(TEXT(B4966,"0"),STOCK!A:H,7,0),1)</f>
        <v>1</v>
      </c>
    </row>
    <row r="4967" spans="10:10" ht="35.450000000000003" hidden="1" customHeight="1">
      <c r="J4967" s="28">
        <f>IFERROR(VLOOKUP(TEXT(B4967,"0"),STOCK!A:H,7,0),1)</f>
        <v>1</v>
      </c>
    </row>
    <row r="4968" spans="10:10" ht="35.450000000000003" hidden="1" customHeight="1">
      <c r="J4968" s="28">
        <f>IFERROR(VLOOKUP(TEXT(B4968,"0"),STOCK!A:H,7,0),1)</f>
        <v>1</v>
      </c>
    </row>
    <row r="4969" spans="10:10" ht="35.450000000000003" hidden="1" customHeight="1">
      <c r="J4969" s="28">
        <f>IFERROR(VLOOKUP(TEXT(B4969,"0"),STOCK!A:H,7,0),1)</f>
        <v>1</v>
      </c>
    </row>
    <row r="4970" spans="10:10" ht="35.450000000000003" hidden="1" customHeight="1">
      <c r="J4970" s="28">
        <f>IFERROR(VLOOKUP(TEXT(B4970,"0"),STOCK!A:H,7,0),1)</f>
        <v>1</v>
      </c>
    </row>
    <row r="4971" spans="10:10" ht="35.450000000000003" hidden="1" customHeight="1">
      <c r="J4971" s="28">
        <f>IFERROR(VLOOKUP(TEXT(B4971,"0"),STOCK!A:H,7,0),1)</f>
        <v>1</v>
      </c>
    </row>
    <row r="4972" spans="10:10" ht="35.450000000000003" hidden="1" customHeight="1">
      <c r="J4972" s="28">
        <f>IFERROR(VLOOKUP(TEXT(B4972,"0"),STOCK!A:H,7,0),1)</f>
        <v>1</v>
      </c>
    </row>
    <row r="4973" spans="10:10" ht="35.450000000000003" hidden="1" customHeight="1">
      <c r="J4973" s="28">
        <f>IFERROR(VLOOKUP(TEXT(B4973,"0"),STOCK!A:H,7,0),1)</f>
        <v>1</v>
      </c>
    </row>
    <row r="4974" spans="10:10" ht="35.450000000000003" hidden="1" customHeight="1">
      <c r="J4974" s="28">
        <f>IFERROR(VLOOKUP(TEXT(B4974,"0"),STOCK!A:H,7,0),1)</f>
        <v>1</v>
      </c>
    </row>
    <row r="4975" spans="10:10" ht="35.450000000000003" hidden="1" customHeight="1">
      <c r="J4975" s="28">
        <f>IFERROR(VLOOKUP(TEXT(B4975,"0"),STOCK!A:H,7,0),1)</f>
        <v>1</v>
      </c>
    </row>
    <row r="4976" spans="10:10" ht="35.450000000000003" hidden="1" customHeight="1">
      <c r="J4976" s="28">
        <f>IFERROR(VLOOKUP(TEXT(B4976,"0"),STOCK!A:H,7,0),1)</f>
        <v>1</v>
      </c>
    </row>
    <row r="4977" spans="10:10" ht="35.450000000000003" hidden="1" customHeight="1">
      <c r="J4977" s="28">
        <f>IFERROR(VLOOKUP(TEXT(B4977,"0"),STOCK!A:H,7,0),1)</f>
        <v>1</v>
      </c>
    </row>
    <row r="4978" spans="10:10" ht="35.450000000000003" hidden="1" customHeight="1">
      <c r="J4978" s="28">
        <f>IFERROR(VLOOKUP(TEXT(B4978,"0"),STOCK!A:H,7,0),1)</f>
        <v>1</v>
      </c>
    </row>
    <row r="4979" spans="10:10" ht="35.450000000000003" hidden="1" customHeight="1">
      <c r="J4979" s="28">
        <f>IFERROR(VLOOKUP(TEXT(B4979,"0"),STOCK!A:H,7,0),1)</f>
        <v>1</v>
      </c>
    </row>
    <row r="4980" spans="10:10" ht="35.450000000000003" hidden="1" customHeight="1">
      <c r="J4980" s="28">
        <f>IFERROR(VLOOKUP(TEXT(B4980,"0"),STOCK!A:H,7,0),1)</f>
        <v>1</v>
      </c>
    </row>
    <row r="4981" spans="10:10" ht="35.450000000000003" hidden="1" customHeight="1">
      <c r="J4981" s="28">
        <f>IFERROR(VLOOKUP(TEXT(B4981,"0"),STOCK!A:H,7,0),1)</f>
        <v>1</v>
      </c>
    </row>
    <row r="4982" spans="10:10" ht="35.450000000000003" hidden="1" customHeight="1">
      <c r="J4982" s="28">
        <f>IFERROR(VLOOKUP(TEXT(B4982,"0"),STOCK!A:H,7,0),1)</f>
        <v>1</v>
      </c>
    </row>
    <row r="4983" spans="10:10" ht="35.450000000000003" hidden="1" customHeight="1">
      <c r="J4983" s="28">
        <f>IFERROR(VLOOKUP(TEXT(B4983,"0"),STOCK!A:H,7,0),1)</f>
        <v>1</v>
      </c>
    </row>
    <row r="4984" spans="10:10" ht="35.450000000000003" hidden="1" customHeight="1">
      <c r="J4984" s="28">
        <f>IFERROR(VLOOKUP(TEXT(B4984,"0"),STOCK!A:H,7,0),1)</f>
        <v>1</v>
      </c>
    </row>
    <row r="4985" spans="10:10" ht="35.450000000000003" hidden="1" customHeight="1">
      <c r="J4985" s="28">
        <f>IFERROR(VLOOKUP(TEXT(B4985,"0"),STOCK!A:H,7,0),1)</f>
        <v>1</v>
      </c>
    </row>
    <row r="4986" spans="10:10" ht="35.450000000000003" hidden="1" customHeight="1">
      <c r="J4986" s="28">
        <f>IFERROR(VLOOKUP(TEXT(B4986,"0"),STOCK!A:H,7,0),1)</f>
        <v>1</v>
      </c>
    </row>
    <row r="4987" spans="10:10" ht="35.450000000000003" hidden="1" customHeight="1">
      <c r="J4987" s="28">
        <f>IFERROR(VLOOKUP(TEXT(B4987,"0"),STOCK!A:H,7,0),1)</f>
        <v>1</v>
      </c>
    </row>
    <row r="4988" spans="10:10" ht="35.450000000000003" hidden="1" customHeight="1">
      <c r="J4988" s="28">
        <f>IFERROR(VLOOKUP(TEXT(B4988,"0"),STOCK!A:H,7,0),1)</f>
        <v>1</v>
      </c>
    </row>
    <row r="4989" spans="10:10" ht="35.450000000000003" hidden="1" customHeight="1">
      <c r="J4989" s="28">
        <f>IFERROR(VLOOKUP(TEXT(B4989,"0"),STOCK!A:H,7,0),1)</f>
        <v>1</v>
      </c>
    </row>
    <row r="4990" spans="10:10" ht="35.450000000000003" hidden="1" customHeight="1">
      <c r="J4990" s="28">
        <f>IFERROR(VLOOKUP(TEXT(B4990,"0"),STOCK!A:H,7,0),1)</f>
        <v>1</v>
      </c>
    </row>
    <row r="4991" spans="10:10" ht="35.450000000000003" hidden="1" customHeight="1">
      <c r="J4991" s="28">
        <f>IFERROR(VLOOKUP(TEXT(B4991,"0"),STOCK!A:H,7,0),1)</f>
        <v>1</v>
      </c>
    </row>
    <row r="4992" spans="10:10" ht="35.450000000000003" hidden="1" customHeight="1">
      <c r="J4992" s="28">
        <f>IFERROR(VLOOKUP(TEXT(B4992,"0"),STOCK!A:H,7,0),1)</f>
        <v>1</v>
      </c>
    </row>
    <row r="4993" spans="10:10" ht="35.450000000000003" hidden="1" customHeight="1">
      <c r="J4993" s="28">
        <f>IFERROR(VLOOKUP(TEXT(B4993,"0"),STOCK!A:H,7,0),1)</f>
        <v>1</v>
      </c>
    </row>
    <row r="4994" spans="10:10" ht="35.450000000000003" hidden="1" customHeight="1">
      <c r="J4994" s="28">
        <f>IFERROR(VLOOKUP(TEXT(B4994,"0"),STOCK!A:H,7,0),1)</f>
        <v>1</v>
      </c>
    </row>
    <row r="4995" spans="10:10" ht="35.450000000000003" hidden="1" customHeight="1">
      <c r="J4995" s="28">
        <f>IFERROR(VLOOKUP(TEXT(B4995,"0"),STOCK!A:H,7,0),1)</f>
        <v>1</v>
      </c>
    </row>
    <row r="4996" spans="10:10" ht="35.450000000000003" hidden="1" customHeight="1">
      <c r="J4996" s="28">
        <f>IFERROR(VLOOKUP(TEXT(B4996,"0"),STOCK!A:H,7,0),1)</f>
        <v>1</v>
      </c>
    </row>
    <row r="4997" spans="10:10" ht="35.450000000000003" hidden="1" customHeight="1">
      <c r="J4997" s="28">
        <f>IFERROR(VLOOKUP(TEXT(B4997,"0"),STOCK!A:H,7,0),1)</f>
        <v>1</v>
      </c>
    </row>
    <row r="4998" spans="10:10" ht="35.450000000000003" hidden="1" customHeight="1">
      <c r="J4998" s="28">
        <f>IFERROR(VLOOKUP(TEXT(B4998,"0"),STOCK!A:H,7,0),1)</f>
        <v>1</v>
      </c>
    </row>
    <row r="4999" spans="10:10" ht="35.450000000000003" hidden="1" customHeight="1">
      <c r="J4999" s="28">
        <f>IFERROR(VLOOKUP(TEXT(B4999,"0"),STOCK!A:H,7,0),1)</f>
        <v>1</v>
      </c>
    </row>
    <row r="5000" spans="10:10" ht="35.450000000000003" hidden="1" customHeight="1">
      <c r="J5000" s="28">
        <f>IFERROR(VLOOKUP(TEXT(B5000,"0"),STOCK!A:H,7,0),1)</f>
        <v>1</v>
      </c>
    </row>
    <row r="5001" spans="10:10" ht="35.450000000000003" hidden="1" customHeight="1">
      <c r="J5001" s="28">
        <f>IFERROR(VLOOKUP(TEXT(B5001,"0"),STOCK!A:H,7,0),1)</f>
        <v>1</v>
      </c>
    </row>
    <row r="5002" spans="10:10" ht="35.450000000000003" hidden="1" customHeight="1">
      <c r="J5002" s="28">
        <f>IFERROR(VLOOKUP(TEXT(B5002,"0"),STOCK!A:H,7,0),1)</f>
        <v>1</v>
      </c>
    </row>
    <row r="5003" spans="10:10" ht="35.450000000000003" hidden="1" customHeight="1">
      <c r="J5003" s="28">
        <f>IFERROR(VLOOKUP(TEXT(B5003,"0"),STOCK!A:H,7,0),1)</f>
        <v>1</v>
      </c>
    </row>
    <row r="5004" spans="10:10" ht="35.450000000000003" hidden="1" customHeight="1">
      <c r="J5004" s="28">
        <f>IFERROR(VLOOKUP(TEXT(B5004,"0"),STOCK!A:H,7,0),1)</f>
        <v>1</v>
      </c>
    </row>
    <row r="5005" spans="10:10" ht="35.450000000000003" hidden="1" customHeight="1">
      <c r="J5005" s="28">
        <f>IFERROR(VLOOKUP(TEXT(B5005,"0"),STOCK!A:H,7,0),1)</f>
        <v>1</v>
      </c>
    </row>
    <row r="5006" spans="10:10" ht="35.450000000000003" hidden="1" customHeight="1">
      <c r="J5006" s="28">
        <f>IFERROR(VLOOKUP(TEXT(B5006,"0"),STOCK!A:H,7,0),1)</f>
        <v>1</v>
      </c>
    </row>
    <row r="5007" spans="10:10" ht="35.450000000000003" hidden="1" customHeight="1">
      <c r="J5007" s="28">
        <f>IFERROR(VLOOKUP(TEXT(B5007,"0"),STOCK!A:H,7,0),1)</f>
        <v>1</v>
      </c>
    </row>
    <row r="5008" spans="10:10" ht="35.450000000000003" hidden="1" customHeight="1">
      <c r="J5008" s="28">
        <f>IFERROR(VLOOKUP(TEXT(B5008,"0"),STOCK!A:H,7,0),1)</f>
        <v>1</v>
      </c>
    </row>
    <row r="5009" spans="10:10" ht="35.450000000000003" hidden="1" customHeight="1">
      <c r="J5009" s="28">
        <f>IFERROR(VLOOKUP(TEXT(B5009,"0"),STOCK!A:H,7,0),1)</f>
        <v>1</v>
      </c>
    </row>
    <row r="5010" spans="10:10" ht="35.450000000000003" hidden="1" customHeight="1">
      <c r="J5010" s="28">
        <f>IFERROR(VLOOKUP(TEXT(B5010,"0"),STOCK!A:H,7,0),1)</f>
        <v>1</v>
      </c>
    </row>
    <row r="5011" spans="10:10" ht="35.450000000000003" hidden="1" customHeight="1">
      <c r="J5011" s="28">
        <f>IFERROR(VLOOKUP(TEXT(B5011,"0"),STOCK!A:H,7,0),1)</f>
        <v>1</v>
      </c>
    </row>
    <row r="5012" spans="10:10" ht="35.450000000000003" hidden="1" customHeight="1">
      <c r="J5012" s="28">
        <f>IFERROR(VLOOKUP(TEXT(B5012,"0"),STOCK!A:H,7,0),1)</f>
        <v>1</v>
      </c>
    </row>
    <row r="5013" spans="10:10" ht="35.450000000000003" hidden="1" customHeight="1">
      <c r="J5013" s="28">
        <f>IFERROR(VLOOKUP(TEXT(B5013,"0"),STOCK!A:H,7,0),1)</f>
        <v>1</v>
      </c>
    </row>
    <row r="5014" spans="10:10" ht="35.450000000000003" hidden="1" customHeight="1">
      <c r="J5014" s="28">
        <f>IFERROR(VLOOKUP(TEXT(B5014,"0"),STOCK!A:H,7,0),1)</f>
        <v>1</v>
      </c>
    </row>
    <row r="5015" spans="10:10" ht="35.450000000000003" hidden="1" customHeight="1">
      <c r="J5015" s="28">
        <f>IFERROR(VLOOKUP(TEXT(B5015,"0"),STOCK!A:H,7,0),1)</f>
        <v>1</v>
      </c>
    </row>
    <row r="5016" spans="10:10" ht="35.450000000000003" hidden="1" customHeight="1">
      <c r="J5016" s="28">
        <f>IFERROR(VLOOKUP(TEXT(B5016,"0"),STOCK!A:H,7,0),1)</f>
        <v>1</v>
      </c>
    </row>
    <row r="5017" spans="10:10" ht="35.450000000000003" hidden="1" customHeight="1">
      <c r="J5017" s="28">
        <f>IFERROR(VLOOKUP(TEXT(B5017,"0"),STOCK!A:H,7,0),1)</f>
        <v>1</v>
      </c>
    </row>
    <row r="5018" spans="10:10" ht="35.450000000000003" hidden="1" customHeight="1">
      <c r="J5018" s="28">
        <f>IFERROR(VLOOKUP(TEXT(B5018,"0"),STOCK!A:H,7,0),1)</f>
        <v>1</v>
      </c>
    </row>
    <row r="5019" spans="10:10" ht="35.450000000000003" hidden="1" customHeight="1">
      <c r="J5019" s="28">
        <f>IFERROR(VLOOKUP(TEXT(B5019,"0"),STOCK!A:H,7,0),1)</f>
        <v>1</v>
      </c>
    </row>
    <row r="5020" spans="10:10" ht="35.450000000000003" hidden="1" customHeight="1">
      <c r="J5020" s="28">
        <f>IFERROR(VLOOKUP(TEXT(B5020,"0"),STOCK!A:H,7,0),1)</f>
        <v>1</v>
      </c>
    </row>
    <row r="5021" spans="10:10" ht="35.450000000000003" hidden="1" customHeight="1">
      <c r="J5021" s="28">
        <f>IFERROR(VLOOKUP(TEXT(B5021,"0"),STOCK!A:H,7,0),1)</f>
        <v>1</v>
      </c>
    </row>
    <row r="5022" spans="10:10" ht="35.450000000000003" hidden="1" customHeight="1">
      <c r="J5022" s="28">
        <f>IFERROR(VLOOKUP(TEXT(B5022,"0"),STOCK!A:H,7,0),1)</f>
        <v>1</v>
      </c>
    </row>
    <row r="5023" spans="10:10" ht="35.450000000000003" hidden="1" customHeight="1">
      <c r="J5023" s="28">
        <f>IFERROR(VLOOKUP(TEXT(B5023,"0"),STOCK!A:H,7,0),1)</f>
        <v>1</v>
      </c>
    </row>
    <row r="5024" spans="10:10" ht="35.450000000000003" hidden="1" customHeight="1">
      <c r="J5024" s="28">
        <f>IFERROR(VLOOKUP(TEXT(B5024,"0"),STOCK!A:H,7,0),1)</f>
        <v>1</v>
      </c>
    </row>
    <row r="5025" spans="10:10" ht="35.450000000000003" hidden="1" customHeight="1">
      <c r="J5025" s="28">
        <f>IFERROR(VLOOKUP(TEXT(B5025,"0"),STOCK!A:H,7,0),1)</f>
        <v>1</v>
      </c>
    </row>
    <row r="5026" spans="10:10" ht="35.450000000000003" hidden="1" customHeight="1">
      <c r="J5026" s="28">
        <f>IFERROR(VLOOKUP(TEXT(B5026,"0"),STOCK!A:H,7,0),1)</f>
        <v>1</v>
      </c>
    </row>
    <row r="5027" spans="10:10" ht="35.450000000000003" hidden="1" customHeight="1">
      <c r="J5027" s="28">
        <f>IFERROR(VLOOKUP(TEXT(B5027,"0"),STOCK!A:H,7,0),1)</f>
        <v>1</v>
      </c>
    </row>
    <row r="5028" spans="10:10" ht="35.450000000000003" hidden="1" customHeight="1">
      <c r="J5028" s="28">
        <f>IFERROR(VLOOKUP(TEXT(B5028,"0"),STOCK!A:H,7,0),1)</f>
        <v>1</v>
      </c>
    </row>
    <row r="5029" spans="10:10" ht="35.450000000000003" hidden="1" customHeight="1">
      <c r="J5029" s="28">
        <f>IFERROR(VLOOKUP(TEXT(B5029,"0"),STOCK!A:H,7,0),1)</f>
        <v>1</v>
      </c>
    </row>
    <row r="5030" spans="10:10" ht="35.450000000000003" hidden="1" customHeight="1">
      <c r="J5030" s="28">
        <f>IFERROR(VLOOKUP(TEXT(B5030,"0"),STOCK!A:H,7,0),1)</f>
        <v>1</v>
      </c>
    </row>
    <row r="5031" spans="10:10" ht="35.450000000000003" hidden="1" customHeight="1">
      <c r="J5031" s="28">
        <f>IFERROR(VLOOKUP(TEXT(B5031,"0"),STOCK!A:H,7,0),1)</f>
        <v>1</v>
      </c>
    </row>
    <row r="5032" spans="10:10" ht="35.450000000000003" hidden="1" customHeight="1">
      <c r="J5032" s="28">
        <f>IFERROR(VLOOKUP(TEXT(B5032,"0"),STOCK!A:H,7,0),1)</f>
        <v>1</v>
      </c>
    </row>
    <row r="5033" spans="10:10" ht="35.450000000000003" hidden="1" customHeight="1">
      <c r="J5033" s="28">
        <f>IFERROR(VLOOKUP(TEXT(B5033,"0"),STOCK!A:H,7,0),1)</f>
        <v>1</v>
      </c>
    </row>
    <row r="5034" spans="10:10" ht="35.450000000000003" hidden="1" customHeight="1">
      <c r="J5034" s="28">
        <f>IFERROR(VLOOKUP(TEXT(B5034,"0"),STOCK!A:H,7,0),1)</f>
        <v>1</v>
      </c>
    </row>
    <row r="5035" spans="10:10" ht="35.450000000000003" hidden="1" customHeight="1">
      <c r="J5035" s="28">
        <f>IFERROR(VLOOKUP(TEXT(B5035,"0"),STOCK!A:H,7,0),1)</f>
        <v>1</v>
      </c>
    </row>
    <row r="5036" spans="10:10" ht="35.450000000000003" hidden="1" customHeight="1">
      <c r="J5036" s="28">
        <f>IFERROR(VLOOKUP(TEXT(B5036,"0"),STOCK!A:H,7,0),1)</f>
        <v>1</v>
      </c>
    </row>
    <row r="5037" spans="10:10" ht="35.450000000000003" hidden="1" customHeight="1">
      <c r="J5037" s="28">
        <f>IFERROR(VLOOKUP(TEXT(B5037,"0"),STOCK!A:H,7,0),1)</f>
        <v>1</v>
      </c>
    </row>
    <row r="5038" spans="10:10" ht="35.450000000000003" hidden="1" customHeight="1">
      <c r="J5038" s="28">
        <f>IFERROR(VLOOKUP(TEXT(B5038,"0"),STOCK!A:H,7,0),1)</f>
        <v>1</v>
      </c>
    </row>
    <row r="5039" spans="10:10" ht="35.450000000000003" hidden="1" customHeight="1">
      <c r="J5039" s="28">
        <f>IFERROR(VLOOKUP(TEXT(B5039,"0"),STOCK!A:H,7,0),1)</f>
        <v>1</v>
      </c>
    </row>
    <row r="5040" spans="10:10" ht="35.450000000000003" hidden="1" customHeight="1">
      <c r="J5040" s="28">
        <f>IFERROR(VLOOKUP(TEXT(B5040,"0"),STOCK!A:H,7,0),1)</f>
        <v>1</v>
      </c>
    </row>
    <row r="5041" spans="10:10" ht="35.450000000000003" hidden="1" customHeight="1">
      <c r="J5041" s="28">
        <f>IFERROR(VLOOKUP(TEXT(B5041,"0"),STOCK!A:H,7,0),1)</f>
        <v>1</v>
      </c>
    </row>
    <row r="5042" spans="10:10" ht="35.450000000000003" hidden="1" customHeight="1">
      <c r="J5042" s="28">
        <f>IFERROR(VLOOKUP(TEXT(B5042,"0"),STOCK!A:H,7,0),1)</f>
        <v>1</v>
      </c>
    </row>
    <row r="5043" spans="10:10" ht="35.450000000000003" hidden="1" customHeight="1">
      <c r="J5043" s="28">
        <f>IFERROR(VLOOKUP(TEXT(B5043,"0"),STOCK!A:H,7,0),1)</f>
        <v>1</v>
      </c>
    </row>
    <row r="5044" spans="10:10" ht="35.450000000000003" hidden="1" customHeight="1">
      <c r="J5044" s="28">
        <f>IFERROR(VLOOKUP(TEXT(B5044,"0"),STOCK!A:H,7,0),1)</f>
        <v>1</v>
      </c>
    </row>
    <row r="5045" spans="10:10" ht="35.450000000000003" hidden="1" customHeight="1">
      <c r="J5045" s="28">
        <f>IFERROR(VLOOKUP(TEXT(B5045,"0"),STOCK!A:H,7,0),1)</f>
        <v>1</v>
      </c>
    </row>
    <row r="5046" spans="10:10" ht="35.450000000000003" hidden="1" customHeight="1">
      <c r="J5046" s="28">
        <f>IFERROR(VLOOKUP(TEXT(B5046,"0"),STOCK!A:H,7,0),1)</f>
        <v>1</v>
      </c>
    </row>
    <row r="5047" spans="10:10" ht="35.450000000000003" hidden="1" customHeight="1">
      <c r="J5047" s="28">
        <f>IFERROR(VLOOKUP(TEXT(B5047,"0"),STOCK!A:H,7,0),1)</f>
        <v>1</v>
      </c>
    </row>
    <row r="5048" spans="10:10" ht="35.450000000000003" hidden="1" customHeight="1">
      <c r="J5048" s="28">
        <f>IFERROR(VLOOKUP(TEXT(B5048,"0"),STOCK!A:H,7,0),1)</f>
        <v>1</v>
      </c>
    </row>
    <row r="5049" spans="10:10" ht="35.450000000000003" hidden="1" customHeight="1">
      <c r="J5049" s="28">
        <f>IFERROR(VLOOKUP(TEXT(B5049,"0"),STOCK!A:H,7,0),1)</f>
        <v>1</v>
      </c>
    </row>
    <row r="5050" spans="10:10" ht="35.450000000000003" hidden="1" customHeight="1">
      <c r="J5050" s="28">
        <f>IFERROR(VLOOKUP(TEXT(B5050,"0"),STOCK!A:H,7,0),1)</f>
        <v>1</v>
      </c>
    </row>
    <row r="5051" spans="10:10" ht="35.450000000000003" hidden="1" customHeight="1">
      <c r="J5051" s="28">
        <f>IFERROR(VLOOKUP(TEXT(B5051,"0"),STOCK!A:H,7,0),1)</f>
        <v>1</v>
      </c>
    </row>
    <row r="5052" spans="10:10" ht="35.450000000000003" hidden="1" customHeight="1">
      <c r="J5052" s="28">
        <f>IFERROR(VLOOKUP(TEXT(B5052,"0"),STOCK!A:H,7,0),1)</f>
        <v>1</v>
      </c>
    </row>
    <row r="5053" spans="10:10" ht="35.450000000000003" hidden="1" customHeight="1">
      <c r="J5053" s="28">
        <f>IFERROR(VLOOKUP(TEXT(B5053,"0"),STOCK!A:H,7,0),1)</f>
        <v>1</v>
      </c>
    </row>
    <row r="5054" spans="10:10" ht="35.450000000000003" hidden="1" customHeight="1">
      <c r="J5054" s="28">
        <f>IFERROR(VLOOKUP(TEXT(B5054,"0"),STOCK!A:H,7,0),1)</f>
        <v>1</v>
      </c>
    </row>
    <row r="5055" spans="10:10" ht="35.450000000000003" hidden="1" customHeight="1">
      <c r="J5055" s="28">
        <f>IFERROR(VLOOKUP(TEXT(B5055,"0"),STOCK!A:H,7,0),1)</f>
        <v>1</v>
      </c>
    </row>
    <row r="5056" spans="10:10" ht="35.450000000000003" hidden="1" customHeight="1">
      <c r="J5056" s="28">
        <f>IFERROR(VLOOKUP(TEXT(B5056,"0"),STOCK!A:H,7,0),1)</f>
        <v>1</v>
      </c>
    </row>
    <row r="5057" spans="10:10" ht="35.450000000000003" hidden="1" customHeight="1">
      <c r="J5057" s="28">
        <f>IFERROR(VLOOKUP(TEXT(B5057,"0"),STOCK!A:H,7,0),1)</f>
        <v>1</v>
      </c>
    </row>
    <row r="5058" spans="10:10" ht="35.450000000000003" hidden="1" customHeight="1">
      <c r="J5058" s="28">
        <f>IFERROR(VLOOKUP(TEXT(B5058,"0"),STOCK!A:H,7,0),1)</f>
        <v>1</v>
      </c>
    </row>
    <row r="5059" spans="10:10" ht="35.450000000000003" hidden="1" customHeight="1">
      <c r="J5059" s="28">
        <f>IFERROR(VLOOKUP(TEXT(B5059,"0"),STOCK!A:H,7,0),1)</f>
        <v>1</v>
      </c>
    </row>
    <row r="5060" spans="10:10" ht="35.450000000000003" hidden="1" customHeight="1">
      <c r="J5060" s="28">
        <f>IFERROR(VLOOKUP(TEXT(B5060,"0"),STOCK!A:H,7,0),1)</f>
        <v>1</v>
      </c>
    </row>
    <row r="5061" spans="10:10" ht="35.450000000000003" hidden="1" customHeight="1">
      <c r="J5061" s="28">
        <f>IFERROR(VLOOKUP(TEXT(B5061,"0"),STOCK!A:H,7,0),1)</f>
        <v>1</v>
      </c>
    </row>
    <row r="5062" spans="10:10" ht="35.450000000000003" hidden="1" customHeight="1">
      <c r="J5062" s="28">
        <f>IFERROR(VLOOKUP(TEXT(B5062,"0"),STOCK!A:H,7,0),1)</f>
        <v>1</v>
      </c>
    </row>
    <row r="5063" spans="10:10" ht="35.450000000000003" hidden="1" customHeight="1">
      <c r="J5063" s="28">
        <f>IFERROR(VLOOKUP(TEXT(B5063,"0"),STOCK!A:H,7,0),1)</f>
        <v>1</v>
      </c>
    </row>
    <row r="5064" spans="10:10" ht="35.450000000000003" hidden="1" customHeight="1">
      <c r="J5064" s="28">
        <f>IFERROR(VLOOKUP(TEXT(B5064,"0"),STOCK!A:H,7,0),1)</f>
        <v>1</v>
      </c>
    </row>
    <row r="5065" spans="10:10" ht="35.450000000000003" hidden="1" customHeight="1">
      <c r="J5065" s="28">
        <f>IFERROR(VLOOKUP(TEXT(B5065,"0"),STOCK!A:H,7,0),1)</f>
        <v>1</v>
      </c>
    </row>
    <row r="5066" spans="10:10" ht="35.450000000000003" hidden="1" customHeight="1">
      <c r="J5066" s="28">
        <f>IFERROR(VLOOKUP(TEXT(B5066,"0"),STOCK!A:H,7,0),1)</f>
        <v>1</v>
      </c>
    </row>
    <row r="5067" spans="10:10" ht="35.450000000000003" hidden="1" customHeight="1">
      <c r="J5067" s="28">
        <f>IFERROR(VLOOKUP(TEXT(B5067,"0"),STOCK!A:H,7,0),1)</f>
        <v>1</v>
      </c>
    </row>
    <row r="5068" spans="10:10" ht="35.450000000000003" hidden="1" customHeight="1">
      <c r="J5068" s="28">
        <f>IFERROR(VLOOKUP(TEXT(B5068,"0"),STOCK!A:H,7,0),1)</f>
        <v>1</v>
      </c>
    </row>
    <row r="5069" spans="10:10" ht="35.450000000000003" hidden="1" customHeight="1">
      <c r="J5069" s="28">
        <f>IFERROR(VLOOKUP(TEXT(B5069,"0"),STOCK!A:H,7,0),1)</f>
        <v>1</v>
      </c>
    </row>
    <row r="5070" spans="10:10" ht="35.450000000000003" hidden="1" customHeight="1">
      <c r="J5070" s="28">
        <f>IFERROR(VLOOKUP(TEXT(B5070,"0"),STOCK!A:H,7,0),1)</f>
        <v>1</v>
      </c>
    </row>
    <row r="5071" spans="10:10" ht="35.450000000000003" hidden="1" customHeight="1">
      <c r="J5071" s="28">
        <f>IFERROR(VLOOKUP(TEXT(B5071,"0"),STOCK!A:H,7,0),1)</f>
        <v>1</v>
      </c>
    </row>
    <row r="5072" spans="10:10" ht="35.450000000000003" hidden="1" customHeight="1">
      <c r="J5072" s="28">
        <f>IFERROR(VLOOKUP(TEXT(B5072,"0"),STOCK!A:H,7,0),1)</f>
        <v>1</v>
      </c>
    </row>
    <row r="5073" spans="10:10" ht="35.450000000000003" hidden="1" customHeight="1">
      <c r="J5073" s="28">
        <f>IFERROR(VLOOKUP(TEXT(B5073,"0"),STOCK!A:H,7,0),1)</f>
        <v>1</v>
      </c>
    </row>
    <row r="5074" spans="10:10" ht="35.450000000000003" hidden="1" customHeight="1">
      <c r="J5074" s="28">
        <f>IFERROR(VLOOKUP(TEXT(B5074,"0"),STOCK!A:H,7,0),1)</f>
        <v>1</v>
      </c>
    </row>
    <row r="5075" spans="10:10" ht="35.450000000000003" hidden="1" customHeight="1">
      <c r="J5075" s="28">
        <f>IFERROR(VLOOKUP(TEXT(B5075,"0"),STOCK!A:H,7,0),1)</f>
        <v>1</v>
      </c>
    </row>
    <row r="5076" spans="10:10" ht="35.450000000000003" hidden="1" customHeight="1">
      <c r="J5076" s="28">
        <f>IFERROR(VLOOKUP(TEXT(B5076,"0"),STOCK!A:H,7,0),1)</f>
        <v>1</v>
      </c>
    </row>
    <row r="5077" spans="10:10" ht="35.450000000000003" hidden="1" customHeight="1">
      <c r="J5077" s="28">
        <f>IFERROR(VLOOKUP(TEXT(B5077,"0"),STOCK!A:H,7,0),1)</f>
        <v>1</v>
      </c>
    </row>
    <row r="5078" spans="10:10" ht="35.450000000000003" hidden="1" customHeight="1">
      <c r="J5078" s="28">
        <f>IFERROR(VLOOKUP(TEXT(B5078,"0"),STOCK!A:H,7,0),1)</f>
        <v>1</v>
      </c>
    </row>
    <row r="5079" spans="10:10" ht="35.450000000000003" hidden="1" customHeight="1">
      <c r="J5079" s="28">
        <f>IFERROR(VLOOKUP(TEXT(B5079,"0"),STOCK!A:H,7,0),1)</f>
        <v>1</v>
      </c>
    </row>
    <row r="5080" spans="10:10" ht="35.450000000000003" hidden="1" customHeight="1">
      <c r="J5080" s="28">
        <f>IFERROR(VLOOKUP(TEXT(B5080,"0"),STOCK!A:H,7,0),1)</f>
        <v>1</v>
      </c>
    </row>
    <row r="5081" spans="10:10" ht="35.450000000000003" hidden="1" customHeight="1">
      <c r="J5081" s="28">
        <f>IFERROR(VLOOKUP(TEXT(B5081,"0"),STOCK!A:H,7,0),1)</f>
        <v>1</v>
      </c>
    </row>
    <row r="5082" spans="10:10" ht="35.450000000000003" hidden="1" customHeight="1">
      <c r="J5082" s="28">
        <f>IFERROR(VLOOKUP(TEXT(B5082,"0"),STOCK!A:H,7,0),1)</f>
        <v>1</v>
      </c>
    </row>
    <row r="5083" spans="10:10" ht="35.450000000000003" hidden="1" customHeight="1">
      <c r="J5083" s="28">
        <f>IFERROR(VLOOKUP(TEXT(B5083,"0"),STOCK!A:H,7,0),1)</f>
        <v>1</v>
      </c>
    </row>
    <row r="5084" spans="10:10" ht="35.450000000000003" hidden="1" customHeight="1">
      <c r="J5084" s="28">
        <f>IFERROR(VLOOKUP(TEXT(B5084,"0"),STOCK!A:H,7,0),1)</f>
        <v>1</v>
      </c>
    </row>
    <row r="5085" spans="10:10" ht="35.450000000000003" hidden="1" customHeight="1">
      <c r="J5085" s="28">
        <f>IFERROR(VLOOKUP(TEXT(B5085,"0"),STOCK!A:H,7,0),1)</f>
        <v>1</v>
      </c>
    </row>
    <row r="5086" spans="10:10" ht="35.450000000000003" hidden="1" customHeight="1">
      <c r="J5086" s="28">
        <f>IFERROR(VLOOKUP(TEXT(B5086,"0"),STOCK!A:H,7,0),1)</f>
        <v>1</v>
      </c>
    </row>
    <row r="5087" spans="10:10" ht="35.450000000000003" hidden="1" customHeight="1">
      <c r="J5087" s="28">
        <f>IFERROR(VLOOKUP(TEXT(B5087,"0"),STOCK!A:H,7,0),1)</f>
        <v>1</v>
      </c>
    </row>
    <row r="5088" spans="10:10" ht="35.450000000000003" hidden="1" customHeight="1">
      <c r="J5088" s="28">
        <f>IFERROR(VLOOKUP(TEXT(B5088,"0"),STOCK!A:H,7,0),1)</f>
        <v>1</v>
      </c>
    </row>
    <row r="5089" spans="10:10" ht="35.450000000000003" hidden="1" customHeight="1">
      <c r="J5089" s="28">
        <f>IFERROR(VLOOKUP(TEXT(B5089,"0"),STOCK!A:H,7,0),1)</f>
        <v>1</v>
      </c>
    </row>
    <row r="5090" spans="10:10" ht="35.450000000000003" hidden="1" customHeight="1">
      <c r="J5090" s="28">
        <f>IFERROR(VLOOKUP(TEXT(B5090,"0"),STOCK!A:H,7,0),1)</f>
        <v>1</v>
      </c>
    </row>
    <row r="5091" spans="10:10" ht="35.450000000000003" hidden="1" customHeight="1">
      <c r="J5091" s="28">
        <f>IFERROR(VLOOKUP(TEXT(B5091,"0"),STOCK!A:H,7,0),1)</f>
        <v>1</v>
      </c>
    </row>
    <row r="5092" spans="10:10" ht="35.450000000000003" hidden="1" customHeight="1">
      <c r="J5092" s="28">
        <f>IFERROR(VLOOKUP(TEXT(B5092,"0"),STOCK!A:H,7,0),1)</f>
        <v>1</v>
      </c>
    </row>
    <row r="5093" spans="10:10" ht="35.450000000000003" hidden="1" customHeight="1">
      <c r="J5093" s="28">
        <f>IFERROR(VLOOKUP(TEXT(B5093,"0"),STOCK!A:H,7,0),1)</f>
        <v>1</v>
      </c>
    </row>
    <row r="5094" spans="10:10" ht="35.450000000000003" hidden="1" customHeight="1">
      <c r="J5094" s="28">
        <f>IFERROR(VLOOKUP(TEXT(B5094,"0"),STOCK!A:H,7,0),1)</f>
        <v>1</v>
      </c>
    </row>
    <row r="5095" spans="10:10" ht="35.450000000000003" hidden="1" customHeight="1">
      <c r="J5095" s="28">
        <f>IFERROR(VLOOKUP(TEXT(B5095,"0"),STOCK!A:H,7,0),1)</f>
        <v>1</v>
      </c>
    </row>
    <row r="5096" spans="10:10" ht="35.450000000000003" hidden="1" customHeight="1">
      <c r="J5096" s="28">
        <f>IFERROR(VLOOKUP(TEXT(B5096,"0"),STOCK!A:H,7,0),1)</f>
        <v>1</v>
      </c>
    </row>
    <row r="5097" spans="10:10" ht="35.450000000000003" hidden="1" customHeight="1">
      <c r="J5097" s="28">
        <f>IFERROR(VLOOKUP(TEXT(B5097,"0"),STOCK!A:H,7,0),1)</f>
        <v>1</v>
      </c>
    </row>
    <row r="5098" spans="10:10" ht="35.450000000000003" hidden="1" customHeight="1">
      <c r="J5098" s="28">
        <f>IFERROR(VLOOKUP(TEXT(B5098,"0"),STOCK!A:H,7,0),1)</f>
        <v>1</v>
      </c>
    </row>
    <row r="5099" spans="10:10" ht="35.450000000000003" hidden="1" customHeight="1">
      <c r="J5099" s="28">
        <f>IFERROR(VLOOKUP(TEXT(B5099,"0"),STOCK!A:H,7,0),1)</f>
        <v>1</v>
      </c>
    </row>
    <row r="5100" spans="10:10" ht="35.450000000000003" hidden="1" customHeight="1">
      <c r="J5100" s="28">
        <f>IFERROR(VLOOKUP(TEXT(B5100,"0"),STOCK!A:H,7,0),1)</f>
        <v>1</v>
      </c>
    </row>
    <row r="5101" spans="10:10" ht="35.450000000000003" hidden="1" customHeight="1">
      <c r="J5101" s="28">
        <f>IFERROR(VLOOKUP(TEXT(B5101,"0"),STOCK!A:H,7,0),1)</f>
        <v>1</v>
      </c>
    </row>
    <row r="5102" spans="10:10" ht="35.450000000000003" hidden="1" customHeight="1">
      <c r="J5102" s="28">
        <f>IFERROR(VLOOKUP(TEXT(B5102,"0"),STOCK!A:H,7,0),1)</f>
        <v>1</v>
      </c>
    </row>
    <row r="5103" spans="10:10" ht="35.450000000000003" hidden="1" customHeight="1">
      <c r="J5103" s="28">
        <f>IFERROR(VLOOKUP(TEXT(B5103,"0"),STOCK!A:H,7,0),1)</f>
        <v>1</v>
      </c>
    </row>
    <row r="5104" spans="10:10" ht="35.450000000000003" hidden="1" customHeight="1">
      <c r="J5104" s="28">
        <f>IFERROR(VLOOKUP(TEXT(B5104,"0"),STOCK!A:H,7,0),1)</f>
        <v>1</v>
      </c>
    </row>
    <row r="5105" spans="10:10" ht="35.450000000000003" hidden="1" customHeight="1">
      <c r="J5105" s="28">
        <f>IFERROR(VLOOKUP(TEXT(B5105,"0"),STOCK!A:H,7,0),1)</f>
        <v>1</v>
      </c>
    </row>
    <row r="5106" spans="10:10" ht="35.450000000000003" hidden="1" customHeight="1">
      <c r="J5106" s="28">
        <f>IFERROR(VLOOKUP(TEXT(B5106,"0"),STOCK!A:H,7,0),1)</f>
        <v>1</v>
      </c>
    </row>
    <row r="5107" spans="10:10" ht="35.450000000000003" hidden="1" customHeight="1">
      <c r="J5107" s="28">
        <f>IFERROR(VLOOKUP(TEXT(B5107,"0"),STOCK!A:H,7,0),1)</f>
        <v>1</v>
      </c>
    </row>
    <row r="5108" spans="10:10" ht="35.450000000000003" hidden="1" customHeight="1">
      <c r="J5108" s="28">
        <f>IFERROR(VLOOKUP(TEXT(B5108,"0"),STOCK!A:H,7,0),1)</f>
        <v>1</v>
      </c>
    </row>
    <row r="5109" spans="10:10" ht="35.450000000000003" hidden="1" customHeight="1">
      <c r="J5109" s="28">
        <f>IFERROR(VLOOKUP(TEXT(B5109,"0"),STOCK!A:H,7,0),1)</f>
        <v>1</v>
      </c>
    </row>
    <row r="5110" spans="10:10" ht="35.450000000000003" hidden="1" customHeight="1">
      <c r="J5110" s="28">
        <f>IFERROR(VLOOKUP(TEXT(B5110,"0"),STOCK!A:H,7,0),1)</f>
        <v>1</v>
      </c>
    </row>
    <row r="5111" spans="10:10" ht="35.450000000000003" hidden="1" customHeight="1">
      <c r="J5111" s="28">
        <f>IFERROR(VLOOKUP(TEXT(B5111,"0"),STOCK!A:H,7,0),1)</f>
        <v>1</v>
      </c>
    </row>
    <row r="5112" spans="10:10" ht="35.450000000000003" hidden="1" customHeight="1">
      <c r="J5112" s="28">
        <f>IFERROR(VLOOKUP(TEXT(B5112,"0"),STOCK!A:H,7,0),1)</f>
        <v>1</v>
      </c>
    </row>
    <row r="5113" spans="10:10" ht="35.450000000000003" hidden="1" customHeight="1">
      <c r="J5113" s="28">
        <f>IFERROR(VLOOKUP(TEXT(B5113,"0"),STOCK!A:H,7,0),1)</f>
        <v>1</v>
      </c>
    </row>
    <row r="5114" spans="10:10" ht="35.450000000000003" hidden="1" customHeight="1">
      <c r="J5114" s="28">
        <f>IFERROR(VLOOKUP(TEXT(B5114,"0"),STOCK!A:H,7,0),1)</f>
        <v>1</v>
      </c>
    </row>
    <row r="5115" spans="10:10" ht="35.450000000000003" hidden="1" customHeight="1">
      <c r="J5115" s="28">
        <f>IFERROR(VLOOKUP(TEXT(B5115,"0"),STOCK!A:H,7,0),1)</f>
        <v>1</v>
      </c>
    </row>
    <row r="5116" spans="10:10" ht="35.450000000000003" hidden="1" customHeight="1">
      <c r="J5116" s="28">
        <f>IFERROR(VLOOKUP(TEXT(B5116,"0"),STOCK!A:H,7,0),1)</f>
        <v>1</v>
      </c>
    </row>
    <row r="5117" spans="10:10" ht="35.450000000000003" hidden="1" customHeight="1">
      <c r="J5117" s="28">
        <f>IFERROR(VLOOKUP(TEXT(B5117,"0"),STOCK!A:H,7,0),1)</f>
        <v>1</v>
      </c>
    </row>
    <row r="5118" spans="10:10" ht="35.450000000000003" hidden="1" customHeight="1">
      <c r="J5118" s="28">
        <f>IFERROR(VLOOKUP(TEXT(B5118,"0"),STOCK!A:H,7,0),1)</f>
        <v>1</v>
      </c>
    </row>
    <row r="5119" spans="10:10" ht="35.450000000000003" hidden="1" customHeight="1">
      <c r="J5119" s="28">
        <f>IFERROR(VLOOKUP(TEXT(B5119,"0"),STOCK!A:H,7,0),1)</f>
        <v>1</v>
      </c>
    </row>
    <row r="5120" spans="10:10" ht="35.450000000000003" hidden="1" customHeight="1">
      <c r="J5120" s="28">
        <f>IFERROR(VLOOKUP(TEXT(B5120,"0"),STOCK!A:H,7,0),1)</f>
        <v>1</v>
      </c>
    </row>
    <row r="5121" spans="10:10" ht="35.450000000000003" hidden="1" customHeight="1">
      <c r="J5121" s="28">
        <f>IFERROR(VLOOKUP(TEXT(B5121,"0"),STOCK!A:H,7,0),1)</f>
        <v>1</v>
      </c>
    </row>
    <row r="5122" spans="10:10" ht="35.450000000000003" hidden="1" customHeight="1">
      <c r="J5122" s="28">
        <f>IFERROR(VLOOKUP(TEXT(B5122,"0"),STOCK!A:H,7,0),1)</f>
        <v>1</v>
      </c>
    </row>
    <row r="5123" spans="10:10" ht="35.450000000000003" hidden="1" customHeight="1">
      <c r="J5123" s="28">
        <f>IFERROR(VLOOKUP(TEXT(B5123,"0"),STOCK!A:H,7,0),1)</f>
        <v>1</v>
      </c>
    </row>
    <row r="5124" spans="10:10" ht="35.450000000000003" hidden="1" customHeight="1">
      <c r="J5124" s="28">
        <f>IFERROR(VLOOKUP(TEXT(B5124,"0"),STOCK!A:H,7,0),1)</f>
        <v>1</v>
      </c>
    </row>
    <row r="5125" spans="10:10" ht="35.450000000000003" hidden="1" customHeight="1">
      <c r="J5125" s="28">
        <f>IFERROR(VLOOKUP(TEXT(B5125,"0"),STOCK!A:H,7,0),1)</f>
        <v>1</v>
      </c>
    </row>
    <row r="5126" spans="10:10" ht="35.450000000000003" hidden="1" customHeight="1">
      <c r="J5126" s="28">
        <f>IFERROR(VLOOKUP(TEXT(B5126,"0"),STOCK!A:H,7,0),1)</f>
        <v>1</v>
      </c>
    </row>
    <row r="5127" spans="10:10" ht="35.450000000000003" hidden="1" customHeight="1">
      <c r="J5127" s="28">
        <f>IFERROR(VLOOKUP(TEXT(B5127,"0"),STOCK!A:H,7,0),1)</f>
        <v>1</v>
      </c>
    </row>
    <row r="5128" spans="10:10" ht="35.450000000000003" hidden="1" customHeight="1">
      <c r="J5128" s="28">
        <f>IFERROR(VLOOKUP(TEXT(B5128,"0"),STOCK!A:H,7,0),1)</f>
        <v>1</v>
      </c>
    </row>
    <row r="5129" spans="10:10" ht="35.450000000000003" hidden="1" customHeight="1">
      <c r="J5129" s="28">
        <f>IFERROR(VLOOKUP(TEXT(B5129,"0"),STOCK!A:H,7,0),1)</f>
        <v>1</v>
      </c>
    </row>
    <row r="5130" spans="10:10" ht="35.450000000000003" hidden="1" customHeight="1">
      <c r="J5130" s="28">
        <f>IFERROR(VLOOKUP(TEXT(B5130,"0"),STOCK!A:H,7,0),1)</f>
        <v>1</v>
      </c>
    </row>
    <row r="5131" spans="10:10" ht="35.450000000000003" hidden="1" customHeight="1">
      <c r="J5131" s="28">
        <f>IFERROR(VLOOKUP(TEXT(B5131,"0"),STOCK!A:H,7,0),1)</f>
        <v>1</v>
      </c>
    </row>
    <row r="5132" spans="10:10" ht="35.450000000000003" hidden="1" customHeight="1">
      <c r="J5132" s="28">
        <f>IFERROR(VLOOKUP(TEXT(B5132,"0"),STOCK!A:H,7,0),1)</f>
        <v>1</v>
      </c>
    </row>
    <row r="5133" spans="10:10" ht="35.450000000000003" hidden="1" customHeight="1">
      <c r="J5133" s="28">
        <f>IFERROR(VLOOKUP(TEXT(B5133,"0"),STOCK!A:H,7,0),1)</f>
        <v>1</v>
      </c>
    </row>
    <row r="5134" spans="10:10" ht="35.450000000000003" hidden="1" customHeight="1">
      <c r="J5134" s="28">
        <f>IFERROR(VLOOKUP(TEXT(B5134,"0"),STOCK!A:H,7,0),1)</f>
        <v>1</v>
      </c>
    </row>
    <row r="5135" spans="10:10" ht="35.450000000000003" hidden="1" customHeight="1">
      <c r="J5135" s="28">
        <f>IFERROR(VLOOKUP(TEXT(B5135,"0"),STOCK!A:H,7,0),1)</f>
        <v>1</v>
      </c>
    </row>
    <row r="5136" spans="10:10" ht="35.450000000000003" hidden="1" customHeight="1">
      <c r="J5136" s="28">
        <f>IFERROR(VLOOKUP(TEXT(B5136,"0"),STOCK!A:H,7,0),1)</f>
        <v>1</v>
      </c>
    </row>
    <row r="5137" spans="10:10" ht="35.450000000000003" hidden="1" customHeight="1">
      <c r="J5137" s="28">
        <f>IFERROR(VLOOKUP(TEXT(B5137,"0"),STOCK!A:H,7,0),1)</f>
        <v>1</v>
      </c>
    </row>
    <row r="5138" spans="10:10" ht="35.450000000000003" hidden="1" customHeight="1">
      <c r="J5138" s="28">
        <f>IFERROR(VLOOKUP(TEXT(B5138,"0"),STOCK!A:H,7,0),1)</f>
        <v>1</v>
      </c>
    </row>
    <row r="5139" spans="10:10" ht="35.450000000000003" hidden="1" customHeight="1">
      <c r="J5139" s="28">
        <f>IFERROR(VLOOKUP(TEXT(B5139,"0"),STOCK!A:H,7,0),1)</f>
        <v>1</v>
      </c>
    </row>
    <row r="5140" spans="10:10" ht="35.450000000000003" hidden="1" customHeight="1">
      <c r="J5140" s="28">
        <f>IFERROR(VLOOKUP(TEXT(B5140,"0"),STOCK!A:H,7,0),1)</f>
        <v>1</v>
      </c>
    </row>
    <row r="5141" spans="10:10" ht="35.450000000000003" hidden="1" customHeight="1">
      <c r="J5141" s="28">
        <f>IFERROR(VLOOKUP(TEXT(B5141,"0"),STOCK!A:H,7,0),1)</f>
        <v>1</v>
      </c>
    </row>
    <row r="5142" spans="10:10" ht="35.450000000000003" hidden="1" customHeight="1">
      <c r="J5142" s="28">
        <f>IFERROR(VLOOKUP(TEXT(B5142,"0"),STOCK!A:H,7,0),1)</f>
        <v>1</v>
      </c>
    </row>
    <row r="5143" spans="10:10" ht="35.450000000000003" hidden="1" customHeight="1">
      <c r="J5143" s="28">
        <f>IFERROR(VLOOKUP(TEXT(B5143,"0"),STOCK!A:H,7,0),1)</f>
        <v>1</v>
      </c>
    </row>
    <row r="5144" spans="10:10" ht="35.450000000000003" hidden="1" customHeight="1">
      <c r="J5144" s="28">
        <f>IFERROR(VLOOKUP(TEXT(B5144,"0"),STOCK!A:H,7,0),1)</f>
        <v>1</v>
      </c>
    </row>
    <row r="5145" spans="10:10" ht="35.450000000000003" hidden="1" customHeight="1">
      <c r="J5145" s="28">
        <f>IFERROR(VLOOKUP(TEXT(B5145,"0"),STOCK!A:H,7,0),1)</f>
        <v>1</v>
      </c>
    </row>
    <row r="5146" spans="10:10" ht="35.450000000000003" hidden="1" customHeight="1">
      <c r="J5146" s="28">
        <f>IFERROR(VLOOKUP(TEXT(B5146,"0"),STOCK!A:H,7,0),1)</f>
        <v>1</v>
      </c>
    </row>
    <row r="5147" spans="10:10" ht="35.450000000000003" hidden="1" customHeight="1">
      <c r="J5147" s="28">
        <f>IFERROR(VLOOKUP(TEXT(B5147,"0"),STOCK!A:H,7,0),1)</f>
        <v>1</v>
      </c>
    </row>
    <row r="5148" spans="10:10" ht="35.450000000000003" hidden="1" customHeight="1">
      <c r="J5148" s="28">
        <f>IFERROR(VLOOKUP(TEXT(B5148,"0"),STOCK!A:H,7,0),1)</f>
        <v>1</v>
      </c>
    </row>
    <row r="5149" spans="10:10" ht="35.450000000000003" hidden="1" customHeight="1">
      <c r="J5149" s="28">
        <f>IFERROR(VLOOKUP(TEXT(B5149,"0"),STOCK!A:H,7,0),1)</f>
        <v>1</v>
      </c>
    </row>
    <row r="5150" spans="10:10" ht="35.450000000000003" hidden="1" customHeight="1">
      <c r="J5150" s="28">
        <f>IFERROR(VLOOKUP(TEXT(B5150,"0"),STOCK!A:H,7,0),1)</f>
        <v>1</v>
      </c>
    </row>
    <row r="5151" spans="10:10" ht="35.450000000000003" hidden="1" customHeight="1">
      <c r="J5151" s="28">
        <f>IFERROR(VLOOKUP(TEXT(B5151,"0"),STOCK!A:H,7,0),1)</f>
        <v>1</v>
      </c>
    </row>
    <row r="5152" spans="10:10" ht="35.450000000000003" hidden="1" customHeight="1">
      <c r="J5152" s="28">
        <f>IFERROR(VLOOKUP(TEXT(B5152,"0"),STOCK!A:H,7,0),1)</f>
        <v>1</v>
      </c>
    </row>
    <row r="5153" spans="10:10" ht="35.450000000000003" hidden="1" customHeight="1">
      <c r="J5153" s="28">
        <f>IFERROR(VLOOKUP(TEXT(B5153,"0"),STOCK!A:H,7,0),1)</f>
        <v>1</v>
      </c>
    </row>
    <row r="5154" spans="10:10" ht="35.450000000000003" hidden="1" customHeight="1">
      <c r="J5154" s="28">
        <f>IFERROR(VLOOKUP(TEXT(B5154,"0"),STOCK!A:H,7,0),1)</f>
        <v>1</v>
      </c>
    </row>
    <row r="5155" spans="10:10" ht="35.450000000000003" hidden="1" customHeight="1">
      <c r="J5155" s="28">
        <f>IFERROR(VLOOKUP(TEXT(B5155,"0"),STOCK!A:H,7,0),1)</f>
        <v>1</v>
      </c>
    </row>
    <row r="5156" spans="10:10" ht="35.450000000000003" hidden="1" customHeight="1">
      <c r="J5156" s="28">
        <f>IFERROR(VLOOKUP(TEXT(B5156,"0"),STOCK!A:H,7,0),1)</f>
        <v>1</v>
      </c>
    </row>
    <row r="5157" spans="10:10" ht="35.450000000000003" hidden="1" customHeight="1">
      <c r="J5157" s="28">
        <f>IFERROR(VLOOKUP(TEXT(B5157,"0"),STOCK!A:H,7,0),1)</f>
        <v>1</v>
      </c>
    </row>
    <row r="5158" spans="10:10" ht="35.450000000000003" hidden="1" customHeight="1">
      <c r="J5158" s="28">
        <f>IFERROR(VLOOKUP(TEXT(B5158,"0"),STOCK!A:H,7,0),1)</f>
        <v>1</v>
      </c>
    </row>
    <row r="5159" spans="10:10" ht="35.450000000000003" hidden="1" customHeight="1">
      <c r="J5159" s="28">
        <f>IFERROR(VLOOKUP(TEXT(B5159,"0"),STOCK!A:H,7,0),1)</f>
        <v>1</v>
      </c>
    </row>
    <row r="5160" spans="10:10" ht="35.450000000000003" hidden="1" customHeight="1">
      <c r="J5160" s="28">
        <f>IFERROR(VLOOKUP(TEXT(B5160,"0"),STOCK!A:H,7,0),1)</f>
        <v>1</v>
      </c>
    </row>
    <row r="5161" spans="10:10" ht="35.450000000000003" hidden="1" customHeight="1">
      <c r="J5161" s="28">
        <f>IFERROR(VLOOKUP(TEXT(B5161,"0"),STOCK!A:H,7,0),1)</f>
        <v>1</v>
      </c>
    </row>
    <row r="5162" spans="10:10" ht="35.450000000000003" hidden="1" customHeight="1">
      <c r="J5162" s="28">
        <f>IFERROR(VLOOKUP(TEXT(B5162,"0"),STOCK!A:H,7,0),1)</f>
        <v>1</v>
      </c>
    </row>
    <row r="5163" spans="10:10" ht="35.450000000000003" hidden="1" customHeight="1">
      <c r="J5163" s="28">
        <f>IFERROR(VLOOKUP(TEXT(B5163,"0"),STOCK!A:H,7,0),1)</f>
        <v>1</v>
      </c>
    </row>
    <row r="5164" spans="10:10" ht="35.450000000000003" hidden="1" customHeight="1">
      <c r="J5164" s="28">
        <f>IFERROR(VLOOKUP(TEXT(B5164,"0"),STOCK!A:H,7,0),1)</f>
        <v>1</v>
      </c>
    </row>
    <row r="5165" spans="10:10" ht="35.450000000000003" hidden="1" customHeight="1">
      <c r="J5165" s="28">
        <f>IFERROR(VLOOKUP(TEXT(B5165,"0"),STOCK!A:H,7,0),1)</f>
        <v>1</v>
      </c>
    </row>
    <row r="5166" spans="10:10" ht="35.450000000000003" hidden="1" customHeight="1">
      <c r="J5166" s="28">
        <f>IFERROR(VLOOKUP(TEXT(B5166,"0"),STOCK!A:H,7,0),1)</f>
        <v>1</v>
      </c>
    </row>
    <row r="5167" spans="10:10" ht="35.450000000000003" hidden="1" customHeight="1">
      <c r="J5167" s="28">
        <f>IFERROR(VLOOKUP(TEXT(B5167,"0"),STOCK!A:H,7,0),1)</f>
        <v>1</v>
      </c>
    </row>
    <row r="5168" spans="10:10" ht="35.450000000000003" hidden="1" customHeight="1">
      <c r="J5168" s="28">
        <f>IFERROR(VLOOKUP(TEXT(B5168,"0"),STOCK!A:H,7,0),1)</f>
        <v>1</v>
      </c>
    </row>
    <row r="5169" spans="10:10" ht="35.450000000000003" hidden="1" customHeight="1">
      <c r="J5169" s="28">
        <f>IFERROR(VLOOKUP(TEXT(B5169,"0"),STOCK!A:H,7,0),1)</f>
        <v>1</v>
      </c>
    </row>
    <row r="5170" spans="10:10" ht="35.450000000000003" hidden="1" customHeight="1">
      <c r="J5170" s="28">
        <f>IFERROR(VLOOKUP(TEXT(B5170,"0"),STOCK!A:H,7,0),1)</f>
        <v>1</v>
      </c>
    </row>
    <row r="5171" spans="10:10" ht="35.450000000000003" hidden="1" customHeight="1">
      <c r="J5171" s="28">
        <f>IFERROR(VLOOKUP(TEXT(B5171,"0"),STOCK!A:H,7,0),1)</f>
        <v>1</v>
      </c>
    </row>
    <row r="5172" spans="10:10" ht="35.450000000000003" hidden="1" customHeight="1">
      <c r="J5172" s="28">
        <f>IFERROR(VLOOKUP(TEXT(B5172,"0"),STOCK!A:H,7,0),1)</f>
        <v>1</v>
      </c>
    </row>
    <row r="5173" spans="10:10" ht="35.450000000000003" hidden="1" customHeight="1">
      <c r="J5173" s="28">
        <f>IFERROR(VLOOKUP(TEXT(B5173,"0"),STOCK!A:H,7,0),1)</f>
        <v>1</v>
      </c>
    </row>
    <row r="5174" spans="10:10" ht="35.450000000000003" hidden="1" customHeight="1">
      <c r="J5174" s="28">
        <f>IFERROR(VLOOKUP(TEXT(B5174,"0"),STOCK!A:H,7,0),1)</f>
        <v>1</v>
      </c>
    </row>
    <row r="5175" spans="10:10" ht="35.450000000000003" hidden="1" customHeight="1">
      <c r="J5175" s="28">
        <f>IFERROR(VLOOKUP(TEXT(B5175,"0"),STOCK!A:H,7,0),1)</f>
        <v>1</v>
      </c>
    </row>
    <row r="5176" spans="10:10" ht="35.450000000000003" hidden="1" customHeight="1">
      <c r="J5176" s="28">
        <f>IFERROR(VLOOKUP(TEXT(B5176,"0"),STOCK!A:H,7,0),1)</f>
        <v>1</v>
      </c>
    </row>
    <row r="5177" spans="10:10" ht="35.450000000000003" hidden="1" customHeight="1">
      <c r="J5177" s="28">
        <f>IFERROR(VLOOKUP(TEXT(B5177,"0"),STOCK!A:H,7,0),1)</f>
        <v>1</v>
      </c>
    </row>
    <row r="5178" spans="10:10" ht="35.450000000000003" hidden="1" customHeight="1">
      <c r="J5178" s="28">
        <f>IFERROR(VLOOKUP(TEXT(B5178,"0"),STOCK!A:H,7,0),1)</f>
        <v>1</v>
      </c>
    </row>
    <row r="5179" spans="10:10" ht="35.450000000000003" hidden="1" customHeight="1">
      <c r="J5179" s="28">
        <f>IFERROR(VLOOKUP(TEXT(B5179,"0"),STOCK!A:H,7,0),1)</f>
        <v>1</v>
      </c>
    </row>
    <row r="5180" spans="10:10" ht="35.450000000000003" hidden="1" customHeight="1">
      <c r="J5180" s="28">
        <f>IFERROR(VLOOKUP(TEXT(B5180,"0"),STOCK!A:H,7,0),1)</f>
        <v>1</v>
      </c>
    </row>
    <row r="5181" spans="10:10" ht="35.450000000000003" hidden="1" customHeight="1">
      <c r="J5181" s="28">
        <f>IFERROR(VLOOKUP(TEXT(B5181,"0"),STOCK!A:H,7,0),1)</f>
        <v>1</v>
      </c>
    </row>
    <row r="5182" spans="10:10" ht="35.450000000000003" hidden="1" customHeight="1">
      <c r="J5182" s="28">
        <f>IFERROR(VLOOKUP(TEXT(B5182,"0"),STOCK!A:H,7,0),1)</f>
        <v>1</v>
      </c>
    </row>
    <row r="5183" spans="10:10" ht="35.450000000000003" hidden="1" customHeight="1">
      <c r="J5183" s="28">
        <f>IFERROR(VLOOKUP(TEXT(B5183,"0"),STOCK!A:H,7,0),1)</f>
        <v>1</v>
      </c>
    </row>
    <row r="5184" spans="10:10" ht="35.450000000000003" hidden="1" customHeight="1">
      <c r="J5184" s="28">
        <f>IFERROR(VLOOKUP(TEXT(B5184,"0"),STOCK!A:H,7,0),1)</f>
        <v>1</v>
      </c>
    </row>
    <row r="5185" spans="10:10" ht="35.450000000000003" hidden="1" customHeight="1">
      <c r="J5185" s="28">
        <f>IFERROR(VLOOKUP(TEXT(B5185,"0"),STOCK!A:H,7,0),1)</f>
        <v>1</v>
      </c>
    </row>
    <row r="5186" spans="10:10" ht="35.450000000000003" hidden="1" customHeight="1">
      <c r="J5186" s="28">
        <f>IFERROR(VLOOKUP(TEXT(B5186,"0"),STOCK!A:H,7,0),1)</f>
        <v>1</v>
      </c>
    </row>
    <row r="5187" spans="10:10" ht="35.450000000000003" hidden="1" customHeight="1">
      <c r="J5187" s="28">
        <f>IFERROR(VLOOKUP(TEXT(B5187,"0"),STOCK!A:H,7,0),1)</f>
        <v>1</v>
      </c>
    </row>
    <row r="5188" spans="10:10" ht="35.450000000000003" hidden="1" customHeight="1">
      <c r="J5188" s="28">
        <f>IFERROR(VLOOKUP(TEXT(B5188,"0"),STOCK!A:H,7,0),1)</f>
        <v>1</v>
      </c>
    </row>
    <row r="5189" spans="10:10" ht="35.450000000000003" hidden="1" customHeight="1">
      <c r="J5189" s="28">
        <f>IFERROR(VLOOKUP(TEXT(B5189,"0"),STOCK!A:H,7,0),1)</f>
        <v>1</v>
      </c>
    </row>
    <row r="5190" spans="10:10" ht="35.450000000000003" hidden="1" customHeight="1">
      <c r="J5190" s="28">
        <f>IFERROR(VLOOKUP(TEXT(B5190,"0"),STOCK!A:H,7,0),1)</f>
        <v>1</v>
      </c>
    </row>
    <row r="5191" spans="10:10" ht="35.450000000000003" hidden="1" customHeight="1">
      <c r="J5191" s="28">
        <f>IFERROR(VLOOKUP(TEXT(B5191,"0"),STOCK!A:H,7,0),1)</f>
        <v>1</v>
      </c>
    </row>
    <row r="5192" spans="10:10" ht="35.450000000000003" hidden="1" customHeight="1">
      <c r="J5192" s="28">
        <f>IFERROR(VLOOKUP(TEXT(B5192,"0"),STOCK!A:H,7,0),1)</f>
        <v>1</v>
      </c>
    </row>
    <row r="5193" spans="10:10" ht="35.450000000000003" hidden="1" customHeight="1">
      <c r="J5193" s="28">
        <f>IFERROR(VLOOKUP(TEXT(B5193,"0"),STOCK!A:H,7,0),1)</f>
        <v>1</v>
      </c>
    </row>
    <row r="5194" spans="10:10" ht="35.450000000000003" hidden="1" customHeight="1">
      <c r="J5194" s="28">
        <f>IFERROR(VLOOKUP(TEXT(B5194,"0"),STOCK!A:H,7,0),1)</f>
        <v>1</v>
      </c>
    </row>
    <row r="5195" spans="10:10" ht="35.450000000000003" hidden="1" customHeight="1">
      <c r="J5195" s="28">
        <f>IFERROR(VLOOKUP(TEXT(B5195,"0"),STOCK!A:H,7,0),1)</f>
        <v>1</v>
      </c>
    </row>
    <row r="5196" spans="10:10" ht="35.450000000000003" hidden="1" customHeight="1">
      <c r="J5196" s="28">
        <f>IFERROR(VLOOKUP(TEXT(B5196,"0"),STOCK!A:H,7,0),1)</f>
        <v>1</v>
      </c>
    </row>
    <row r="5197" spans="10:10" ht="35.450000000000003" hidden="1" customHeight="1">
      <c r="J5197" s="28">
        <f>IFERROR(VLOOKUP(TEXT(B5197,"0"),STOCK!A:H,7,0),1)</f>
        <v>1</v>
      </c>
    </row>
    <row r="5198" spans="10:10" ht="35.450000000000003" hidden="1" customHeight="1">
      <c r="J5198" s="28">
        <f>IFERROR(VLOOKUP(TEXT(B5198,"0"),STOCK!A:H,7,0),1)</f>
        <v>1</v>
      </c>
    </row>
    <row r="5199" spans="10:10" ht="35.450000000000003" hidden="1" customHeight="1">
      <c r="J5199" s="28">
        <f>IFERROR(VLOOKUP(TEXT(B5199,"0"),STOCK!A:H,7,0),1)</f>
        <v>1</v>
      </c>
    </row>
    <row r="5200" spans="10:10" ht="35.450000000000003" hidden="1" customHeight="1">
      <c r="J5200" s="28">
        <f>IFERROR(VLOOKUP(TEXT(B5200,"0"),STOCK!A:H,7,0),1)</f>
        <v>1</v>
      </c>
    </row>
    <row r="5201" spans="10:10" ht="35.450000000000003" hidden="1" customHeight="1">
      <c r="J5201" s="28">
        <f>IFERROR(VLOOKUP(TEXT(B5201,"0"),STOCK!A:H,7,0),1)</f>
        <v>1</v>
      </c>
    </row>
    <row r="5202" spans="10:10" ht="35.450000000000003" hidden="1" customHeight="1">
      <c r="J5202" s="28">
        <f>IFERROR(VLOOKUP(TEXT(B5202,"0"),STOCK!A:H,7,0),1)</f>
        <v>1</v>
      </c>
    </row>
    <row r="5203" spans="10:10" ht="35.450000000000003" hidden="1" customHeight="1">
      <c r="J5203" s="28">
        <f>IFERROR(VLOOKUP(TEXT(B5203,"0"),STOCK!A:H,7,0),1)</f>
        <v>1</v>
      </c>
    </row>
    <row r="5204" spans="10:10" ht="35.450000000000003" hidden="1" customHeight="1">
      <c r="J5204" s="28">
        <f>IFERROR(VLOOKUP(TEXT(B5204,"0"),STOCK!A:H,7,0),1)</f>
        <v>1</v>
      </c>
    </row>
    <row r="5205" spans="10:10" ht="35.450000000000003" hidden="1" customHeight="1">
      <c r="J5205" s="28">
        <f>IFERROR(VLOOKUP(TEXT(B5205,"0"),STOCK!A:H,7,0),1)</f>
        <v>1</v>
      </c>
    </row>
    <row r="5206" spans="10:10" ht="35.450000000000003" hidden="1" customHeight="1">
      <c r="J5206" s="28">
        <f>IFERROR(VLOOKUP(TEXT(B5206,"0"),STOCK!A:H,7,0),1)</f>
        <v>1</v>
      </c>
    </row>
    <row r="5207" spans="10:10" ht="35.450000000000003" hidden="1" customHeight="1">
      <c r="J5207" s="28">
        <f>IFERROR(VLOOKUP(TEXT(B5207,"0"),STOCK!A:H,7,0),1)</f>
        <v>1</v>
      </c>
    </row>
    <row r="5208" spans="10:10" ht="35.450000000000003" hidden="1" customHeight="1">
      <c r="J5208" s="28">
        <f>IFERROR(VLOOKUP(TEXT(B5208,"0"),STOCK!A:H,7,0),1)</f>
        <v>1</v>
      </c>
    </row>
    <row r="5209" spans="10:10" ht="35.450000000000003" hidden="1" customHeight="1">
      <c r="J5209" s="28">
        <f>IFERROR(VLOOKUP(TEXT(B5209,"0"),STOCK!A:H,7,0),1)</f>
        <v>1</v>
      </c>
    </row>
    <row r="5210" spans="10:10" ht="35.450000000000003" hidden="1" customHeight="1">
      <c r="J5210" s="28">
        <f>IFERROR(VLOOKUP(TEXT(B5210,"0"),STOCK!A:H,7,0),1)</f>
        <v>1</v>
      </c>
    </row>
    <row r="5211" spans="10:10" ht="35.450000000000003" hidden="1" customHeight="1">
      <c r="J5211" s="28">
        <f>IFERROR(VLOOKUP(TEXT(B5211,"0"),STOCK!A:H,7,0),1)</f>
        <v>1</v>
      </c>
    </row>
    <row r="5212" spans="10:10" ht="35.450000000000003" hidden="1" customHeight="1">
      <c r="J5212" s="28">
        <f>IFERROR(VLOOKUP(TEXT(B5212,"0"),STOCK!A:H,7,0),1)</f>
        <v>1</v>
      </c>
    </row>
    <row r="5213" spans="10:10" ht="35.450000000000003" hidden="1" customHeight="1">
      <c r="J5213" s="28">
        <f>IFERROR(VLOOKUP(TEXT(B5213,"0"),STOCK!A:H,7,0),1)</f>
        <v>1</v>
      </c>
    </row>
    <row r="5214" spans="10:10" ht="35.450000000000003" hidden="1" customHeight="1">
      <c r="J5214" s="28">
        <f>IFERROR(VLOOKUP(TEXT(B5214,"0"),STOCK!A:H,7,0),1)</f>
        <v>1</v>
      </c>
    </row>
    <row r="5215" spans="10:10" ht="35.450000000000003" hidden="1" customHeight="1">
      <c r="J5215" s="28">
        <f>IFERROR(VLOOKUP(TEXT(B5215,"0"),STOCK!A:H,7,0),1)</f>
        <v>1</v>
      </c>
    </row>
    <row r="5216" spans="10:10" ht="35.450000000000003" hidden="1" customHeight="1">
      <c r="J5216" s="28">
        <f>IFERROR(VLOOKUP(TEXT(B5216,"0"),STOCK!A:H,7,0),1)</f>
        <v>1</v>
      </c>
    </row>
    <row r="5217" spans="10:10" ht="35.450000000000003" hidden="1" customHeight="1">
      <c r="J5217" s="28">
        <f>IFERROR(VLOOKUP(TEXT(B5217,"0"),STOCK!A:H,7,0),1)</f>
        <v>1</v>
      </c>
    </row>
    <row r="5218" spans="10:10" ht="35.450000000000003" hidden="1" customHeight="1">
      <c r="J5218" s="28">
        <f>IFERROR(VLOOKUP(TEXT(B5218,"0"),STOCK!A:H,7,0),1)</f>
        <v>1</v>
      </c>
    </row>
    <row r="5219" spans="10:10" ht="35.450000000000003" hidden="1" customHeight="1">
      <c r="J5219" s="28">
        <f>IFERROR(VLOOKUP(TEXT(B5219,"0"),STOCK!A:H,7,0),1)</f>
        <v>1</v>
      </c>
    </row>
    <row r="5220" spans="10:10" ht="35.450000000000003" hidden="1" customHeight="1">
      <c r="J5220" s="28">
        <f>IFERROR(VLOOKUP(TEXT(B5220,"0"),STOCK!A:H,7,0),1)</f>
        <v>1</v>
      </c>
    </row>
    <row r="5221" spans="10:10" ht="35.450000000000003" hidden="1" customHeight="1">
      <c r="J5221" s="28">
        <f>IFERROR(VLOOKUP(TEXT(B5221,"0"),STOCK!A:H,7,0),1)</f>
        <v>1</v>
      </c>
    </row>
    <row r="5222" spans="10:10" ht="35.450000000000003" hidden="1" customHeight="1">
      <c r="J5222" s="28">
        <f>IFERROR(VLOOKUP(TEXT(B5222,"0"),STOCK!A:H,7,0),1)</f>
        <v>1</v>
      </c>
    </row>
    <row r="5223" spans="10:10" ht="35.450000000000003" hidden="1" customHeight="1">
      <c r="J5223" s="28">
        <f>IFERROR(VLOOKUP(TEXT(B5223,"0"),STOCK!A:H,7,0),1)</f>
        <v>1</v>
      </c>
    </row>
    <row r="5224" spans="10:10" ht="35.450000000000003" hidden="1" customHeight="1">
      <c r="J5224" s="28">
        <f>IFERROR(VLOOKUP(TEXT(B5224,"0"),STOCK!A:H,7,0),1)</f>
        <v>1</v>
      </c>
    </row>
    <row r="5225" spans="10:10" ht="35.450000000000003" hidden="1" customHeight="1">
      <c r="J5225" s="28">
        <f>IFERROR(VLOOKUP(TEXT(B5225,"0"),STOCK!A:H,7,0),1)</f>
        <v>1</v>
      </c>
    </row>
    <row r="5226" spans="10:10" ht="35.450000000000003" hidden="1" customHeight="1">
      <c r="J5226" s="28">
        <f>IFERROR(VLOOKUP(TEXT(B5226,"0"),STOCK!A:H,7,0),1)</f>
        <v>1</v>
      </c>
    </row>
    <row r="5227" spans="10:10" ht="35.450000000000003" hidden="1" customHeight="1">
      <c r="J5227" s="28">
        <f>IFERROR(VLOOKUP(TEXT(B5227,"0"),STOCK!A:H,7,0),1)</f>
        <v>1</v>
      </c>
    </row>
    <row r="5228" spans="10:10" ht="35.450000000000003" hidden="1" customHeight="1">
      <c r="J5228" s="28">
        <f>IFERROR(VLOOKUP(TEXT(B5228,"0"),STOCK!A:H,7,0),1)</f>
        <v>1</v>
      </c>
    </row>
    <row r="5229" spans="10:10" ht="35.450000000000003" hidden="1" customHeight="1">
      <c r="J5229" s="28">
        <f>IFERROR(VLOOKUP(TEXT(B5229,"0"),STOCK!A:H,7,0),1)</f>
        <v>1</v>
      </c>
    </row>
    <row r="5230" spans="10:10" ht="35.450000000000003" hidden="1" customHeight="1">
      <c r="J5230" s="28">
        <f>IFERROR(VLOOKUP(TEXT(B5230,"0"),STOCK!A:H,7,0),1)</f>
        <v>1</v>
      </c>
    </row>
    <row r="5231" spans="10:10" ht="35.450000000000003" hidden="1" customHeight="1">
      <c r="J5231" s="28">
        <f>IFERROR(VLOOKUP(TEXT(B5231,"0"),STOCK!A:H,7,0),1)</f>
        <v>1</v>
      </c>
    </row>
    <row r="5232" spans="10:10" ht="35.450000000000003" hidden="1" customHeight="1">
      <c r="J5232" s="28">
        <f>IFERROR(VLOOKUP(TEXT(B5232,"0"),STOCK!A:H,7,0),1)</f>
        <v>1</v>
      </c>
    </row>
    <row r="5233" spans="10:10" ht="35.450000000000003" hidden="1" customHeight="1">
      <c r="J5233" s="28">
        <f>IFERROR(VLOOKUP(TEXT(B5233,"0"),STOCK!A:H,7,0),1)</f>
        <v>1</v>
      </c>
    </row>
    <row r="5234" spans="10:10" ht="35.450000000000003" hidden="1" customHeight="1">
      <c r="J5234" s="28">
        <f>IFERROR(VLOOKUP(TEXT(B5234,"0"),STOCK!A:H,7,0),1)</f>
        <v>1</v>
      </c>
    </row>
    <row r="5235" spans="10:10" ht="35.450000000000003" hidden="1" customHeight="1">
      <c r="J5235" s="28">
        <f>IFERROR(VLOOKUP(TEXT(B5235,"0"),STOCK!A:H,7,0),1)</f>
        <v>1</v>
      </c>
    </row>
    <row r="5236" spans="10:10" ht="35.450000000000003" hidden="1" customHeight="1">
      <c r="J5236" s="28">
        <f>IFERROR(VLOOKUP(TEXT(B5236,"0"),STOCK!A:H,7,0),1)</f>
        <v>1</v>
      </c>
    </row>
    <row r="5237" spans="10:10" ht="35.450000000000003" hidden="1" customHeight="1">
      <c r="J5237" s="28">
        <f>IFERROR(VLOOKUP(TEXT(B5237,"0"),STOCK!A:H,7,0),1)</f>
        <v>1</v>
      </c>
    </row>
    <row r="5238" spans="10:10" ht="35.450000000000003" hidden="1" customHeight="1">
      <c r="J5238" s="28">
        <f>IFERROR(VLOOKUP(TEXT(B5238,"0"),STOCK!A:H,7,0),1)</f>
        <v>1</v>
      </c>
    </row>
    <row r="5239" spans="10:10" ht="35.450000000000003" hidden="1" customHeight="1">
      <c r="J5239" s="28">
        <f>IFERROR(VLOOKUP(TEXT(B5239,"0"),STOCK!A:H,7,0),1)</f>
        <v>1</v>
      </c>
    </row>
    <row r="5240" spans="10:10" ht="35.450000000000003" hidden="1" customHeight="1">
      <c r="J5240" s="28">
        <f>IFERROR(VLOOKUP(TEXT(B5240,"0"),STOCK!A:H,7,0),1)</f>
        <v>1</v>
      </c>
    </row>
    <row r="5241" spans="10:10" ht="35.450000000000003" hidden="1" customHeight="1">
      <c r="J5241" s="28">
        <f>IFERROR(VLOOKUP(TEXT(B5241,"0"),STOCK!A:H,7,0),1)</f>
        <v>1</v>
      </c>
    </row>
    <row r="5242" spans="10:10" ht="35.450000000000003" hidden="1" customHeight="1">
      <c r="J5242" s="28">
        <f>IFERROR(VLOOKUP(TEXT(B5242,"0"),STOCK!A:H,7,0),1)</f>
        <v>1</v>
      </c>
    </row>
    <row r="5243" spans="10:10" ht="35.450000000000003" hidden="1" customHeight="1">
      <c r="J5243" s="28">
        <f>IFERROR(VLOOKUP(TEXT(B5243,"0"),STOCK!A:H,7,0),1)</f>
        <v>1</v>
      </c>
    </row>
    <row r="5244" spans="10:10" ht="35.450000000000003" hidden="1" customHeight="1">
      <c r="J5244" s="28">
        <f>IFERROR(VLOOKUP(TEXT(B5244,"0"),STOCK!A:H,7,0),1)</f>
        <v>1</v>
      </c>
    </row>
    <row r="5245" spans="10:10" ht="35.450000000000003" hidden="1" customHeight="1">
      <c r="J5245" s="28">
        <f>IFERROR(VLOOKUP(TEXT(B5245,"0"),STOCK!A:H,7,0),1)</f>
        <v>1</v>
      </c>
    </row>
    <row r="5246" spans="10:10" ht="35.450000000000003" hidden="1" customHeight="1">
      <c r="J5246" s="28">
        <f>IFERROR(VLOOKUP(TEXT(B5246,"0"),STOCK!A:H,7,0),1)</f>
        <v>1</v>
      </c>
    </row>
    <row r="5247" spans="10:10" ht="35.450000000000003" hidden="1" customHeight="1">
      <c r="J5247" s="28">
        <f>IFERROR(VLOOKUP(TEXT(B5247,"0"),STOCK!A:H,7,0),1)</f>
        <v>1</v>
      </c>
    </row>
    <row r="5248" spans="10:10" ht="35.450000000000003" hidden="1" customHeight="1">
      <c r="J5248" s="28">
        <f>IFERROR(VLOOKUP(TEXT(B5248,"0"),STOCK!A:H,7,0),1)</f>
        <v>1</v>
      </c>
    </row>
    <row r="5249" spans="10:10" ht="35.450000000000003" hidden="1" customHeight="1">
      <c r="J5249" s="28">
        <f>IFERROR(VLOOKUP(TEXT(B5249,"0"),STOCK!A:H,7,0),1)</f>
        <v>1</v>
      </c>
    </row>
    <row r="5250" spans="10:10" ht="35.450000000000003" hidden="1" customHeight="1">
      <c r="J5250" s="28">
        <f>IFERROR(VLOOKUP(TEXT(B5250,"0"),STOCK!A:H,7,0),1)</f>
        <v>1</v>
      </c>
    </row>
    <row r="5251" spans="10:10" ht="35.450000000000003" hidden="1" customHeight="1">
      <c r="J5251" s="28">
        <f>IFERROR(VLOOKUP(TEXT(B5251,"0"),STOCK!A:H,7,0),1)</f>
        <v>1</v>
      </c>
    </row>
    <row r="5252" spans="10:10" ht="35.450000000000003" hidden="1" customHeight="1">
      <c r="J5252" s="28">
        <f>IFERROR(VLOOKUP(TEXT(B5252,"0"),STOCK!A:H,7,0),1)</f>
        <v>1</v>
      </c>
    </row>
    <row r="5253" spans="10:10" ht="35.450000000000003" hidden="1" customHeight="1">
      <c r="J5253" s="28">
        <f>IFERROR(VLOOKUP(TEXT(B5253,"0"),STOCK!A:H,7,0),1)</f>
        <v>1</v>
      </c>
    </row>
    <row r="5254" spans="10:10" ht="35.450000000000003" hidden="1" customHeight="1">
      <c r="J5254" s="28">
        <f>IFERROR(VLOOKUP(TEXT(B5254,"0"),STOCK!A:H,7,0),1)</f>
        <v>1</v>
      </c>
    </row>
    <row r="5255" spans="10:10" ht="35.450000000000003" hidden="1" customHeight="1">
      <c r="J5255" s="28">
        <f>IFERROR(VLOOKUP(TEXT(B5255,"0"),STOCK!A:H,7,0),1)</f>
        <v>1</v>
      </c>
    </row>
    <row r="5256" spans="10:10" ht="35.450000000000003" hidden="1" customHeight="1">
      <c r="J5256" s="28">
        <f>IFERROR(VLOOKUP(TEXT(B5256,"0"),STOCK!A:H,7,0),1)</f>
        <v>1</v>
      </c>
    </row>
    <row r="5257" spans="10:10" ht="35.450000000000003" hidden="1" customHeight="1">
      <c r="J5257" s="28">
        <f>IFERROR(VLOOKUP(TEXT(B5257,"0"),STOCK!A:H,7,0),1)</f>
        <v>1</v>
      </c>
    </row>
    <row r="5258" spans="10:10" ht="35.450000000000003" hidden="1" customHeight="1">
      <c r="J5258" s="28">
        <f>IFERROR(VLOOKUP(TEXT(B5258,"0"),STOCK!A:H,7,0),1)</f>
        <v>1</v>
      </c>
    </row>
    <row r="5259" spans="10:10" ht="35.450000000000003" hidden="1" customHeight="1">
      <c r="J5259" s="28">
        <f>IFERROR(VLOOKUP(TEXT(B5259,"0"),STOCK!A:H,7,0),1)</f>
        <v>1</v>
      </c>
    </row>
    <row r="5260" spans="10:10" ht="35.450000000000003" hidden="1" customHeight="1">
      <c r="J5260" s="28">
        <f>IFERROR(VLOOKUP(TEXT(B5260,"0"),STOCK!A:H,7,0),1)</f>
        <v>1</v>
      </c>
    </row>
    <row r="5261" spans="10:10" ht="35.450000000000003" hidden="1" customHeight="1">
      <c r="J5261" s="28">
        <f>IFERROR(VLOOKUP(TEXT(B5261,"0"),STOCK!A:H,7,0),1)</f>
        <v>1</v>
      </c>
    </row>
    <row r="5262" spans="10:10" ht="35.450000000000003" hidden="1" customHeight="1">
      <c r="J5262" s="28">
        <f>IFERROR(VLOOKUP(TEXT(B5262,"0"),STOCK!A:H,7,0),1)</f>
        <v>1</v>
      </c>
    </row>
    <row r="5263" spans="10:10" ht="35.450000000000003" hidden="1" customHeight="1">
      <c r="J5263" s="28">
        <f>IFERROR(VLOOKUP(TEXT(B5263,"0"),STOCK!A:H,7,0),1)</f>
        <v>1</v>
      </c>
    </row>
    <row r="5264" spans="10:10" ht="35.450000000000003" hidden="1" customHeight="1">
      <c r="J5264" s="28">
        <f>IFERROR(VLOOKUP(TEXT(B5264,"0"),STOCK!A:H,7,0),1)</f>
        <v>1</v>
      </c>
    </row>
    <row r="5265" spans="10:10" ht="35.450000000000003" hidden="1" customHeight="1">
      <c r="J5265" s="28">
        <f>IFERROR(VLOOKUP(TEXT(B5265,"0"),STOCK!A:H,7,0),1)</f>
        <v>1</v>
      </c>
    </row>
    <row r="5266" spans="10:10" ht="35.450000000000003" hidden="1" customHeight="1">
      <c r="J5266" s="28">
        <f>IFERROR(VLOOKUP(TEXT(B5266,"0"),STOCK!A:H,7,0),1)</f>
        <v>1</v>
      </c>
    </row>
    <row r="5267" spans="10:10" ht="35.450000000000003" hidden="1" customHeight="1">
      <c r="J5267" s="28">
        <f>IFERROR(VLOOKUP(TEXT(B5267,"0"),STOCK!A:H,7,0),1)</f>
        <v>1</v>
      </c>
    </row>
    <row r="5268" spans="10:10" ht="35.450000000000003" hidden="1" customHeight="1">
      <c r="J5268" s="28">
        <f>IFERROR(VLOOKUP(TEXT(B5268,"0"),STOCK!A:H,7,0),1)</f>
        <v>1</v>
      </c>
    </row>
    <row r="5269" spans="10:10" ht="35.450000000000003" hidden="1" customHeight="1">
      <c r="J5269" s="28">
        <f>IFERROR(VLOOKUP(TEXT(B5269,"0"),STOCK!A:H,7,0),1)</f>
        <v>1</v>
      </c>
    </row>
    <row r="5270" spans="10:10" ht="35.450000000000003" hidden="1" customHeight="1">
      <c r="J5270" s="28">
        <f>IFERROR(VLOOKUP(TEXT(B5270,"0"),STOCK!A:H,7,0),1)</f>
        <v>1</v>
      </c>
    </row>
    <row r="5271" spans="10:10" ht="35.450000000000003" hidden="1" customHeight="1">
      <c r="J5271" s="28">
        <f>IFERROR(VLOOKUP(TEXT(B5271,"0"),STOCK!A:H,7,0),1)</f>
        <v>1</v>
      </c>
    </row>
    <row r="5272" spans="10:10" ht="35.450000000000003" hidden="1" customHeight="1">
      <c r="J5272" s="28">
        <f>IFERROR(VLOOKUP(TEXT(B5272,"0"),STOCK!A:H,7,0),1)</f>
        <v>1</v>
      </c>
    </row>
    <row r="5273" spans="10:10" ht="35.450000000000003" hidden="1" customHeight="1">
      <c r="J5273" s="28">
        <f>IFERROR(VLOOKUP(TEXT(B5273,"0"),STOCK!A:H,7,0),1)</f>
        <v>1</v>
      </c>
    </row>
    <row r="5274" spans="10:10" ht="35.450000000000003" hidden="1" customHeight="1">
      <c r="J5274" s="28">
        <f>IFERROR(VLOOKUP(TEXT(B5274,"0"),STOCK!A:H,7,0),1)</f>
        <v>1</v>
      </c>
    </row>
    <row r="5275" spans="10:10" ht="35.450000000000003" hidden="1" customHeight="1">
      <c r="J5275" s="28">
        <f>IFERROR(VLOOKUP(TEXT(B5275,"0"),STOCK!A:H,7,0),1)</f>
        <v>1</v>
      </c>
    </row>
    <row r="5276" spans="10:10" ht="35.450000000000003" hidden="1" customHeight="1">
      <c r="J5276" s="28">
        <f>IFERROR(VLOOKUP(TEXT(B5276,"0"),STOCK!A:H,7,0),1)</f>
        <v>1</v>
      </c>
    </row>
    <row r="5277" spans="10:10" ht="35.450000000000003" hidden="1" customHeight="1">
      <c r="J5277" s="28">
        <f>IFERROR(VLOOKUP(TEXT(B5277,"0"),STOCK!A:H,7,0),1)</f>
        <v>1</v>
      </c>
    </row>
    <row r="5278" spans="10:10" ht="35.450000000000003" hidden="1" customHeight="1">
      <c r="J5278" s="28">
        <f>IFERROR(VLOOKUP(TEXT(B5278,"0"),STOCK!A:H,7,0),1)</f>
        <v>1</v>
      </c>
    </row>
    <row r="5279" spans="10:10" ht="35.450000000000003" hidden="1" customHeight="1">
      <c r="J5279" s="28">
        <f>IFERROR(VLOOKUP(TEXT(B5279,"0"),STOCK!A:H,7,0),1)</f>
        <v>1</v>
      </c>
    </row>
    <row r="5280" spans="10:10" ht="35.450000000000003" hidden="1" customHeight="1">
      <c r="J5280" s="28">
        <f>IFERROR(VLOOKUP(TEXT(B5280,"0"),STOCK!A:H,7,0),1)</f>
        <v>1</v>
      </c>
    </row>
    <row r="5281" spans="10:10" ht="35.450000000000003" hidden="1" customHeight="1">
      <c r="J5281" s="28">
        <f>IFERROR(VLOOKUP(TEXT(B5281,"0"),STOCK!A:H,7,0),1)</f>
        <v>1</v>
      </c>
    </row>
    <row r="5282" spans="10:10" ht="35.450000000000003" hidden="1" customHeight="1">
      <c r="J5282" s="28">
        <f>IFERROR(VLOOKUP(TEXT(B5282,"0"),STOCK!A:H,7,0),1)</f>
        <v>1</v>
      </c>
    </row>
    <row r="5283" spans="10:10" ht="35.450000000000003" hidden="1" customHeight="1">
      <c r="J5283" s="28">
        <f>IFERROR(VLOOKUP(TEXT(B5283,"0"),STOCK!A:H,7,0),1)</f>
        <v>1</v>
      </c>
    </row>
    <row r="5284" spans="10:10" ht="35.450000000000003" hidden="1" customHeight="1">
      <c r="J5284" s="28">
        <f>IFERROR(VLOOKUP(TEXT(B5284,"0"),STOCK!A:H,7,0),1)</f>
        <v>1</v>
      </c>
    </row>
    <row r="5285" spans="10:10" ht="35.450000000000003" hidden="1" customHeight="1">
      <c r="J5285" s="28">
        <f>IFERROR(VLOOKUP(TEXT(B5285,"0"),STOCK!A:H,7,0),1)</f>
        <v>1</v>
      </c>
    </row>
    <row r="5286" spans="10:10" ht="35.450000000000003" hidden="1" customHeight="1">
      <c r="J5286" s="28">
        <f>IFERROR(VLOOKUP(TEXT(B5286,"0"),STOCK!A:H,7,0),1)</f>
        <v>1</v>
      </c>
    </row>
    <row r="5287" spans="10:10" ht="35.450000000000003" hidden="1" customHeight="1">
      <c r="J5287" s="28">
        <f>IFERROR(VLOOKUP(TEXT(B5287,"0"),STOCK!A:H,7,0),1)</f>
        <v>1</v>
      </c>
    </row>
    <row r="5288" spans="10:10" ht="35.450000000000003" hidden="1" customHeight="1">
      <c r="J5288" s="28">
        <f>IFERROR(VLOOKUP(TEXT(B5288,"0"),STOCK!A:H,7,0),1)</f>
        <v>1</v>
      </c>
    </row>
    <row r="5289" spans="10:10" ht="35.450000000000003" hidden="1" customHeight="1">
      <c r="J5289" s="28">
        <f>IFERROR(VLOOKUP(TEXT(B5289,"0"),STOCK!A:H,7,0),1)</f>
        <v>1</v>
      </c>
    </row>
    <row r="5290" spans="10:10" ht="35.450000000000003" hidden="1" customHeight="1">
      <c r="J5290" s="28">
        <f>IFERROR(VLOOKUP(TEXT(B5290,"0"),STOCK!A:H,7,0),1)</f>
        <v>1</v>
      </c>
    </row>
    <row r="5291" spans="10:10" ht="35.450000000000003" hidden="1" customHeight="1">
      <c r="J5291" s="28">
        <f>IFERROR(VLOOKUP(TEXT(B5291,"0"),STOCK!A:H,7,0),1)</f>
        <v>1</v>
      </c>
    </row>
    <row r="5292" spans="10:10" ht="35.450000000000003" hidden="1" customHeight="1">
      <c r="J5292" s="28">
        <f>IFERROR(VLOOKUP(TEXT(B5292,"0"),STOCK!A:H,7,0),1)</f>
        <v>1</v>
      </c>
    </row>
    <row r="5293" spans="10:10" ht="35.450000000000003" hidden="1" customHeight="1">
      <c r="J5293" s="28">
        <f>IFERROR(VLOOKUP(TEXT(B5293,"0"),STOCK!A:H,7,0),1)</f>
        <v>1</v>
      </c>
    </row>
    <row r="5294" spans="10:10" ht="35.450000000000003" hidden="1" customHeight="1">
      <c r="J5294" s="28">
        <f>IFERROR(VLOOKUP(TEXT(B5294,"0"),STOCK!A:H,7,0),1)</f>
        <v>1</v>
      </c>
    </row>
    <row r="5295" spans="10:10" ht="35.450000000000003" hidden="1" customHeight="1">
      <c r="J5295" s="28">
        <f>IFERROR(VLOOKUP(TEXT(B5295,"0"),STOCK!A:H,7,0),1)</f>
        <v>1</v>
      </c>
    </row>
    <row r="5296" spans="10:10" ht="35.450000000000003" hidden="1" customHeight="1">
      <c r="J5296" s="28">
        <f>IFERROR(VLOOKUP(TEXT(B5296,"0"),STOCK!A:H,7,0),1)</f>
        <v>1</v>
      </c>
    </row>
    <row r="5297" spans="10:10" ht="35.450000000000003" hidden="1" customHeight="1">
      <c r="J5297" s="28">
        <f>IFERROR(VLOOKUP(TEXT(B5297,"0"),STOCK!A:H,7,0),1)</f>
        <v>1</v>
      </c>
    </row>
    <row r="5298" spans="10:10" ht="35.450000000000003" hidden="1" customHeight="1">
      <c r="J5298" s="28">
        <f>IFERROR(VLOOKUP(TEXT(B5298,"0"),STOCK!A:H,7,0),1)</f>
        <v>1</v>
      </c>
    </row>
    <row r="5299" spans="10:10" ht="35.450000000000003" hidden="1" customHeight="1">
      <c r="J5299" s="28">
        <f>IFERROR(VLOOKUP(TEXT(B5299,"0"),STOCK!A:H,7,0),1)</f>
        <v>1</v>
      </c>
    </row>
    <row r="5300" spans="10:10" ht="35.450000000000003" hidden="1" customHeight="1">
      <c r="J5300" s="28">
        <f>IFERROR(VLOOKUP(TEXT(B5300,"0"),STOCK!A:H,7,0),1)</f>
        <v>1</v>
      </c>
    </row>
    <row r="5301" spans="10:10" ht="35.450000000000003" hidden="1" customHeight="1">
      <c r="J5301" s="28">
        <f>IFERROR(VLOOKUP(TEXT(B5301,"0"),STOCK!A:H,7,0),1)</f>
        <v>1</v>
      </c>
    </row>
    <row r="5302" spans="10:10" ht="35.450000000000003" hidden="1" customHeight="1">
      <c r="J5302" s="28">
        <f>IFERROR(VLOOKUP(TEXT(B5302,"0"),STOCK!A:H,7,0),1)</f>
        <v>1</v>
      </c>
    </row>
    <row r="5303" spans="10:10" ht="35.450000000000003" hidden="1" customHeight="1">
      <c r="J5303" s="28">
        <f>IFERROR(VLOOKUP(TEXT(B5303,"0"),STOCK!A:H,7,0),1)</f>
        <v>1</v>
      </c>
    </row>
    <row r="5304" spans="10:10" ht="35.450000000000003" hidden="1" customHeight="1">
      <c r="J5304" s="28">
        <f>IFERROR(VLOOKUP(TEXT(B5304,"0"),STOCK!A:H,7,0),1)</f>
        <v>1</v>
      </c>
    </row>
    <row r="5305" spans="10:10" ht="35.450000000000003" hidden="1" customHeight="1">
      <c r="J5305" s="28">
        <f>IFERROR(VLOOKUP(TEXT(B5305,"0"),STOCK!A:H,7,0),1)</f>
        <v>1</v>
      </c>
    </row>
    <row r="5306" spans="10:10" ht="35.450000000000003" hidden="1" customHeight="1">
      <c r="J5306" s="28">
        <f>IFERROR(VLOOKUP(TEXT(B5306,"0"),STOCK!A:H,7,0),1)</f>
        <v>1</v>
      </c>
    </row>
    <row r="5307" spans="10:10" ht="35.450000000000003" hidden="1" customHeight="1">
      <c r="J5307" s="28">
        <f>IFERROR(VLOOKUP(TEXT(B5307,"0"),STOCK!A:H,7,0),1)</f>
        <v>1</v>
      </c>
    </row>
    <row r="5308" spans="10:10" ht="35.450000000000003" hidden="1" customHeight="1">
      <c r="J5308" s="28">
        <f>IFERROR(VLOOKUP(TEXT(B5308,"0"),STOCK!A:H,7,0),1)</f>
        <v>1</v>
      </c>
    </row>
    <row r="5309" spans="10:10" ht="35.450000000000003" hidden="1" customHeight="1">
      <c r="J5309" s="28">
        <f>IFERROR(VLOOKUP(TEXT(B5309,"0"),STOCK!A:H,7,0),1)</f>
        <v>1</v>
      </c>
    </row>
    <row r="5310" spans="10:10" ht="35.450000000000003" hidden="1" customHeight="1">
      <c r="J5310" s="28">
        <f>IFERROR(VLOOKUP(TEXT(B5310,"0"),STOCK!A:H,7,0),1)</f>
        <v>1</v>
      </c>
    </row>
    <row r="5311" spans="10:10" ht="35.450000000000003" hidden="1" customHeight="1">
      <c r="J5311" s="28">
        <f>IFERROR(VLOOKUP(TEXT(B5311,"0"),STOCK!A:H,7,0),1)</f>
        <v>1</v>
      </c>
    </row>
    <row r="5312" spans="10:10" ht="35.450000000000003" hidden="1" customHeight="1">
      <c r="J5312" s="28">
        <f>IFERROR(VLOOKUP(TEXT(B5312,"0"),STOCK!A:H,7,0),1)</f>
        <v>1</v>
      </c>
    </row>
    <row r="5313" spans="10:10" ht="35.450000000000003" hidden="1" customHeight="1">
      <c r="J5313" s="28">
        <f>IFERROR(VLOOKUP(TEXT(B5313,"0"),STOCK!A:H,7,0),1)</f>
        <v>1</v>
      </c>
    </row>
    <row r="5314" spans="10:10" ht="35.450000000000003" hidden="1" customHeight="1">
      <c r="J5314" s="28">
        <f>IFERROR(VLOOKUP(TEXT(B5314,"0"),STOCK!A:H,7,0),1)</f>
        <v>1</v>
      </c>
    </row>
    <row r="5315" spans="10:10" ht="35.450000000000003" hidden="1" customHeight="1">
      <c r="J5315" s="28">
        <f>IFERROR(VLOOKUP(TEXT(B5315,"0"),STOCK!A:H,7,0),1)</f>
        <v>1</v>
      </c>
    </row>
    <row r="5316" spans="10:10" ht="35.450000000000003" hidden="1" customHeight="1">
      <c r="J5316" s="28">
        <f>IFERROR(VLOOKUP(TEXT(B5316,"0"),STOCK!A:H,7,0),1)</f>
        <v>1</v>
      </c>
    </row>
    <row r="5317" spans="10:10" ht="35.450000000000003" hidden="1" customHeight="1">
      <c r="J5317" s="28">
        <f>IFERROR(VLOOKUP(TEXT(B5317,"0"),STOCK!A:H,7,0),1)</f>
        <v>1</v>
      </c>
    </row>
    <row r="5318" spans="10:10" ht="35.450000000000003" hidden="1" customHeight="1">
      <c r="J5318" s="28">
        <f>IFERROR(VLOOKUP(TEXT(B5318,"0"),STOCK!A:H,7,0),1)</f>
        <v>1</v>
      </c>
    </row>
    <row r="5319" spans="10:10" ht="35.450000000000003" hidden="1" customHeight="1">
      <c r="J5319" s="28">
        <f>IFERROR(VLOOKUP(TEXT(B5319,"0"),STOCK!A:H,7,0),1)</f>
        <v>1</v>
      </c>
    </row>
    <row r="5320" spans="10:10" ht="35.450000000000003" hidden="1" customHeight="1">
      <c r="J5320" s="28">
        <f>IFERROR(VLOOKUP(TEXT(B5320,"0"),STOCK!A:H,7,0),1)</f>
        <v>1</v>
      </c>
    </row>
    <row r="5321" spans="10:10" ht="35.450000000000003" hidden="1" customHeight="1">
      <c r="J5321" s="28">
        <f>IFERROR(VLOOKUP(TEXT(B5321,"0"),STOCK!A:H,7,0),1)</f>
        <v>1</v>
      </c>
    </row>
    <row r="5322" spans="10:10" ht="35.450000000000003" hidden="1" customHeight="1">
      <c r="J5322" s="28">
        <f>IFERROR(VLOOKUP(TEXT(B5322,"0"),STOCK!A:H,7,0),1)</f>
        <v>1</v>
      </c>
    </row>
    <row r="5323" spans="10:10" ht="35.450000000000003" hidden="1" customHeight="1">
      <c r="J5323" s="28">
        <f>IFERROR(VLOOKUP(TEXT(B5323,"0"),STOCK!A:H,7,0),1)</f>
        <v>1</v>
      </c>
    </row>
    <row r="5324" spans="10:10" ht="35.450000000000003" hidden="1" customHeight="1">
      <c r="J5324" s="28">
        <f>IFERROR(VLOOKUP(TEXT(B5324,"0"),STOCK!A:H,7,0),1)</f>
        <v>1</v>
      </c>
    </row>
    <row r="5325" spans="10:10" ht="35.450000000000003" hidden="1" customHeight="1">
      <c r="J5325" s="28">
        <f>IFERROR(VLOOKUP(TEXT(B5325,"0"),STOCK!A:H,7,0),1)</f>
        <v>1</v>
      </c>
    </row>
    <row r="5326" spans="10:10" ht="35.450000000000003" hidden="1" customHeight="1">
      <c r="J5326" s="28">
        <f>IFERROR(VLOOKUP(TEXT(B5326,"0"),STOCK!A:H,7,0),1)</f>
        <v>1</v>
      </c>
    </row>
    <row r="5327" spans="10:10" ht="35.450000000000003" hidden="1" customHeight="1">
      <c r="J5327" s="28">
        <f>IFERROR(VLOOKUP(TEXT(B5327,"0"),STOCK!A:H,7,0),1)</f>
        <v>1</v>
      </c>
    </row>
    <row r="5328" spans="10:10" ht="35.450000000000003" hidden="1" customHeight="1">
      <c r="J5328" s="28">
        <f>IFERROR(VLOOKUP(TEXT(B5328,"0"),STOCK!A:H,7,0),1)</f>
        <v>1</v>
      </c>
    </row>
    <row r="5329" spans="10:10" ht="35.450000000000003" hidden="1" customHeight="1">
      <c r="J5329" s="28">
        <f>IFERROR(VLOOKUP(TEXT(B5329,"0"),STOCK!A:H,7,0),1)</f>
        <v>1</v>
      </c>
    </row>
    <row r="5330" spans="10:10" ht="35.450000000000003" hidden="1" customHeight="1">
      <c r="J5330" s="28">
        <f>IFERROR(VLOOKUP(TEXT(B5330,"0"),STOCK!A:H,7,0),1)</f>
        <v>1</v>
      </c>
    </row>
    <row r="5331" spans="10:10" ht="35.450000000000003" hidden="1" customHeight="1">
      <c r="J5331" s="28">
        <f>IFERROR(VLOOKUP(TEXT(B5331,"0"),STOCK!A:H,7,0),1)</f>
        <v>1</v>
      </c>
    </row>
    <row r="5332" spans="10:10" ht="35.450000000000003" hidden="1" customHeight="1">
      <c r="J5332" s="28">
        <f>IFERROR(VLOOKUP(TEXT(B5332,"0"),STOCK!A:H,7,0),1)</f>
        <v>1</v>
      </c>
    </row>
    <row r="5333" spans="10:10" ht="35.450000000000003" hidden="1" customHeight="1">
      <c r="J5333" s="28">
        <f>IFERROR(VLOOKUP(TEXT(B5333,"0"),STOCK!A:H,7,0),1)</f>
        <v>1</v>
      </c>
    </row>
    <row r="5334" spans="10:10" ht="35.450000000000003" hidden="1" customHeight="1">
      <c r="J5334" s="28">
        <f>IFERROR(VLOOKUP(TEXT(B5334,"0"),STOCK!A:H,7,0),1)</f>
        <v>1</v>
      </c>
    </row>
    <row r="5335" spans="10:10" ht="35.450000000000003" hidden="1" customHeight="1">
      <c r="J5335" s="28">
        <f>IFERROR(VLOOKUP(TEXT(B5335,"0"),STOCK!A:H,7,0),1)</f>
        <v>1</v>
      </c>
    </row>
    <row r="5336" spans="10:10" ht="35.450000000000003" hidden="1" customHeight="1">
      <c r="J5336" s="28">
        <f>IFERROR(VLOOKUP(TEXT(B5336,"0"),STOCK!A:H,7,0),1)</f>
        <v>1</v>
      </c>
    </row>
    <row r="5337" spans="10:10" ht="35.450000000000003" hidden="1" customHeight="1">
      <c r="J5337" s="28">
        <f>IFERROR(VLOOKUP(TEXT(B5337,"0"),STOCK!A:H,7,0),1)</f>
        <v>1</v>
      </c>
    </row>
    <row r="5338" spans="10:10" ht="35.450000000000003" hidden="1" customHeight="1">
      <c r="J5338" s="28">
        <f>IFERROR(VLOOKUP(TEXT(B5338,"0"),STOCK!A:H,7,0),1)</f>
        <v>1</v>
      </c>
    </row>
    <row r="5339" spans="10:10" ht="35.450000000000003" hidden="1" customHeight="1">
      <c r="J5339" s="28">
        <f>IFERROR(VLOOKUP(TEXT(B5339,"0"),STOCK!A:H,7,0),1)</f>
        <v>1</v>
      </c>
    </row>
    <row r="5340" spans="10:10" ht="35.450000000000003" hidden="1" customHeight="1">
      <c r="J5340" s="28">
        <f>IFERROR(VLOOKUP(TEXT(B5340,"0"),STOCK!A:H,7,0),1)</f>
        <v>1</v>
      </c>
    </row>
    <row r="5341" spans="10:10" ht="35.450000000000003" hidden="1" customHeight="1">
      <c r="J5341" s="28">
        <f>IFERROR(VLOOKUP(TEXT(B5341,"0"),STOCK!A:H,7,0),1)</f>
        <v>1</v>
      </c>
    </row>
    <row r="5342" spans="10:10" ht="35.450000000000003" hidden="1" customHeight="1">
      <c r="J5342" s="28">
        <f>IFERROR(VLOOKUP(TEXT(B5342,"0"),STOCK!A:H,7,0),1)</f>
        <v>1</v>
      </c>
    </row>
    <row r="5343" spans="10:10" ht="35.450000000000003" hidden="1" customHeight="1">
      <c r="J5343" s="28">
        <f>IFERROR(VLOOKUP(TEXT(B5343,"0"),STOCK!A:H,7,0),1)</f>
        <v>1</v>
      </c>
    </row>
    <row r="5344" spans="10:10" ht="35.450000000000003" hidden="1" customHeight="1">
      <c r="J5344" s="28">
        <f>IFERROR(VLOOKUP(TEXT(B5344,"0"),STOCK!A:H,7,0),1)</f>
        <v>1</v>
      </c>
    </row>
    <row r="5345" spans="10:10" ht="35.450000000000003" hidden="1" customHeight="1">
      <c r="J5345" s="28">
        <f>IFERROR(VLOOKUP(TEXT(B5345,"0"),STOCK!A:H,7,0),1)</f>
        <v>1</v>
      </c>
    </row>
    <row r="5346" spans="10:10" ht="35.450000000000003" hidden="1" customHeight="1">
      <c r="J5346" s="28">
        <f>IFERROR(VLOOKUP(TEXT(B5346,"0"),STOCK!A:H,7,0),1)</f>
        <v>1</v>
      </c>
    </row>
    <row r="5347" spans="10:10" ht="35.450000000000003" hidden="1" customHeight="1">
      <c r="J5347" s="28">
        <f>IFERROR(VLOOKUP(TEXT(B5347,"0"),STOCK!A:H,7,0),1)</f>
        <v>1</v>
      </c>
    </row>
    <row r="5348" spans="10:10" ht="35.450000000000003" hidden="1" customHeight="1">
      <c r="J5348" s="28">
        <f>IFERROR(VLOOKUP(TEXT(B5348,"0"),STOCK!A:H,7,0),1)</f>
        <v>1</v>
      </c>
    </row>
    <row r="5349" spans="10:10" ht="35.450000000000003" hidden="1" customHeight="1">
      <c r="J5349" s="28">
        <f>IFERROR(VLOOKUP(TEXT(B5349,"0"),STOCK!A:H,7,0),1)</f>
        <v>1</v>
      </c>
    </row>
    <row r="5350" spans="10:10" ht="35.450000000000003" hidden="1" customHeight="1">
      <c r="J5350" s="28">
        <f>IFERROR(VLOOKUP(TEXT(B5350,"0"),STOCK!A:H,7,0),1)</f>
        <v>1</v>
      </c>
    </row>
    <row r="5351" spans="10:10" ht="35.450000000000003" hidden="1" customHeight="1">
      <c r="J5351" s="28">
        <f>IFERROR(VLOOKUP(TEXT(B5351,"0"),STOCK!A:H,7,0),1)</f>
        <v>1</v>
      </c>
    </row>
    <row r="5352" spans="10:10" ht="35.450000000000003" hidden="1" customHeight="1">
      <c r="J5352" s="28">
        <f>IFERROR(VLOOKUP(TEXT(B5352,"0"),STOCK!A:H,7,0),1)</f>
        <v>1</v>
      </c>
    </row>
    <row r="5353" spans="10:10" ht="35.450000000000003" hidden="1" customHeight="1">
      <c r="J5353" s="28">
        <f>IFERROR(VLOOKUP(TEXT(B5353,"0"),STOCK!A:H,7,0),1)</f>
        <v>1</v>
      </c>
    </row>
    <row r="5354" spans="10:10" ht="35.450000000000003" hidden="1" customHeight="1">
      <c r="J5354" s="28">
        <f>IFERROR(VLOOKUP(TEXT(B5354,"0"),STOCK!A:H,7,0),1)</f>
        <v>1</v>
      </c>
    </row>
    <row r="5355" spans="10:10" ht="35.450000000000003" hidden="1" customHeight="1">
      <c r="J5355" s="28">
        <f>IFERROR(VLOOKUP(TEXT(B5355,"0"),STOCK!A:H,7,0),1)</f>
        <v>1</v>
      </c>
    </row>
    <row r="5356" spans="10:10" ht="35.450000000000003" hidden="1" customHeight="1">
      <c r="J5356" s="28">
        <f>IFERROR(VLOOKUP(TEXT(B5356,"0"),STOCK!A:H,7,0),1)</f>
        <v>1</v>
      </c>
    </row>
    <row r="5357" spans="10:10" ht="35.450000000000003" hidden="1" customHeight="1">
      <c r="J5357" s="28">
        <f>IFERROR(VLOOKUP(TEXT(B5357,"0"),STOCK!A:H,7,0),1)</f>
        <v>1</v>
      </c>
    </row>
    <row r="5358" spans="10:10" ht="35.450000000000003" hidden="1" customHeight="1">
      <c r="J5358" s="28">
        <f>IFERROR(VLOOKUP(TEXT(B5358,"0"),STOCK!A:H,7,0),1)</f>
        <v>1</v>
      </c>
    </row>
    <row r="5359" spans="10:10" ht="35.450000000000003" hidden="1" customHeight="1">
      <c r="J5359" s="28">
        <f>IFERROR(VLOOKUP(TEXT(B5359,"0"),STOCK!A:H,7,0),1)</f>
        <v>1</v>
      </c>
    </row>
    <row r="5360" spans="10:10" ht="35.450000000000003" hidden="1" customHeight="1">
      <c r="J5360" s="28">
        <f>IFERROR(VLOOKUP(TEXT(B5360,"0"),STOCK!A:H,7,0),1)</f>
        <v>1</v>
      </c>
    </row>
    <row r="5361" spans="10:10" ht="35.450000000000003" hidden="1" customHeight="1">
      <c r="J5361" s="28">
        <f>IFERROR(VLOOKUP(TEXT(B5361,"0"),STOCK!A:H,7,0),1)</f>
        <v>1</v>
      </c>
    </row>
    <row r="5362" spans="10:10" ht="35.450000000000003" hidden="1" customHeight="1">
      <c r="J5362" s="28">
        <f>IFERROR(VLOOKUP(TEXT(B5362,"0"),STOCK!A:H,7,0),1)</f>
        <v>1</v>
      </c>
    </row>
    <row r="5363" spans="10:10" ht="35.450000000000003" hidden="1" customHeight="1">
      <c r="J5363" s="28">
        <f>IFERROR(VLOOKUP(TEXT(B5363,"0"),STOCK!A:H,7,0),1)</f>
        <v>1</v>
      </c>
    </row>
    <row r="5364" spans="10:10" ht="35.450000000000003" hidden="1" customHeight="1">
      <c r="J5364" s="28">
        <f>IFERROR(VLOOKUP(TEXT(B5364,"0"),STOCK!A:H,7,0),1)</f>
        <v>1</v>
      </c>
    </row>
    <row r="5365" spans="10:10" ht="35.450000000000003" hidden="1" customHeight="1">
      <c r="J5365" s="28">
        <f>IFERROR(VLOOKUP(TEXT(B5365,"0"),STOCK!A:H,7,0),1)</f>
        <v>1</v>
      </c>
    </row>
    <row r="5366" spans="10:10" ht="35.450000000000003" hidden="1" customHeight="1">
      <c r="J5366" s="28">
        <f>IFERROR(VLOOKUP(TEXT(B5366,"0"),STOCK!A:H,7,0),1)</f>
        <v>1</v>
      </c>
    </row>
    <row r="5367" spans="10:10" ht="35.450000000000003" hidden="1" customHeight="1">
      <c r="J5367" s="28">
        <f>IFERROR(VLOOKUP(TEXT(B5367,"0"),STOCK!A:H,7,0),1)</f>
        <v>1</v>
      </c>
    </row>
    <row r="5368" spans="10:10" ht="35.450000000000003" hidden="1" customHeight="1">
      <c r="J5368" s="28">
        <f>IFERROR(VLOOKUP(TEXT(B5368,"0"),STOCK!A:H,7,0),1)</f>
        <v>1</v>
      </c>
    </row>
    <row r="5369" spans="10:10" ht="35.450000000000003" hidden="1" customHeight="1">
      <c r="J5369" s="28">
        <f>IFERROR(VLOOKUP(TEXT(B5369,"0"),STOCK!A:H,7,0),1)</f>
        <v>1</v>
      </c>
    </row>
    <row r="5370" spans="10:10" ht="35.450000000000003" hidden="1" customHeight="1">
      <c r="J5370" s="28">
        <f>IFERROR(VLOOKUP(TEXT(B5370,"0"),STOCK!A:H,7,0),1)</f>
        <v>1</v>
      </c>
    </row>
    <row r="5371" spans="10:10" ht="35.450000000000003" hidden="1" customHeight="1">
      <c r="J5371" s="28">
        <f>IFERROR(VLOOKUP(TEXT(B5371,"0"),STOCK!A:H,7,0),1)</f>
        <v>1</v>
      </c>
    </row>
    <row r="5372" spans="10:10" ht="35.450000000000003" hidden="1" customHeight="1">
      <c r="J5372" s="28">
        <f>IFERROR(VLOOKUP(TEXT(B5372,"0"),STOCK!A:H,7,0),1)</f>
        <v>1</v>
      </c>
    </row>
    <row r="5373" spans="10:10" ht="35.450000000000003" hidden="1" customHeight="1">
      <c r="J5373" s="28">
        <f>IFERROR(VLOOKUP(TEXT(B5373,"0"),STOCK!A:H,7,0),1)</f>
        <v>1</v>
      </c>
    </row>
    <row r="5374" spans="10:10" ht="35.450000000000003" hidden="1" customHeight="1">
      <c r="J5374" s="28">
        <f>IFERROR(VLOOKUP(TEXT(B5374,"0"),STOCK!A:H,7,0),1)</f>
        <v>1</v>
      </c>
    </row>
    <row r="5375" spans="10:10" ht="35.450000000000003" hidden="1" customHeight="1">
      <c r="J5375" s="28">
        <f>IFERROR(VLOOKUP(TEXT(B5375,"0"),STOCK!A:H,7,0),1)</f>
        <v>1</v>
      </c>
    </row>
    <row r="5376" spans="10:10" ht="35.450000000000003" hidden="1" customHeight="1">
      <c r="J5376" s="28">
        <f>IFERROR(VLOOKUP(TEXT(B5376,"0"),STOCK!A:H,7,0),1)</f>
        <v>1</v>
      </c>
    </row>
    <row r="5377" spans="10:10" ht="35.450000000000003" hidden="1" customHeight="1">
      <c r="J5377" s="28">
        <f>IFERROR(VLOOKUP(TEXT(B5377,"0"),STOCK!A:H,7,0),1)</f>
        <v>1</v>
      </c>
    </row>
    <row r="5378" spans="10:10" ht="35.450000000000003" hidden="1" customHeight="1">
      <c r="J5378" s="28">
        <f>IFERROR(VLOOKUP(TEXT(B5378,"0"),STOCK!A:H,7,0),1)</f>
        <v>1</v>
      </c>
    </row>
    <row r="5379" spans="10:10" ht="35.450000000000003" hidden="1" customHeight="1">
      <c r="J5379" s="28">
        <f>IFERROR(VLOOKUP(TEXT(B5379,"0"),STOCK!A:H,7,0),1)</f>
        <v>1</v>
      </c>
    </row>
    <row r="5380" spans="10:10" ht="35.450000000000003" hidden="1" customHeight="1">
      <c r="J5380" s="28">
        <f>IFERROR(VLOOKUP(TEXT(B5380,"0"),STOCK!A:H,7,0),1)</f>
        <v>1</v>
      </c>
    </row>
    <row r="5381" spans="10:10" ht="35.450000000000003" hidden="1" customHeight="1">
      <c r="J5381" s="28">
        <f>IFERROR(VLOOKUP(TEXT(B5381,"0"),STOCK!A:H,7,0),1)</f>
        <v>1</v>
      </c>
    </row>
    <row r="5382" spans="10:10" ht="35.450000000000003" hidden="1" customHeight="1">
      <c r="J5382" s="28">
        <f>IFERROR(VLOOKUP(TEXT(B5382,"0"),STOCK!A:H,7,0),1)</f>
        <v>1</v>
      </c>
    </row>
    <row r="5383" spans="10:10" ht="35.450000000000003" hidden="1" customHeight="1">
      <c r="J5383" s="28">
        <f>IFERROR(VLOOKUP(TEXT(B5383,"0"),STOCK!A:H,7,0),1)</f>
        <v>1</v>
      </c>
    </row>
    <row r="5384" spans="10:10" ht="35.450000000000003" hidden="1" customHeight="1">
      <c r="J5384" s="28">
        <f>IFERROR(VLOOKUP(TEXT(B5384,"0"),STOCK!A:H,7,0),1)</f>
        <v>1</v>
      </c>
    </row>
    <row r="5385" spans="10:10" ht="35.450000000000003" hidden="1" customHeight="1">
      <c r="J5385" s="28">
        <f>IFERROR(VLOOKUP(TEXT(B5385,"0"),STOCK!A:H,7,0),1)</f>
        <v>1</v>
      </c>
    </row>
    <row r="5386" spans="10:10" ht="35.450000000000003" hidden="1" customHeight="1">
      <c r="J5386" s="28">
        <f>IFERROR(VLOOKUP(TEXT(B5386,"0"),STOCK!A:H,7,0),1)</f>
        <v>1</v>
      </c>
    </row>
    <row r="5387" spans="10:10" ht="35.450000000000003" hidden="1" customHeight="1">
      <c r="J5387" s="28">
        <f>IFERROR(VLOOKUP(TEXT(B5387,"0"),STOCK!A:H,7,0),1)</f>
        <v>1</v>
      </c>
    </row>
    <row r="5388" spans="10:10" ht="35.450000000000003" hidden="1" customHeight="1">
      <c r="J5388" s="28">
        <f>IFERROR(VLOOKUP(TEXT(B5388,"0"),STOCK!A:H,7,0),1)</f>
        <v>1</v>
      </c>
    </row>
    <row r="5389" spans="10:10" ht="35.450000000000003" hidden="1" customHeight="1">
      <c r="J5389" s="28">
        <f>IFERROR(VLOOKUP(TEXT(B5389,"0"),STOCK!A:H,7,0),1)</f>
        <v>1</v>
      </c>
    </row>
    <row r="5390" spans="10:10" ht="35.450000000000003" hidden="1" customHeight="1">
      <c r="J5390" s="28">
        <f>IFERROR(VLOOKUP(TEXT(B5390,"0"),STOCK!A:H,7,0),1)</f>
        <v>1</v>
      </c>
    </row>
    <row r="5391" spans="10:10" ht="35.450000000000003" hidden="1" customHeight="1">
      <c r="J5391" s="28">
        <f>IFERROR(VLOOKUP(TEXT(B5391,"0"),STOCK!A:H,7,0),1)</f>
        <v>1</v>
      </c>
    </row>
    <row r="5392" spans="10:10" ht="35.450000000000003" hidden="1" customHeight="1">
      <c r="J5392" s="28">
        <f>IFERROR(VLOOKUP(TEXT(B5392,"0"),STOCK!A:H,7,0),1)</f>
        <v>1</v>
      </c>
    </row>
    <row r="5393" spans="10:10" ht="35.450000000000003" hidden="1" customHeight="1">
      <c r="J5393" s="28">
        <f>IFERROR(VLOOKUP(TEXT(B5393,"0"),STOCK!A:H,7,0),1)</f>
        <v>1</v>
      </c>
    </row>
    <row r="5394" spans="10:10" ht="35.450000000000003" hidden="1" customHeight="1">
      <c r="J5394" s="28">
        <f>IFERROR(VLOOKUP(TEXT(B5394,"0"),STOCK!A:H,7,0),1)</f>
        <v>1</v>
      </c>
    </row>
    <row r="5395" spans="10:10" ht="35.450000000000003" hidden="1" customHeight="1">
      <c r="J5395" s="28">
        <f>IFERROR(VLOOKUP(TEXT(B5395,"0"),STOCK!A:H,7,0),1)</f>
        <v>1</v>
      </c>
    </row>
    <row r="5396" spans="10:10" ht="35.450000000000003" hidden="1" customHeight="1">
      <c r="J5396" s="28">
        <f>IFERROR(VLOOKUP(TEXT(B5396,"0"),STOCK!A:H,7,0),1)</f>
        <v>1</v>
      </c>
    </row>
    <row r="5397" spans="10:10" ht="35.450000000000003" hidden="1" customHeight="1">
      <c r="J5397" s="28">
        <f>IFERROR(VLOOKUP(TEXT(B5397,"0"),STOCK!A:H,7,0),1)</f>
        <v>1</v>
      </c>
    </row>
    <row r="5398" spans="10:10" ht="35.450000000000003" hidden="1" customHeight="1">
      <c r="J5398" s="28">
        <f>IFERROR(VLOOKUP(TEXT(B5398,"0"),STOCK!A:H,7,0),1)</f>
        <v>1</v>
      </c>
    </row>
    <row r="5399" spans="10:10" ht="35.450000000000003" hidden="1" customHeight="1">
      <c r="J5399" s="28">
        <f>IFERROR(VLOOKUP(TEXT(B5399,"0"),STOCK!A:H,7,0),1)</f>
        <v>1</v>
      </c>
    </row>
    <row r="5400" spans="10:10" ht="35.450000000000003" hidden="1" customHeight="1">
      <c r="J5400" s="28">
        <f>IFERROR(VLOOKUP(TEXT(B5400,"0"),STOCK!A:H,7,0),1)</f>
        <v>1</v>
      </c>
    </row>
    <row r="5401" spans="10:10" ht="35.450000000000003" hidden="1" customHeight="1">
      <c r="J5401" s="28">
        <f>IFERROR(VLOOKUP(TEXT(B5401,"0"),STOCK!A:H,7,0),1)</f>
        <v>1</v>
      </c>
    </row>
    <row r="5402" spans="10:10" ht="35.450000000000003" hidden="1" customHeight="1">
      <c r="J5402" s="28">
        <f>IFERROR(VLOOKUP(TEXT(B5402,"0"),STOCK!A:H,7,0),1)</f>
        <v>1</v>
      </c>
    </row>
    <row r="5403" spans="10:10" ht="35.450000000000003" hidden="1" customHeight="1">
      <c r="J5403" s="28">
        <f>IFERROR(VLOOKUP(TEXT(B5403,"0"),STOCK!A:H,7,0),1)</f>
        <v>1</v>
      </c>
    </row>
    <row r="5404" spans="10:10" ht="35.450000000000003" hidden="1" customHeight="1">
      <c r="J5404" s="28">
        <f>IFERROR(VLOOKUP(TEXT(B5404,"0"),STOCK!A:H,7,0),1)</f>
        <v>1</v>
      </c>
    </row>
    <row r="5405" spans="10:10" ht="35.450000000000003" hidden="1" customHeight="1">
      <c r="J5405" s="28">
        <f>IFERROR(VLOOKUP(TEXT(B5405,"0"),STOCK!A:H,7,0),1)</f>
        <v>1</v>
      </c>
    </row>
    <row r="5406" spans="10:10" ht="35.450000000000003" hidden="1" customHeight="1">
      <c r="J5406" s="28">
        <f>IFERROR(VLOOKUP(TEXT(B5406,"0"),STOCK!A:H,7,0),1)</f>
        <v>1</v>
      </c>
    </row>
    <row r="5407" spans="10:10" ht="35.450000000000003" hidden="1" customHeight="1">
      <c r="J5407" s="28">
        <f>IFERROR(VLOOKUP(TEXT(B5407,"0"),STOCK!A:H,7,0),1)</f>
        <v>1</v>
      </c>
    </row>
    <row r="5408" spans="10:10" ht="35.450000000000003" hidden="1" customHeight="1">
      <c r="J5408" s="28">
        <f>IFERROR(VLOOKUP(TEXT(B5408,"0"),STOCK!A:H,7,0),1)</f>
        <v>1</v>
      </c>
    </row>
    <row r="5409" spans="10:10" ht="35.450000000000003" hidden="1" customHeight="1">
      <c r="J5409" s="28">
        <f>IFERROR(VLOOKUP(TEXT(B5409,"0"),STOCK!A:H,7,0),1)</f>
        <v>1</v>
      </c>
    </row>
    <row r="5410" spans="10:10" ht="35.450000000000003" hidden="1" customHeight="1">
      <c r="J5410" s="28">
        <f>IFERROR(VLOOKUP(TEXT(B5410,"0"),STOCK!A:H,7,0),1)</f>
        <v>1</v>
      </c>
    </row>
    <row r="5411" spans="10:10" ht="35.450000000000003" hidden="1" customHeight="1">
      <c r="J5411" s="28">
        <f>IFERROR(VLOOKUP(TEXT(B5411,"0"),STOCK!A:H,7,0),1)</f>
        <v>1</v>
      </c>
    </row>
    <row r="5412" spans="10:10" ht="35.450000000000003" hidden="1" customHeight="1">
      <c r="J5412" s="28">
        <f>IFERROR(VLOOKUP(TEXT(B5412,"0"),STOCK!A:H,7,0),1)</f>
        <v>1</v>
      </c>
    </row>
    <row r="5413" spans="10:10" ht="35.450000000000003" hidden="1" customHeight="1">
      <c r="J5413" s="28">
        <f>IFERROR(VLOOKUP(TEXT(B5413,"0"),STOCK!A:H,7,0),1)</f>
        <v>1</v>
      </c>
    </row>
    <row r="5414" spans="10:10" ht="35.450000000000003" hidden="1" customHeight="1">
      <c r="J5414" s="28">
        <f>IFERROR(VLOOKUP(TEXT(B5414,"0"),STOCK!A:H,7,0),1)</f>
        <v>1</v>
      </c>
    </row>
    <row r="5415" spans="10:10" ht="35.450000000000003" hidden="1" customHeight="1">
      <c r="J5415" s="28">
        <f>IFERROR(VLOOKUP(TEXT(B5415,"0"),STOCK!A:H,7,0),1)</f>
        <v>1</v>
      </c>
    </row>
    <row r="5416" spans="10:10" ht="35.450000000000003" hidden="1" customHeight="1">
      <c r="J5416" s="28">
        <f>IFERROR(VLOOKUP(TEXT(B5416,"0"),STOCK!A:H,7,0),1)</f>
        <v>1</v>
      </c>
    </row>
    <row r="5417" spans="10:10" ht="35.450000000000003" hidden="1" customHeight="1">
      <c r="J5417" s="28">
        <f>IFERROR(VLOOKUP(TEXT(B5417,"0"),STOCK!A:H,7,0),1)</f>
        <v>1</v>
      </c>
    </row>
    <row r="5418" spans="10:10" ht="35.450000000000003" hidden="1" customHeight="1">
      <c r="J5418" s="28">
        <f>IFERROR(VLOOKUP(TEXT(B5418,"0"),STOCK!A:H,7,0),1)</f>
        <v>1</v>
      </c>
    </row>
    <row r="5419" spans="10:10" ht="35.450000000000003" hidden="1" customHeight="1">
      <c r="J5419" s="28">
        <f>IFERROR(VLOOKUP(TEXT(B5419,"0"),STOCK!A:H,7,0),1)</f>
        <v>1</v>
      </c>
    </row>
    <row r="5420" spans="10:10" ht="35.450000000000003" hidden="1" customHeight="1">
      <c r="J5420" s="28">
        <f>IFERROR(VLOOKUP(TEXT(B5420,"0"),STOCK!A:H,7,0),1)</f>
        <v>1</v>
      </c>
    </row>
    <row r="5421" spans="10:10" ht="35.450000000000003" hidden="1" customHeight="1">
      <c r="J5421" s="28">
        <f>IFERROR(VLOOKUP(TEXT(B5421,"0"),STOCK!A:H,7,0),1)</f>
        <v>1</v>
      </c>
    </row>
    <row r="5422" spans="10:10" ht="35.450000000000003" hidden="1" customHeight="1">
      <c r="J5422" s="28">
        <f>IFERROR(VLOOKUP(TEXT(B5422,"0"),STOCK!A:H,7,0),1)</f>
        <v>1</v>
      </c>
    </row>
    <row r="5423" spans="10:10" ht="35.450000000000003" hidden="1" customHeight="1">
      <c r="J5423" s="28">
        <f>IFERROR(VLOOKUP(TEXT(B5423,"0"),STOCK!A:H,7,0),1)</f>
        <v>1</v>
      </c>
    </row>
    <row r="5424" spans="10:10" ht="35.450000000000003" hidden="1" customHeight="1">
      <c r="J5424" s="28">
        <f>IFERROR(VLOOKUP(TEXT(B5424,"0"),STOCK!A:H,7,0),1)</f>
        <v>1</v>
      </c>
    </row>
    <row r="5425" spans="10:10" ht="35.450000000000003" hidden="1" customHeight="1">
      <c r="J5425" s="28">
        <f>IFERROR(VLOOKUP(TEXT(B5425,"0"),STOCK!A:H,7,0),1)</f>
        <v>1</v>
      </c>
    </row>
    <row r="5426" spans="10:10" ht="35.450000000000003" hidden="1" customHeight="1">
      <c r="J5426" s="28">
        <f>IFERROR(VLOOKUP(TEXT(B5426,"0"),STOCK!A:H,7,0),1)</f>
        <v>1</v>
      </c>
    </row>
    <row r="5427" spans="10:10" ht="35.450000000000003" hidden="1" customHeight="1">
      <c r="J5427" s="28">
        <f>IFERROR(VLOOKUP(TEXT(B5427,"0"),STOCK!A:H,7,0),1)</f>
        <v>1</v>
      </c>
    </row>
    <row r="5428" spans="10:10" ht="35.450000000000003" hidden="1" customHeight="1">
      <c r="J5428" s="28">
        <f>IFERROR(VLOOKUP(TEXT(B5428,"0"),STOCK!A:H,7,0),1)</f>
        <v>1</v>
      </c>
    </row>
    <row r="5429" spans="10:10" ht="35.450000000000003" hidden="1" customHeight="1">
      <c r="J5429" s="28">
        <f>IFERROR(VLOOKUP(TEXT(B5429,"0"),STOCK!A:H,7,0),1)</f>
        <v>1</v>
      </c>
    </row>
    <row r="5430" spans="10:10" ht="35.450000000000003" hidden="1" customHeight="1">
      <c r="J5430" s="28">
        <f>IFERROR(VLOOKUP(TEXT(B5430,"0"),STOCK!A:H,7,0),1)</f>
        <v>1</v>
      </c>
    </row>
    <row r="5431" spans="10:10" ht="35.450000000000003" hidden="1" customHeight="1">
      <c r="J5431" s="28">
        <f>IFERROR(VLOOKUP(TEXT(B5431,"0"),STOCK!A:H,7,0),1)</f>
        <v>1</v>
      </c>
    </row>
    <row r="5432" spans="10:10" ht="35.450000000000003" hidden="1" customHeight="1">
      <c r="J5432" s="28">
        <f>IFERROR(VLOOKUP(TEXT(B5432,"0"),STOCK!A:H,7,0),1)</f>
        <v>1</v>
      </c>
    </row>
    <row r="5433" spans="10:10" ht="35.450000000000003" hidden="1" customHeight="1">
      <c r="J5433" s="28">
        <f>IFERROR(VLOOKUP(TEXT(B5433,"0"),STOCK!A:H,7,0),1)</f>
        <v>1</v>
      </c>
    </row>
    <row r="5434" spans="10:10" ht="35.450000000000003" hidden="1" customHeight="1">
      <c r="J5434" s="28">
        <f>IFERROR(VLOOKUP(TEXT(B5434,"0"),STOCK!A:H,7,0),1)</f>
        <v>1</v>
      </c>
    </row>
    <row r="5435" spans="10:10" ht="35.450000000000003" hidden="1" customHeight="1">
      <c r="J5435" s="28">
        <f>IFERROR(VLOOKUP(TEXT(B5435,"0"),STOCK!A:H,7,0),1)</f>
        <v>1</v>
      </c>
    </row>
    <row r="5436" spans="10:10" ht="35.450000000000003" hidden="1" customHeight="1">
      <c r="J5436" s="28">
        <f>IFERROR(VLOOKUP(TEXT(B5436,"0"),STOCK!A:H,7,0),1)</f>
        <v>1</v>
      </c>
    </row>
    <row r="5437" spans="10:10" ht="35.450000000000003" hidden="1" customHeight="1">
      <c r="J5437" s="28">
        <f>IFERROR(VLOOKUP(TEXT(B5437,"0"),STOCK!A:H,7,0),1)</f>
        <v>1</v>
      </c>
    </row>
    <row r="5438" spans="10:10" ht="35.450000000000003" hidden="1" customHeight="1">
      <c r="J5438" s="28">
        <f>IFERROR(VLOOKUP(TEXT(B5438,"0"),STOCK!A:H,7,0),1)</f>
        <v>1</v>
      </c>
    </row>
    <row r="5439" spans="10:10" ht="35.450000000000003" hidden="1" customHeight="1">
      <c r="J5439" s="28">
        <f>IFERROR(VLOOKUP(TEXT(B5439,"0"),STOCK!A:H,7,0),1)</f>
        <v>1</v>
      </c>
    </row>
    <row r="5440" spans="10:10" ht="35.450000000000003" hidden="1" customHeight="1">
      <c r="J5440" s="28">
        <f>IFERROR(VLOOKUP(TEXT(B5440,"0"),STOCK!A:H,7,0),1)</f>
        <v>1</v>
      </c>
    </row>
    <row r="5441" spans="10:10" ht="35.450000000000003" hidden="1" customHeight="1">
      <c r="J5441" s="28">
        <f>IFERROR(VLOOKUP(TEXT(B5441,"0"),STOCK!A:H,7,0),1)</f>
        <v>1</v>
      </c>
    </row>
    <row r="5442" spans="10:10" ht="35.450000000000003" hidden="1" customHeight="1">
      <c r="J5442" s="28">
        <f>IFERROR(VLOOKUP(TEXT(B5442,"0"),STOCK!A:H,7,0),1)</f>
        <v>1</v>
      </c>
    </row>
    <row r="5443" spans="10:10" ht="35.450000000000003" hidden="1" customHeight="1">
      <c r="J5443" s="28">
        <f>IFERROR(VLOOKUP(TEXT(B5443,"0"),STOCK!A:H,7,0),1)</f>
        <v>1</v>
      </c>
    </row>
    <row r="5444" spans="10:10" ht="35.450000000000003" hidden="1" customHeight="1">
      <c r="J5444" s="28">
        <f>IFERROR(VLOOKUP(TEXT(B5444,"0"),STOCK!A:H,7,0),1)</f>
        <v>1</v>
      </c>
    </row>
    <row r="5445" spans="10:10" ht="35.450000000000003" hidden="1" customHeight="1">
      <c r="J5445" s="28">
        <f>IFERROR(VLOOKUP(TEXT(B5445,"0"),STOCK!A:H,7,0),1)</f>
        <v>1</v>
      </c>
    </row>
    <row r="5446" spans="10:10" ht="35.450000000000003" hidden="1" customHeight="1">
      <c r="J5446" s="28">
        <f>IFERROR(VLOOKUP(TEXT(B5446,"0"),STOCK!A:H,7,0),1)</f>
        <v>1</v>
      </c>
    </row>
    <row r="5447" spans="10:10" ht="35.450000000000003" hidden="1" customHeight="1">
      <c r="J5447" s="28">
        <f>IFERROR(VLOOKUP(TEXT(B5447,"0"),STOCK!A:H,7,0),1)</f>
        <v>1</v>
      </c>
    </row>
    <row r="5448" spans="10:10" ht="35.450000000000003" hidden="1" customHeight="1">
      <c r="J5448" s="28">
        <f>IFERROR(VLOOKUP(TEXT(B5448,"0"),STOCK!A:H,7,0),1)</f>
        <v>1</v>
      </c>
    </row>
    <row r="5449" spans="10:10" ht="35.450000000000003" hidden="1" customHeight="1">
      <c r="J5449" s="28">
        <f>IFERROR(VLOOKUP(TEXT(B5449,"0"),STOCK!A:H,7,0),1)</f>
        <v>1</v>
      </c>
    </row>
    <row r="5450" spans="10:10" ht="35.450000000000003" hidden="1" customHeight="1">
      <c r="J5450" s="28">
        <f>IFERROR(VLOOKUP(TEXT(B5450,"0"),STOCK!A:H,7,0),1)</f>
        <v>1</v>
      </c>
    </row>
    <row r="5451" spans="10:10" ht="35.450000000000003" hidden="1" customHeight="1">
      <c r="J5451" s="28">
        <f>IFERROR(VLOOKUP(TEXT(B5451,"0"),STOCK!A:H,7,0),1)</f>
        <v>1</v>
      </c>
    </row>
    <row r="5452" spans="10:10" ht="35.450000000000003" hidden="1" customHeight="1">
      <c r="J5452" s="28">
        <f>IFERROR(VLOOKUP(TEXT(B5452,"0"),STOCK!A:H,7,0),1)</f>
        <v>1</v>
      </c>
    </row>
    <row r="5453" spans="10:10" ht="35.450000000000003" hidden="1" customHeight="1">
      <c r="J5453" s="28">
        <f>IFERROR(VLOOKUP(TEXT(B5453,"0"),STOCK!A:H,7,0),1)</f>
        <v>1</v>
      </c>
    </row>
    <row r="5454" spans="10:10" ht="35.450000000000003" hidden="1" customHeight="1">
      <c r="J5454" s="28">
        <f>IFERROR(VLOOKUP(TEXT(B5454,"0"),STOCK!A:H,7,0),1)</f>
        <v>1</v>
      </c>
    </row>
    <row r="5455" spans="10:10" ht="35.450000000000003" hidden="1" customHeight="1">
      <c r="J5455" s="28">
        <f>IFERROR(VLOOKUP(TEXT(B5455,"0"),STOCK!A:H,7,0),1)</f>
        <v>1</v>
      </c>
    </row>
    <row r="5456" spans="10:10" ht="35.450000000000003" hidden="1" customHeight="1">
      <c r="J5456" s="28">
        <f>IFERROR(VLOOKUP(TEXT(B5456,"0"),STOCK!A:H,7,0),1)</f>
        <v>1</v>
      </c>
    </row>
    <row r="5457" spans="10:10" ht="35.450000000000003" hidden="1" customHeight="1">
      <c r="J5457" s="28">
        <f>IFERROR(VLOOKUP(TEXT(B5457,"0"),STOCK!A:H,7,0),1)</f>
        <v>1</v>
      </c>
    </row>
    <row r="5458" spans="10:10" ht="35.450000000000003" hidden="1" customHeight="1">
      <c r="J5458" s="28">
        <f>IFERROR(VLOOKUP(TEXT(B5458,"0"),STOCK!A:H,7,0),1)</f>
        <v>1</v>
      </c>
    </row>
    <row r="5459" spans="10:10" ht="35.450000000000003" hidden="1" customHeight="1">
      <c r="J5459" s="28">
        <f>IFERROR(VLOOKUP(TEXT(B5459,"0"),STOCK!A:H,7,0),1)</f>
        <v>1</v>
      </c>
    </row>
    <row r="5460" spans="10:10" ht="35.450000000000003" hidden="1" customHeight="1">
      <c r="J5460" s="28">
        <f>IFERROR(VLOOKUP(TEXT(B5460,"0"),STOCK!A:H,7,0),1)</f>
        <v>1</v>
      </c>
    </row>
    <row r="5461" spans="10:10" ht="35.450000000000003" hidden="1" customHeight="1">
      <c r="J5461" s="28">
        <f>IFERROR(VLOOKUP(TEXT(B5461,"0"),STOCK!A:H,7,0),1)</f>
        <v>1</v>
      </c>
    </row>
    <row r="5462" spans="10:10" ht="35.450000000000003" hidden="1" customHeight="1">
      <c r="J5462" s="28">
        <f>IFERROR(VLOOKUP(TEXT(B5462,"0"),STOCK!A:H,7,0),1)</f>
        <v>1</v>
      </c>
    </row>
    <row r="5463" spans="10:10" ht="35.450000000000003" hidden="1" customHeight="1">
      <c r="J5463" s="28">
        <f>IFERROR(VLOOKUP(TEXT(B5463,"0"),STOCK!A:H,7,0),1)</f>
        <v>1</v>
      </c>
    </row>
    <row r="5464" spans="10:10" ht="35.450000000000003" hidden="1" customHeight="1">
      <c r="J5464" s="28">
        <f>IFERROR(VLOOKUP(TEXT(B5464,"0"),STOCK!A:H,7,0),1)</f>
        <v>1</v>
      </c>
    </row>
    <row r="5465" spans="10:10" ht="35.450000000000003" hidden="1" customHeight="1">
      <c r="J5465" s="28">
        <f>IFERROR(VLOOKUP(TEXT(B5465,"0"),STOCK!A:H,7,0),1)</f>
        <v>1</v>
      </c>
    </row>
    <row r="5466" spans="10:10" ht="35.450000000000003" hidden="1" customHeight="1">
      <c r="J5466" s="28">
        <f>IFERROR(VLOOKUP(TEXT(B5466,"0"),STOCK!A:H,7,0),1)</f>
        <v>1</v>
      </c>
    </row>
    <row r="5467" spans="10:10" ht="35.450000000000003" hidden="1" customHeight="1">
      <c r="J5467" s="28">
        <f>IFERROR(VLOOKUP(TEXT(B5467,"0"),STOCK!A:H,7,0),1)</f>
        <v>1</v>
      </c>
    </row>
    <row r="5468" spans="10:10" ht="35.450000000000003" hidden="1" customHeight="1">
      <c r="J5468" s="28">
        <f>IFERROR(VLOOKUP(TEXT(B5468,"0"),STOCK!A:H,7,0),1)</f>
        <v>1</v>
      </c>
    </row>
    <row r="5469" spans="10:10" ht="35.450000000000003" hidden="1" customHeight="1">
      <c r="J5469" s="28">
        <f>IFERROR(VLOOKUP(TEXT(B5469,"0"),STOCK!A:H,7,0),1)</f>
        <v>1</v>
      </c>
    </row>
    <row r="5470" spans="10:10" ht="35.450000000000003" hidden="1" customHeight="1">
      <c r="J5470" s="28">
        <f>IFERROR(VLOOKUP(TEXT(B5470,"0"),STOCK!A:H,7,0),1)</f>
        <v>1</v>
      </c>
    </row>
    <row r="5471" spans="10:10" ht="35.450000000000003" hidden="1" customHeight="1">
      <c r="J5471" s="28">
        <f>IFERROR(VLOOKUP(TEXT(B5471,"0"),STOCK!A:H,7,0),1)</f>
        <v>1</v>
      </c>
    </row>
    <row r="5472" spans="10:10" ht="35.450000000000003" hidden="1" customHeight="1">
      <c r="J5472" s="28">
        <f>IFERROR(VLOOKUP(TEXT(B5472,"0"),STOCK!A:H,7,0),1)</f>
        <v>1</v>
      </c>
    </row>
    <row r="5473" spans="10:10" ht="35.450000000000003" hidden="1" customHeight="1">
      <c r="J5473" s="28">
        <f>IFERROR(VLOOKUP(TEXT(B5473,"0"),STOCK!A:H,7,0),1)</f>
        <v>1</v>
      </c>
    </row>
    <row r="5474" spans="10:10" ht="35.450000000000003" hidden="1" customHeight="1">
      <c r="J5474" s="28">
        <f>IFERROR(VLOOKUP(TEXT(B5474,"0"),STOCK!A:H,7,0),1)</f>
        <v>1</v>
      </c>
    </row>
    <row r="5475" spans="10:10" ht="35.450000000000003" hidden="1" customHeight="1">
      <c r="J5475" s="28">
        <f>IFERROR(VLOOKUP(TEXT(B5475,"0"),STOCK!A:H,7,0),1)</f>
        <v>1</v>
      </c>
    </row>
    <row r="5476" spans="10:10" ht="35.450000000000003" hidden="1" customHeight="1">
      <c r="J5476" s="28">
        <f>IFERROR(VLOOKUP(TEXT(B5476,"0"),STOCK!A:H,7,0),1)</f>
        <v>1</v>
      </c>
    </row>
    <row r="5477" spans="10:10" ht="35.450000000000003" hidden="1" customHeight="1">
      <c r="J5477" s="28">
        <f>IFERROR(VLOOKUP(TEXT(B5477,"0"),STOCK!A:H,7,0),1)</f>
        <v>1</v>
      </c>
    </row>
    <row r="5478" spans="10:10" ht="35.450000000000003" hidden="1" customHeight="1">
      <c r="J5478" s="28">
        <f>IFERROR(VLOOKUP(TEXT(B5478,"0"),STOCK!A:H,7,0),1)</f>
        <v>1</v>
      </c>
    </row>
    <row r="5479" spans="10:10" ht="35.450000000000003" hidden="1" customHeight="1">
      <c r="J5479" s="28">
        <f>IFERROR(VLOOKUP(TEXT(B5479,"0"),STOCK!A:H,7,0),1)</f>
        <v>1</v>
      </c>
    </row>
    <row r="5480" spans="10:10" ht="35.450000000000003" hidden="1" customHeight="1">
      <c r="J5480" s="28">
        <f>IFERROR(VLOOKUP(TEXT(B5480,"0"),STOCK!A:H,7,0),1)</f>
        <v>1</v>
      </c>
    </row>
    <row r="5481" spans="10:10" ht="35.450000000000003" hidden="1" customHeight="1">
      <c r="J5481" s="28">
        <f>IFERROR(VLOOKUP(TEXT(B5481,"0"),STOCK!A:H,7,0),1)</f>
        <v>1</v>
      </c>
    </row>
    <row r="5482" spans="10:10" ht="35.450000000000003" hidden="1" customHeight="1">
      <c r="J5482" s="28">
        <f>IFERROR(VLOOKUP(TEXT(B5482,"0"),STOCK!A:H,7,0),1)</f>
        <v>1</v>
      </c>
    </row>
    <row r="5483" spans="10:10" ht="35.450000000000003" hidden="1" customHeight="1">
      <c r="J5483" s="28">
        <f>IFERROR(VLOOKUP(TEXT(B5483,"0"),STOCK!A:H,7,0),1)</f>
        <v>1</v>
      </c>
    </row>
    <row r="5484" spans="10:10" ht="35.450000000000003" hidden="1" customHeight="1">
      <c r="J5484" s="28">
        <f>IFERROR(VLOOKUP(TEXT(B5484,"0"),STOCK!A:H,7,0),1)</f>
        <v>1</v>
      </c>
    </row>
    <row r="5485" spans="10:10" ht="35.450000000000003" hidden="1" customHeight="1">
      <c r="J5485" s="28">
        <f>IFERROR(VLOOKUP(TEXT(B5485,"0"),STOCK!A:H,7,0),1)</f>
        <v>1</v>
      </c>
    </row>
    <row r="5486" spans="10:10" ht="35.450000000000003" hidden="1" customHeight="1">
      <c r="J5486" s="28">
        <f>IFERROR(VLOOKUP(TEXT(B5486,"0"),STOCK!A:H,7,0),1)</f>
        <v>1</v>
      </c>
    </row>
    <row r="5487" spans="10:10" ht="35.450000000000003" hidden="1" customHeight="1">
      <c r="J5487" s="28">
        <f>IFERROR(VLOOKUP(TEXT(B5487,"0"),STOCK!A:H,7,0),1)</f>
        <v>1</v>
      </c>
    </row>
    <row r="5488" spans="10:10" ht="35.450000000000003" hidden="1" customHeight="1">
      <c r="J5488" s="28">
        <f>IFERROR(VLOOKUP(TEXT(B5488,"0"),STOCK!A:H,7,0),1)</f>
        <v>1</v>
      </c>
    </row>
    <row r="5489" spans="10:10" ht="35.450000000000003" hidden="1" customHeight="1">
      <c r="J5489" s="28">
        <f>IFERROR(VLOOKUP(TEXT(B5489,"0"),STOCK!A:H,7,0),1)</f>
        <v>1</v>
      </c>
    </row>
    <row r="5490" spans="10:10" ht="35.450000000000003" hidden="1" customHeight="1">
      <c r="J5490" s="28">
        <f>IFERROR(VLOOKUP(TEXT(B5490,"0"),STOCK!A:H,7,0),1)</f>
        <v>1</v>
      </c>
    </row>
    <row r="5491" spans="10:10" ht="35.450000000000003" hidden="1" customHeight="1">
      <c r="J5491" s="28">
        <f>IFERROR(VLOOKUP(TEXT(B5491,"0"),STOCK!A:H,7,0),1)</f>
        <v>1</v>
      </c>
    </row>
    <row r="5492" spans="10:10" ht="35.450000000000003" hidden="1" customHeight="1">
      <c r="J5492" s="28">
        <f>IFERROR(VLOOKUP(TEXT(B5492,"0"),STOCK!A:H,7,0),1)</f>
        <v>1</v>
      </c>
    </row>
    <row r="5493" spans="10:10" ht="35.450000000000003" hidden="1" customHeight="1">
      <c r="J5493" s="28">
        <f>IFERROR(VLOOKUP(TEXT(B5493,"0"),STOCK!A:H,7,0),1)</f>
        <v>1</v>
      </c>
    </row>
    <row r="5494" spans="10:10" ht="35.450000000000003" hidden="1" customHeight="1">
      <c r="J5494" s="28">
        <f>IFERROR(VLOOKUP(TEXT(B5494,"0"),STOCK!A:H,7,0),1)</f>
        <v>1</v>
      </c>
    </row>
    <row r="5495" spans="10:10" ht="35.450000000000003" hidden="1" customHeight="1">
      <c r="J5495" s="28">
        <f>IFERROR(VLOOKUP(TEXT(B5495,"0"),STOCK!A:H,7,0),1)</f>
        <v>1</v>
      </c>
    </row>
    <row r="5496" spans="10:10" ht="35.450000000000003" hidden="1" customHeight="1">
      <c r="J5496" s="28">
        <f>IFERROR(VLOOKUP(TEXT(B5496,"0"),STOCK!A:H,7,0),1)</f>
        <v>1</v>
      </c>
    </row>
    <row r="5497" spans="10:10" ht="35.450000000000003" hidden="1" customHeight="1">
      <c r="J5497" s="28">
        <f>IFERROR(VLOOKUP(TEXT(B5497,"0"),STOCK!A:H,7,0),1)</f>
        <v>1</v>
      </c>
    </row>
    <row r="5498" spans="10:10" ht="35.450000000000003" hidden="1" customHeight="1">
      <c r="J5498" s="28">
        <f>IFERROR(VLOOKUP(TEXT(B5498,"0"),STOCK!A:H,7,0),1)</f>
        <v>1</v>
      </c>
    </row>
    <row r="5499" spans="10:10" ht="35.450000000000003" hidden="1" customHeight="1">
      <c r="J5499" s="28">
        <f>IFERROR(VLOOKUP(TEXT(B5499,"0"),STOCK!A:H,7,0),1)</f>
        <v>1</v>
      </c>
    </row>
    <row r="5500" spans="10:10" ht="35.450000000000003" hidden="1" customHeight="1">
      <c r="J5500" s="28">
        <f>IFERROR(VLOOKUP(TEXT(B5500,"0"),STOCK!A:H,7,0),1)</f>
        <v>1</v>
      </c>
    </row>
    <row r="5501" spans="10:10" ht="35.450000000000003" hidden="1" customHeight="1">
      <c r="J5501" s="28">
        <f>IFERROR(VLOOKUP(TEXT(B5501,"0"),STOCK!A:H,7,0),1)</f>
        <v>1</v>
      </c>
    </row>
    <row r="5502" spans="10:10" ht="35.450000000000003" hidden="1" customHeight="1">
      <c r="J5502" s="28">
        <f>IFERROR(VLOOKUP(TEXT(B5502,"0"),STOCK!A:H,7,0),1)</f>
        <v>1</v>
      </c>
    </row>
    <row r="5503" spans="10:10" ht="35.450000000000003" hidden="1" customHeight="1">
      <c r="J5503" s="28">
        <f>IFERROR(VLOOKUP(TEXT(B5503,"0"),STOCK!A:H,7,0),1)</f>
        <v>1</v>
      </c>
    </row>
    <row r="5504" spans="10:10" ht="35.450000000000003" hidden="1" customHeight="1">
      <c r="J5504" s="28">
        <f>IFERROR(VLOOKUP(TEXT(B5504,"0"),STOCK!A:H,7,0),1)</f>
        <v>1</v>
      </c>
    </row>
    <row r="5505" spans="10:10" ht="35.450000000000003" hidden="1" customHeight="1">
      <c r="J5505" s="28">
        <f>IFERROR(VLOOKUP(TEXT(B5505,"0"),STOCK!A:H,7,0),1)</f>
        <v>1</v>
      </c>
    </row>
    <row r="5506" spans="10:10" ht="35.450000000000003" hidden="1" customHeight="1">
      <c r="J5506" s="28">
        <f>IFERROR(VLOOKUP(TEXT(B5506,"0"),STOCK!A:H,7,0),1)</f>
        <v>1</v>
      </c>
    </row>
    <row r="5507" spans="10:10" ht="35.450000000000003" hidden="1" customHeight="1">
      <c r="J5507" s="28">
        <f>IFERROR(VLOOKUP(TEXT(B5507,"0"),STOCK!A:H,7,0),1)</f>
        <v>1</v>
      </c>
    </row>
    <row r="5508" spans="10:10" ht="35.450000000000003" hidden="1" customHeight="1">
      <c r="J5508" s="28">
        <f>IFERROR(VLOOKUP(TEXT(B5508,"0"),STOCK!A:H,7,0),1)</f>
        <v>1</v>
      </c>
    </row>
    <row r="5509" spans="10:10" ht="35.450000000000003" hidden="1" customHeight="1">
      <c r="J5509" s="28">
        <f>IFERROR(VLOOKUP(TEXT(B5509,"0"),STOCK!A:H,7,0),1)</f>
        <v>1</v>
      </c>
    </row>
    <row r="5510" spans="10:10" ht="35.450000000000003" hidden="1" customHeight="1">
      <c r="J5510" s="28">
        <f>IFERROR(VLOOKUP(TEXT(B5510,"0"),STOCK!A:H,7,0),1)</f>
        <v>1</v>
      </c>
    </row>
    <row r="5511" spans="10:10" ht="35.450000000000003" hidden="1" customHeight="1">
      <c r="J5511" s="28">
        <f>IFERROR(VLOOKUP(TEXT(B5511,"0"),STOCK!A:H,7,0),1)</f>
        <v>1</v>
      </c>
    </row>
    <row r="5512" spans="10:10" ht="35.450000000000003" hidden="1" customHeight="1">
      <c r="J5512" s="28">
        <f>IFERROR(VLOOKUP(TEXT(B5512,"0"),STOCK!A:H,7,0),1)</f>
        <v>1</v>
      </c>
    </row>
    <row r="5513" spans="10:10" ht="35.450000000000003" hidden="1" customHeight="1">
      <c r="J5513" s="28">
        <f>IFERROR(VLOOKUP(TEXT(B5513,"0"),STOCK!A:H,7,0),1)</f>
        <v>1</v>
      </c>
    </row>
    <row r="5514" spans="10:10" ht="35.450000000000003" hidden="1" customHeight="1">
      <c r="J5514" s="28">
        <f>IFERROR(VLOOKUP(TEXT(B5514,"0"),STOCK!A:H,7,0),1)</f>
        <v>1</v>
      </c>
    </row>
    <row r="5515" spans="10:10" ht="35.450000000000003" hidden="1" customHeight="1">
      <c r="J5515" s="28">
        <f>IFERROR(VLOOKUP(TEXT(B5515,"0"),STOCK!A:H,7,0),1)</f>
        <v>1</v>
      </c>
    </row>
    <row r="5516" spans="10:10" ht="35.450000000000003" hidden="1" customHeight="1">
      <c r="J5516" s="28">
        <f>IFERROR(VLOOKUP(TEXT(B5516,"0"),STOCK!A:H,7,0),1)</f>
        <v>1</v>
      </c>
    </row>
    <row r="5517" spans="10:10" ht="35.450000000000003" hidden="1" customHeight="1">
      <c r="J5517" s="28">
        <f>IFERROR(VLOOKUP(TEXT(B5517,"0"),STOCK!A:H,7,0),1)</f>
        <v>1</v>
      </c>
    </row>
    <row r="5518" spans="10:10" ht="35.450000000000003" hidden="1" customHeight="1">
      <c r="J5518" s="28">
        <f>IFERROR(VLOOKUP(TEXT(B5518,"0"),STOCK!A:H,7,0),1)</f>
        <v>1</v>
      </c>
    </row>
    <row r="5519" spans="10:10" ht="35.450000000000003" hidden="1" customHeight="1">
      <c r="J5519" s="28">
        <f>IFERROR(VLOOKUP(TEXT(B5519,"0"),STOCK!A:H,7,0),1)</f>
        <v>1</v>
      </c>
    </row>
    <row r="5520" spans="10:10" ht="35.450000000000003" hidden="1" customHeight="1">
      <c r="J5520" s="28">
        <f>IFERROR(VLOOKUP(TEXT(B5520,"0"),STOCK!A:H,7,0),1)</f>
        <v>1</v>
      </c>
    </row>
    <row r="5521" spans="10:10" ht="35.450000000000003" hidden="1" customHeight="1">
      <c r="J5521" s="28">
        <f>IFERROR(VLOOKUP(TEXT(B5521,"0"),STOCK!A:H,7,0),1)</f>
        <v>1</v>
      </c>
    </row>
    <row r="5522" spans="10:10" ht="35.450000000000003" hidden="1" customHeight="1">
      <c r="J5522" s="28">
        <f>IFERROR(VLOOKUP(TEXT(B5522,"0"),STOCK!A:H,7,0),1)</f>
        <v>1</v>
      </c>
    </row>
    <row r="5523" spans="10:10" ht="35.450000000000003" hidden="1" customHeight="1">
      <c r="J5523" s="28">
        <f>IFERROR(VLOOKUP(TEXT(B5523,"0"),STOCK!A:H,7,0),1)</f>
        <v>1</v>
      </c>
    </row>
    <row r="5524" spans="10:10" ht="35.450000000000003" hidden="1" customHeight="1">
      <c r="J5524" s="28">
        <f>IFERROR(VLOOKUP(TEXT(B5524,"0"),STOCK!A:H,7,0),1)</f>
        <v>1</v>
      </c>
    </row>
    <row r="5525" spans="10:10" ht="35.450000000000003" hidden="1" customHeight="1">
      <c r="J5525" s="28">
        <f>IFERROR(VLOOKUP(TEXT(B5525,"0"),STOCK!A:H,7,0),1)</f>
        <v>1</v>
      </c>
    </row>
    <row r="5526" spans="10:10" ht="35.450000000000003" hidden="1" customHeight="1">
      <c r="J5526" s="28">
        <f>IFERROR(VLOOKUP(TEXT(B5526,"0"),STOCK!A:H,7,0),1)</f>
        <v>1</v>
      </c>
    </row>
    <row r="5527" spans="10:10" ht="35.450000000000003" hidden="1" customHeight="1">
      <c r="J5527" s="28">
        <f>IFERROR(VLOOKUP(TEXT(B5527,"0"),STOCK!A:H,7,0),1)</f>
        <v>1</v>
      </c>
    </row>
    <row r="5528" spans="10:10" ht="35.450000000000003" hidden="1" customHeight="1">
      <c r="J5528" s="28">
        <f>IFERROR(VLOOKUP(TEXT(B5528,"0"),STOCK!A:H,7,0),1)</f>
        <v>1</v>
      </c>
    </row>
    <row r="5529" spans="10:10" ht="35.450000000000003" hidden="1" customHeight="1">
      <c r="J5529" s="28">
        <f>IFERROR(VLOOKUP(TEXT(B5529,"0"),STOCK!A:H,7,0),1)</f>
        <v>1</v>
      </c>
    </row>
    <row r="5530" spans="10:10" ht="35.450000000000003" hidden="1" customHeight="1">
      <c r="J5530" s="28">
        <f>IFERROR(VLOOKUP(TEXT(B5530,"0"),STOCK!A:H,7,0),1)</f>
        <v>1</v>
      </c>
    </row>
    <row r="5531" spans="10:10" ht="35.450000000000003" hidden="1" customHeight="1">
      <c r="J5531" s="28">
        <f>IFERROR(VLOOKUP(TEXT(B5531,"0"),STOCK!A:H,7,0),1)</f>
        <v>1</v>
      </c>
    </row>
    <row r="5532" spans="10:10" ht="35.450000000000003" hidden="1" customHeight="1">
      <c r="J5532" s="28">
        <f>IFERROR(VLOOKUP(TEXT(B5532,"0"),STOCK!A:H,7,0),1)</f>
        <v>1</v>
      </c>
    </row>
    <row r="5533" spans="10:10" ht="35.450000000000003" hidden="1" customHeight="1">
      <c r="J5533" s="28">
        <f>IFERROR(VLOOKUP(TEXT(B5533,"0"),STOCK!A:H,7,0),1)</f>
        <v>1</v>
      </c>
    </row>
    <row r="5534" spans="10:10" ht="35.450000000000003" hidden="1" customHeight="1">
      <c r="J5534" s="28">
        <f>IFERROR(VLOOKUP(TEXT(B5534,"0"),STOCK!A:H,7,0),1)</f>
        <v>1</v>
      </c>
    </row>
    <row r="5535" spans="10:10" ht="35.450000000000003" hidden="1" customHeight="1">
      <c r="J5535" s="28">
        <f>IFERROR(VLOOKUP(TEXT(B5535,"0"),STOCK!A:H,7,0),1)</f>
        <v>1</v>
      </c>
    </row>
    <row r="5536" spans="10:10" ht="35.450000000000003" hidden="1" customHeight="1">
      <c r="J5536" s="28">
        <f>IFERROR(VLOOKUP(TEXT(B5536,"0"),STOCK!A:H,7,0),1)</f>
        <v>1</v>
      </c>
    </row>
    <row r="5537" spans="10:10" ht="35.450000000000003" hidden="1" customHeight="1">
      <c r="J5537" s="28">
        <f>IFERROR(VLOOKUP(TEXT(B5537,"0"),STOCK!A:H,7,0),1)</f>
        <v>1</v>
      </c>
    </row>
    <row r="5538" spans="10:10" ht="35.450000000000003" hidden="1" customHeight="1">
      <c r="J5538" s="28">
        <f>IFERROR(VLOOKUP(TEXT(B5538,"0"),STOCK!A:H,7,0),1)</f>
        <v>1</v>
      </c>
    </row>
    <row r="5539" spans="10:10" ht="35.450000000000003" hidden="1" customHeight="1">
      <c r="J5539" s="28">
        <f>IFERROR(VLOOKUP(TEXT(B5539,"0"),STOCK!A:H,7,0),1)</f>
        <v>1</v>
      </c>
    </row>
    <row r="5540" spans="10:10" ht="35.450000000000003" hidden="1" customHeight="1">
      <c r="J5540" s="28">
        <f>IFERROR(VLOOKUP(TEXT(B5540,"0"),STOCK!A:H,7,0),1)</f>
        <v>1</v>
      </c>
    </row>
    <row r="5541" spans="10:10" ht="35.450000000000003" hidden="1" customHeight="1">
      <c r="J5541" s="28">
        <f>IFERROR(VLOOKUP(TEXT(B5541,"0"),STOCK!A:H,7,0),1)</f>
        <v>1</v>
      </c>
    </row>
    <row r="5542" spans="10:10" ht="35.450000000000003" hidden="1" customHeight="1">
      <c r="J5542" s="28">
        <f>IFERROR(VLOOKUP(TEXT(B5542,"0"),STOCK!A:H,7,0),1)</f>
        <v>1</v>
      </c>
    </row>
    <row r="5543" spans="10:10" ht="35.450000000000003" hidden="1" customHeight="1">
      <c r="J5543" s="28">
        <f>IFERROR(VLOOKUP(TEXT(B5543,"0"),STOCK!A:H,7,0),1)</f>
        <v>1</v>
      </c>
    </row>
    <row r="5544" spans="10:10" ht="35.450000000000003" hidden="1" customHeight="1">
      <c r="J5544" s="28">
        <f>IFERROR(VLOOKUP(TEXT(B5544,"0"),STOCK!A:H,7,0),1)</f>
        <v>1</v>
      </c>
    </row>
    <row r="5545" spans="10:10" ht="35.450000000000003" hidden="1" customHeight="1">
      <c r="J5545" s="28">
        <f>IFERROR(VLOOKUP(TEXT(B5545,"0"),STOCK!A:H,7,0),1)</f>
        <v>1</v>
      </c>
    </row>
    <row r="5546" spans="10:10" ht="35.450000000000003" hidden="1" customHeight="1">
      <c r="J5546" s="28">
        <f>IFERROR(VLOOKUP(TEXT(B5546,"0"),STOCK!A:H,7,0),1)</f>
        <v>1</v>
      </c>
    </row>
    <row r="5547" spans="10:10" ht="35.450000000000003" hidden="1" customHeight="1">
      <c r="J5547" s="28">
        <f>IFERROR(VLOOKUP(TEXT(B5547,"0"),STOCK!A:H,7,0),1)</f>
        <v>1</v>
      </c>
    </row>
    <row r="5548" spans="10:10" ht="35.450000000000003" hidden="1" customHeight="1">
      <c r="J5548" s="28">
        <f>IFERROR(VLOOKUP(TEXT(B5548,"0"),STOCK!A:H,7,0),1)</f>
        <v>1</v>
      </c>
    </row>
    <row r="5549" spans="10:10" ht="35.450000000000003" hidden="1" customHeight="1">
      <c r="J5549" s="28">
        <f>IFERROR(VLOOKUP(TEXT(B5549,"0"),STOCK!A:H,7,0),1)</f>
        <v>1</v>
      </c>
    </row>
    <row r="5550" spans="10:10" ht="35.450000000000003" hidden="1" customHeight="1">
      <c r="J5550" s="28">
        <f>IFERROR(VLOOKUP(TEXT(B5550,"0"),STOCK!A:H,7,0),1)</f>
        <v>1</v>
      </c>
    </row>
    <row r="5551" spans="10:10" ht="35.450000000000003" hidden="1" customHeight="1">
      <c r="J5551" s="28">
        <f>IFERROR(VLOOKUP(TEXT(B5551,"0"),STOCK!A:H,7,0),1)</f>
        <v>1</v>
      </c>
    </row>
    <row r="5552" spans="10:10" ht="35.450000000000003" hidden="1" customHeight="1">
      <c r="J5552" s="28">
        <f>IFERROR(VLOOKUP(TEXT(B5552,"0"),STOCK!A:H,7,0),1)</f>
        <v>1</v>
      </c>
    </row>
    <row r="5553" spans="10:10" ht="35.450000000000003" hidden="1" customHeight="1">
      <c r="J5553" s="28">
        <f>IFERROR(VLOOKUP(TEXT(B5553,"0"),STOCK!A:H,7,0),1)</f>
        <v>1</v>
      </c>
    </row>
    <row r="5554" spans="10:10" ht="35.450000000000003" hidden="1" customHeight="1">
      <c r="J5554" s="28">
        <f>IFERROR(VLOOKUP(TEXT(B5554,"0"),STOCK!A:H,7,0),1)</f>
        <v>1</v>
      </c>
    </row>
    <row r="5555" spans="10:10" ht="35.450000000000003" hidden="1" customHeight="1">
      <c r="J5555" s="28">
        <f>IFERROR(VLOOKUP(TEXT(B5555,"0"),STOCK!A:H,7,0),1)</f>
        <v>1</v>
      </c>
    </row>
    <row r="5556" spans="10:10" ht="35.450000000000003" hidden="1" customHeight="1">
      <c r="J5556" s="28">
        <f>IFERROR(VLOOKUP(TEXT(B5556,"0"),STOCK!A:H,7,0),1)</f>
        <v>1</v>
      </c>
    </row>
    <row r="5557" spans="10:10" ht="35.450000000000003" hidden="1" customHeight="1">
      <c r="J5557" s="28">
        <f>IFERROR(VLOOKUP(TEXT(B5557,"0"),STOCK!A:H,7,0),1)</f>
        <v>1</v>
      </c>
    </row>
    <row r="5558" spans="10:10" ht="35.450000000000003" hidden="1" customHeight="1">
      <c r="J5558" s="28">
        <f>IFERROR(VLOOKUP(TEXT(B5558,"0"),STOCK!A:H,7,0),1)</f>
        <v>1</v>
      </c>
    </row>
    <row r="5559" spans="10:10" ht="35.450000000000003" hidden="1" customHeight="1">
      <c r="J5559" s="28">
        <f>IFERROR(VLOOKUP(TEXT(B5559,"0"),STOCK!A:H,7,0),1)</f>
        <v>1</v>
      </c>
    </row>
    <row r="5560" spans="10:10" ht="35.450000000000003" hidden="1" customHeight="1">
      <c r="J5560" s="28">
        <f>IFERROR(VLOOKUP(TEXT(B5560,"0"),STOCK!A:H,7,0),1)</f>
        <v>1</v>
      </c>
    </row>
    <row r="5561" spans="10:10" ht="35.450000000000003" hidden="1" customHeight="1">
      <c r="J5561" s="28">
        <f>IFERROR(VLOOKUP(TEXT(B5561,"0"),STOCK!A:H,7,0),1)</f>
        <v>1</v>
      </c>
    </row>
    <row r="5562" spans="10:10" ht="35.450000000000003" hidden="1" customHeight="1">
      <c r="J5562" s="28">
        <f>IFERROR(VLOOKUP(TEXT(B5562,"0"),STOCK!A:H,7,0),1)</f>
        <v>1</v>
      </c>
    </row>
    <row r="5563" spans="10:10" ht="35.450000000000003" hidden="1" customHeight="1">
      <c r="J5563" s="28">
        <f>IFERROR(VLOOKUP(TEXT(B5563,"0"),STOCK!A:H,7,0),1)</f>
        <v>1</v>
      </c>
    </row>
    <row r="5564" spans="10:10" ht="35.450000000000003" hidden="1" customHeight="1">
      <c r="J5564" s="28">
        <f>IFERROR(VLOOKUP(TEXT(B5564,"0"),STOCK!A:H,7,0),1)</f>
        <v>1</v>
      </c>
    </row>
    <row r="5565" spans="10:10" ht="35.450000000000003" hidden="1" customHeight="1">
      <c r="J5565" s="28">
        <f>IFERROR(VLOOKUP(TEXT(B5565,"0"),STOCK!A:H,7,0),1)</f>
        <v>1</v>
      </c>
    </row>
    <row r="5566" spans="10:10" ht="35.450000000000003" hidden="1" customHeight="1">
      <c r="J5566" s="28">
        <f>IFERROR(VLOOKUP(TEXT(B5566,"0"),STOCK!A:H,7,0),1)</f>
        <v>1</v>
      </c>
    </row>
    <row r="5567" spans="10:10" ht="35.450000000000003" hidden="1" customHeight="1">
      <c r="J5567" s="28">
        <f>IFERROR(VLOOKUP(TEXT(B5567,"0"),STOCK!A:H,7,0),1)</f>
        <v>1</v>
      </c>
    </row>
    <row r="5568" spans="10:10" ht="35.450000000000003" hidden="1" customHeight="1">
      <c r="J5568" s="28">
        <f>IFERROR(VLOOKUP(TEXT(B5568,"0"),STOCK!A:H,7,0),1)</f>
        <v>1</v>
      </c>
    </row>
    <row r="5569" spans="10:10" ht="35.450000000000003" hidden="1" customHeight="1">
      <c r="J5569" s="28">
        <f>IFERROR(VLOOKUP(TEXT(B5569,"0"),STOCK!A:H,7,0),1)</f>
        <v>1</v>
      </c>
    </row>
    <row r="5570" spans="10:10" ht="35.450000000000003" hidden="1" customHeight="1">
      <c r="J5570" s="28">
        <f>IFERROR(VLOOKUP(TEXT(B5570,"0"),STOCK!A:H,7,0),1)</f>
        <v>1</v>
      </c>
    </row>
    <row r="5571" spans="10:10" ht="35.450000000000003" hidden="1" customHeight="1">
      <c r="J5571" s="28">
        <f>IFERROR(VLOOKUP(TEXT(B5571,"0"),STOCK!A:H,7,0),1)</f>
        <v>1</v>
      </c>
    </row>
    <row r="5572" spans="10:10" ht="35.450000000000003" hidden="1" customHeight="1">
      <c r="J5572" s="28">
        <f>IFERROR(VLOOKUP(TEXT(B5572,"0"),STOCK!A:H,7,0),1)</f>
        <v>1</v>
      </c>
    </row>
    <row r="5573" spans="10:10" ht="35.450000000000003" hidden="1" customHeight="1">
      <c r="J5573" s="28">
        <f>IFERROR(VLOOKUP(TEXT(B5573,"0"),STOCK!A:H,7,0),1)</f>
        <v>1</v>
      </c>
    </row>
    <row r="5574" spans="10:10" ht="35.450000000000003" hidden="1" customHeight="1">
      <c r="J5574" s="28">
        <f>IFERROR(VLOOKUP(TEXT(B5574,"0"),STOCK!A:H,7,0),1)</f>
        <v>1</v>
      </c>
    </row>
    <row r="5575" spans="10:10" ht="35.450000000000003" hidden="1" customHeight="1">
      <c r="J5575" s="28">
        <f>IFERROR(VLOOKUP(TEXT(B5575,"0"),STOCK!A:H,7,0),1)</f>
        <v>1</v>
      </c>
    </row>
    <row r="5576" spans="10:10" ht="35.450000000000003" hidden="1" customHeight="1">
      <c r="J5576" s="28">
        <f>IFERROR(VLOOKUP(TEXT(B5576,"0"),STOCK!A:H,7,0),1)</f>
        <v>1</v>
      </c>
    </row>
    <row r="5577" spans="10:10" ht="35.450000000000003" hidden="1" customHeight="1">
      <c r="J5577" s="28">
        <f>IFERROR(VLOOKUP(TEXT(B5577,"0"),STOCK!A:H,7,0),1)</f>
        <v>1</v>
      </c>
    </row>
    <row r="5578" spans="10:10" ht="35.450000000000003" hidden="1" customHeight="1">
      <c r="J5578" s="28">
        <f>IFERROR(VLOOKUP(TEXT(B5578,"0"),STOCK!A:H,7,0),1)</f>
        <v>1</v>
      </c>
    </row>
    <row r="5579" spans="10:10" ht="35.450000000000003" hidden="1" customHeight="1">
      <c r="J5579" s="28">
        <f>IFERROR(VLOOKUP(TEXT(B5579,"0"),STOCK!A:H,7,0),1)</f>
        <v>1</v>
      </c>
    </row>
    <row r="5580" spans="10:10" ht="35.450000000000003" hidden="1" customHeight="1">
      <c r="J5580" s="28">
        <f>IFERROR(VLOOKUP(TEXT(B5580,"0"),STOCK!A:H,7,0),1)</f>
        <v>1</v>
      </c>
    </row>
    <row r="5581" spans="10:10" ht="35.450000000000003" hidden="1" customHeight="1">
      <c r="J5581" s="28">
        <f>IFERROR(VLOOKUP(TEXT(B5581,"0"),STOCK!A:H,7,0),1)</f>
        <v>1</v>
      </c>
    </row>
    <row r="5582" spans="10:10" ht="35.450000000000003" hidden="1" customHeight="1">
      <c r="J5582" s="28">
        <f>IFERROR(VLOOKUP(TEXT(B5582,"0"),STOCK!A:H,7,0),1)</f>
        <v>1</v>
      </c>
    </row>
    <row r="5583" spans="10:10" ht="35.450000000000003" hidden="1" customHeight="1">
      <c r="J5583" s="28">
        <f>IFERROR(VLOOKUP(TEXT(B5583,"0"),STOCK!A:H,7,0),1)</f>
        <v>1</v>
      </c>
    </row>
    <row r="5584" spans="10:10" ht="35.450000000000003" hidden="1" customHeight="1">
      <c r="J5584" s="28">
        <f>IFERROR(VLOOKUP(TEXT(B5584,"0"),STOCK!A:H,7,0),1)</f>
        <v>1</v>
      </c>
    </row>
    <row r="5585" spans="10:10" ht="35.450000000000003" hidden="1" customHeight="1">
      <c r="J5585" s="28">
        <f>IFERROR(VLOOKUP(TEXT(B5585,"0"),STOCK!A:H,7,0),1)</f>
        <v>1</v>
      </c>
    </row>
    <row r="5586" spans="10:10" ht="35.450000000000003" hidden="1" customHeight="1">
      <c r="J5586" s="28">
        <f>IFERROR(VLOOKUP(TEXT(B5586,"0"),STOCK!A:H,7,0),1)</f>
        <v>1</v>
      </c>
    </row>
    <row r="5587" spans="10:10" ht="35.450000000000003" hidden="1" customHeight="1">
      <c r="J5587" s="28">
        <f>IFERROR(VLOOKUP(TEXT(B5587,"0"),STOCK!A:H,7,0),1)</f>
        <v>1</v>
      </c>
    </row>
    <row r="5588" spans="10:10" ht="35.450000000000003" hidden="1" customHeight="1">
      <c r="J5588" s="28">
        <f>IFERROR(VLOOKUP(TEXT(B5588,"0"),STOCK!A:H,7,0),1)</f>
        <v>1</v>
      </c>
    </row>
    <row r="5589" spans="10:10" ht="35.450000000000003" hidden="1" customHeight="1">
      <c r="J5589" s="28">
        <f>IFERROR(VLOOKUP(TEXT(B5589,"0"),STOCK!A:H,7,0),1)</f>
        <v>1</v>
      </c>
    </row>
    <row r="5590" spans="10:10" ht="35.450000000000003" hidden="1" customHeight="1">
      <c r="J5590" s="28">
        <f>IFERROR(VLOOKUP(TEXT(B5590,"0"),STOCK!A:H,7,0),1)</f>
        <v>1</v>
      </c>
    </row>
    <row r="5591" spans="10:10" ht="35.450000000000003" hidden="1" customHeight="1">
      <c r="J5591" s="28">
        <f>IFERROR(VLOOKUP(TEXT(B5591,"0"),STOCK!A:H,7,0),1)</f>
        <v>1</v>
      </c>
    </row>
    <row r="5592" spans="10:10" ht="35.450000000000003" hidden="1" customHeight="1">
      <c r="J5592" s="28">
        <f>IFERROR(VLOOKUP(TEXT(B5592,"0"),STOCK!A:H,7,0),1)</f>
        <v>1</v>
      </c>
    </row>
    <row r="5593" spans="10:10" ht="35.450000000000003" hidden="1" customHeight="1">
      <c r="J5593" s="28">
        <f>IFERROR(VLOOKUP(TEXT(B5593,"0"),STOCK!A:H,7,0),1)</f>
        <v>1</v>
      </c>
    </row>
    <row r="5594" spans="10:10" ht="35.450000000000003" hidden="1" customHeight="1">
      <c r="J5594" s="28">
        <f>IFERROR(VLOOKUP(TEXT(B5594,"0"),STOCK!A:H,7,0),1)</f>
        <v>1</v>
      </c>
    </row>
    <row r="5595" spans="10:10" ht="35.450000000000003" hidden="1" customHeight="1">
      <c r="J5595" s="28">
        <f>IFERROR(VLOOKUP(TEXT(B5595,"0"),STOCK!A:H,7,0),1)</f>
        <v>1</v>
      </c>
    </row>
    <row r="5596" spans="10:10" ht="35.450000000000003" hidden="1" customHeight="1">
      <c r="J5596" s="28">
        <f>IFERROR(VLOOKUP(TEXT(B5596,"0"),STOCK!A:H,7,0),1)</f>
        <v>1</v>
      </c>
    </row>
    <row r="5597" spans="10:10" ht="35.450000000000003" hidden="1" customHeight="1">
      <c r="J5597" s="28">
        <f>IFERROR(VLOOKUP(TEXT(B5597,"0"),STOCK!A:H,7,0),1)</f>
        <v>1</v>
      </c>
    </row>
    <row r="5598" spans="10:10" ht="35.450000000000003" hidden="1" customHeight="1">
      <c r="J5598" s="28">
        <f>IFERROR(VLOOKUP(TEXT(B5598,"0"),STOCK!A:H,7,0),1)</f>
        <v>1</v>
      </c>
    </row>
    <row r="5599" spans="10:10" ht="35.450000000000003" hidden="1" customHeight="1">
      <c r="J5599" s="28">
        <f>IFERROR(VLOOKUP(TEXT(B5599,"0"),STOCK!A:H,7,0),1)</f>
        <v>1</v>
      </c>
    </row>
    <row r="5600" spans="10:10" ht="35.450000000000003" hidden="1" customHeight="1">
      <c r="J5600" s="28">
        <f>IFERROR(VLOOKUP(TEXT(B5600,"0"),STOCK!A:H,7,0),1)</f>
        <v>1</v>
      </c>
    </row>
    <row r="5601" spans="10:10" ht="35.450000000000003" hidden="1" customHeight="1">
      <c r="J5601" s="28">
        <f>IFERROR(VLOOKUP(TEXT(B5601,"0"),STOCK!A:H,7,0),1)</f>
        <v>1</v>
      </c>
    </row>
    <row r="5602" spans="10:10" ht="35.450000000000003" hidden="1" customHeight="1">
      <c r="J5602" s="28">
        <f>IFERROR(VLOOKUP(TEXT(B5602,"0"),STOCK!A:H,7,0),1)</f>
        <v>1</v>
      </c>
    </row>
    <row r="5603" spans="10:10" ht="35.450000000000003" hidden="1" customHeight="1">
      <c r="J5603" s="28">
        <f>IFERROR(VLOOKUP(TEXT(B5603,"0"),STOCK!A:H,7,0),1)</f>
        <v>1</v>
      </c>
    </row>
    <row r="5604" spans="10:10" ht="35.450000000000003" hidden="1" customHeight="1">
      <c r="J5604" s="28">
        <f>IFERROR(VLOOKUP(TEXT(B5604,"0"),STOCK!A:H,7,0),1)</f>
        <v>1</v>
      </c>
    </row>
    <row r="5605" spans="10:10" ht="35.450000000000003" hidden="1" customHeight="1">
      <c r="J5605" s="28">
        <f>IFERROR(VLOOKUP(TEXT(B5605,"0"),STOCK!A:H,7,0),1)</f>
        <v>1</v>
      </c>
    </row>
    <row r="5606" spans="10:10" ht="35.450000000000003" hidden="1" customHeight="1">
      <c r="J5606" s="28">
        <f>IFERROR(VLOOKUP(TEXT(B5606,"0"),STOCK!A:H,7,0),1)</f>
        <v>1</v>
      </c>
    </row>
    <row r="5607" spans="10:10" ht="35.450000000000003" hidden="1" customHeight="1">
      <c r="J5607" s="28">
        <f>IFERROR(VLOOKUP(TEXT(B5607,"0"),STOCK!A:H,7,0),1)</f>
        <v>1</v>
      </c>
    </row>
    <row r="5608" spans="10:10" ht="35.450000000000003" hidden="1" customHeight="1">
      <c r="J5608" s="28">
        <f>IFERROR(VLOOKUP(TEXT(B5608,"0"),STOCK!A:H,7,0),1)</f>
        <v>1</v>
      </c>
    </row>
    <row r="5609" spans="10:10" ht="35.450000000000003" hidden="1" customHeight="1">
      <c r="J5609" s="28">
        <f>IFERROR(VLOOKUP(TEXT(B5609,"0"),STOCK!A:H,7,0),1)</f>
        <v>1</v>
      </c>
    </row>
    <row r="5610" spans="10:10" ht="35.450000000000003" hidden="1" customHeight="1">
      <c r="J5610" s="28">
        <f>IFERROR(VLOOKUP(TEXT(B5610,"0"),STOCK!A:H,7,0),1)</f>
        <v>1</v>
      </c>
    </row>
    <row r="5611" spans="10:10" ht="35.450000000000003" hidden="1" customHeight="1">
      <c r="J5611" s="28">
        <f>IFERROR(VLOOKUP(TEXT(B5611,"0"),STOCK!A:H,7,0),1)</f>
        <v>1</v>
      </c>
    </row>
    <row r="5612" spans="10:10" ht="35.450000000000003" hidden="1" customHeight="1">
      <c r="J5612" s="28">
        <f>IFERROR(VLOOKUP(TEXT(B5612,"0"),STOCK!A:H,7,0),1)</f>
        <v>1</v>
      </c>
    </row>
    <row r="5613" spans="10:10" ht="35.450000000000003" hidden="1" customHeight="1">
      <c r="J5613" s="28">
        <f>IFERROR(VLOOKUP(TEXT(B5613,"0"),STOCK!A:H,7,0),1)</f>
        <v>1</v>
      </c>
    </row>
    <row r="5614" spans="10:10" ht="35.450000000000003" hidden="1" customHeight="1">
      <c r="J5614" s="28">
        <f>IFERROR(VLOOKUP(TEXT(B5614,"0"),STOCK!A:H,7,0),1)</f>
        <v>1</v>
      </c>
    </row>
    <row r="5615" spans="10:10" ht="35.450000000000003" hidden="1" customHeight="1">
      <c r="J5615" s="28">
        <f>IFERROR(VLOOKUP(TEXT(B5615,"0"),STOCK!A:H,7,0),1)</f>
        <v>1</v>
      </c>
    </row>
    <row r="5616" spans="10:10" ht="35.450000000000003" hidden="1" customHeight="1">
      <c r="J5616" s="28">
        <f>IFERROR(VLOOKUP(TEXT(B5616,"0"),STOCK!A:H,7,0),1)</f>
        <v>1</v>
      </c>
    </row>
    <row r="5617" spans="10:10" ht="35.450000000000003" hidden="1" customHeight="1">
      <c r="J5617" s="28">
        <f>IFERROR(VLOOKUP(TEXT(B5617,"0"),STOCK!A:H,7,0),1)</f>
        <v>1</v>
      </c>
    </row>
    <row r="5618" spans="10:10" ht="35.450000000000003" hidden="1" customHeight="1">
      <c r="J5618" s="28">
        <f>IFERROR(VLOOKUP(TEXT(B5618,"0"),STOCK!A:H,7,0),1)</f>
        <v>1</v>
      </c>
    </row>
    <row r="5619" spans="10:10" ht="35.450000000000003" hidden="1" customHeight="1">
      <c r="J5619" s="28">
        <f>IFERROR(VLOOKUP(TEXT(B5619,"0"),STOCK!A:H,7,0),1)</f>
        <v>1</v>
      </c>
    </row>
    <row r="5620" spans="10:10" ht="35.450000000000003" hidden="1" customHeight="1">
      <c r="J5620" s="28">
        <f>IFERROR(VLOOKUP(TEXT(B5620,"0"),STOCK!A:H,7,0),1)</f>
        <v>1</v>
      </c>
    </row>
    <row r="5621" spans="10:10" ht="35.450000000000003" hidden="1" customHeight="1">
      <c r="J5621" s="28">
        <f>IFERROR(VLOOKUP(TEXT(B5621,"0"),STOCK!A:H,7,0),1)</f>
        <v>1</v>
      </c>
    </row>
    <row r="5622" spans="10:10" ht="35.450000000000003" hidden="1" customHeight="1">
      <c r="J5622" s="28">
        <f>IFERROR(VLOOKUP(TEXT(B5622,"0"),STOCK!A:H,7,0),1)</f>
        <v>1</v>
      </c>
    </row>
    <row r="5623" spans="10:10" ht="35.450000000000003" hidden="1" customHeight="1">
      <c r="J5623" s="28">
        <f>IFERROR(VLOOKUP(TEXT(B5623,"0"),STOCK!A:H,7,0),1)</f>
        <v>1</v>
      </c>
    </row>
    <row r="5624" spans="10:10" ht="35.450000000000003" hidden="1" customHeight="1">
      <c r="J5624" s="28">
        <f>IFERROR(VLOOKUP(TEXT(B5624,"0"),STOCK!A:H,7,0),1)</f>
        <v>1</v>
      </c>
    </row>
    <row r="5625" spans="10:10" ht="35.450000000000003" hidden="1" customHeight="1">
      <c r="J5625" s="28">
        <f>IFERROR(VLOOKUP(TEXT(B5625,"0"),STOCK!A:H,7,0),1)</f>
        <v>1</v>
      </c>
    </row>
    <row r="5626" spans="10:10" ht="35.450000000000003" hidden="1" customHeight="1">
      <c r="J5626" s="28">
        <f>IFERROR(VLOOKUP(TEXT(B5626,"0"),STOCK!A:H,7,0),1)</f>
        <v>1</v>
      </c>
    </row>
    <row r="5627" spans="10:10" ht="35.450000000000003" hidden="1" customHeight="1">
      <c r="J5627" s="28">
        <f>IFERROR(VLOOKUP(TEXT(B5627,"0"),STOCK!A:H,7,0),1)</f>
        <v>1</v>
      </c>
    </row>
    <row r="5628" spans="10:10" ht="35.450000000000003" hidden="1" customHeight="1">
      <c r="J5628" s="28">
        <f>IFERROR(VLOOKUP(TEXT(B5628,"0"),STOCK!A:H,7,0),1)</f>
        <v>1</v>
      </c>
    </row>
    <row r="5629" spans="10:10" ht="35.450000000000003" hidden="1" customHeight="1">
      <c r="J5629" s="28">
        <f>IFERROR(VLOOKUP(TEXT(B5629,"0"),STOCK!A:H,7,0),1)</f>
        <v>1</v>
      </c>
    </row>
    <row r="5630" spans="10:10" ht="35.450000000000003" hidden="1" customHeight="1">
      <c r="J5630" s="28">
        <f>IFERROR(VLOOKUP(TEXT(B5630,"0"),STOCK!A:H,7,0),1)</f>
        <v>1</v>
      </c>
    </row>
    <row r="5631" spans="10:10" ht="35.450000000000003" hidden="1" customHeight="1">
      <c r="J5631" s="28">
        <f>IFERROR(VLOOKUP(TEXT(B5631,"0"),STOCK!A:H,7,0),1)</f>
        <v>1</v>
      </c>
    </row>
    <row r="5632" spans="10:10" ht="35.450000000000003" hidden="1" customHeight="1">
      <c r="J5632" s="28">
        <f>IFERROR(VLOOKUP(TEXT(B5632,"0"),STOCK!A:H,7,0),1)</f>
        <v>1</v>
      </c>
    </row>
    <row r="5633" spans="10:10" ht="35.450000000000003" hidden="1" customHeight="1">
      <c r="J5633" s="28">
        <f>IFERROR(VLOOKUP(TEXT(B5633,"0"),STOCK!A:H,7,0),1)</f>
        <v>1</v>
      </c>
    </row>
    <row r="5634" spans="10:10" ht="35.450000000000003" hidden="1" customHeight="1">
      <c r="J5634" s="28">
        <f>IFERROR(VLOOKUP(TEXT(B5634,"0"),STOCK!A:H,7,0),1)</f>
        <v>1</v>
      </c>
    </row>
    <row r="5635" spans="10:10" ht="35.450000000000003" hidden="1" customHeight="1">
      <c r="J5635" s="28">
        <f>IFERROR(VLOOKUP(TEXT(B5635,"0"),STOCK!A:H,7,0),1)</f>
        <v>1</v>
      </c>
    </row>
    <row r="5636" spans="10:10" ht="35.450000000000003" hidden="1" customHeight="1">
      <c r="J5636" s="28">
        <f>IFERROR(VLOOKUP(TEXT(B5636,"0"),STOCK!A:H,7,0),1)</f>
        <v>1</v>
      </c>
    </row>
    <row r="5637" spans="10:10" ht="35.450000000000003" hidden="1" customHeight="1">
      <c r="J5637" s="28">
        <f>IFERROR(VLOOKUP(TEXT(B5637,"0"),STOCK!A:H,7,0),1)</f>
        <v>1</v>
      </c>
    </row>
    <row r="5638" spans="10:10" ht="35.450000000000003" hidden="1" customHeight="1">
      <c r="J5638" s="28">
        <f>IFERROR(VLOOKUP(TEXT(B5638,"0"),STOCK!A:H,7,0),1)</f>
        <v>1</v>
      </c>
    </row>
    <row r="5639" spans="10:10" ht="35.450000000000003" hidden="1" customHeight="1">
      <c r="J5639" s="28">
        <f>IFERROR(VLOOKUP(TEXT(B5639,"0"),STOCK!A:H,7,0),1)</f>
        <v>1</v>
      </c>
    </row>
    <row r="5640" spans="10:10" ht="35.450000000000003" hidden="1" customHeight="1">
      <c r="J5640" s="28">
        <f>IFERROR(VLOOKUP(TEXT(B5640,"0"),STOCK!A:H,7,0),1)</f>
        <v>1</v>
      </c>
    </row>
    <row r="5641" spans="10:10" ht="35.450000000000003" hidden="1" customHeight="1">
      <c r="J5641" s="28">
        <f>IFERROR(VLOOKUP(TEXT(B5641,"0"),STOCK!A:H,7,0),1)</f>
        <v>1</v>
      </c>
    </row>
    <row r="5642" spans="10:10" ht="35.450000000000003" hidden="1" customHeight="1">
      <c r="J5642" s="28">
        <f>IFERROR(VLOOKUP(TEXT(B5642,"0"),STOCK!A:H,7,0),1)</f>
        <v>1</v>
      </c>
    </row>
    <row r="5643" spans="10:10" ht="35.450000000000003" hidden="1" customHeight="1">
      <c r="J5643" s="28">
        <f>IFERROR(VLOOKUP(TEXT(B5643,"0"),STOCK!A:H,7,0),1)</f>
        <v>1</v>
      </c>
    </row>
    <row r="5644" spans="10:10" ht="35.450000000000003" hidden="1" customHeight="1">
      <c r="J5644" s="28">
        <f>IFERROR(VLOOKUP(TEXT(B5644,"0"),STOCK!A:H,7,0),1)</f>
        <v>1</v>
      </c>
    </row>
    <row r="5645" spans="10:10" ht="35.450000000000003" hidden="1" customHeight="1">
      <c r="J5645" s="28">
        <f>IFERROR(VLOOKUP(TEXT(B5645,"0"),STOCK!A:H,7,0),1)</f>
        <v>1</v>
      </c>
    </row>
    <row r="5646" spans="10:10" ht="35.450000000000003" hidden="1" customHeight="1">
      <c r="J5646" s="28">
        <f>IFERROR(VLOOKUP(TEXT(B5646,"0"),STOCK!A:H,7,0),1)</f>
        <v>1</v>
      </c>
    </row>
    <row r="5647" spans="10:10" ht="35.450000000000003" hidden="1" customHeight="1">
      <c r="J5647" s="28">
        <f>IFERROR(VLOOKUP(TEXT(B5647,"0"),STOCK!A:H,7,0),1)</f>
        <v>1</v>
      </c>
    </row>
    <row r="5648" spans="10:10" ht="35.450000000000003" hidden="1" customHeight="1">
      <c r="J5648" s="28">
        <f>IFERROR(VLOOKUP(TEXT(B5648,"0"),STOCK!A:H,7,0),1)</f>
        <v>1</v>
      </c>
    </row>
    <row r="5649" spans="10:10" ht="35.450000000000003" hidden="1" customHeight="1">
      <c r="J5649" s="28">
        <f>IFERROR(VLOOKUP(TEXT(B5649,"0"),STOCK!A:H,7,0),1)</f>
        <v>1</v>
      </c>
    </row>
    <row r="5650" spans="10:10" ht="35.450000000000003" hidden="1" customHeight="1">
      <c r="J5650" s="28">
        <f>IFERROR(VLOOKUP(TEXT(B5650,"0"),STOCK!A:H,7,0),1)</f>
        <v>1</v>
      </c>
    </row>
    <row r="5651" spans="10:10" ht="35.450000000000003" hidden="1" customHeight="1">
      <c r="J5651" s="28">
        <f>IFERROR(VLOOKUP(TEXT(B5651,"0"),STOCK!A:H,7,0),1)</f>
        <v>1</v>
      </c>
    </row>
    <row r="5652" spans="10:10" ht="35.450000000000003" hidden="1" customHeight="1">
      <c r="J5652" s="28">
        <f>IFERROR(VLOOKUP(TEXT(B5652,"0"),STOCK!A:H,7,0),1)</f>
        <v>1</v>
      </c>
    </row>
    <row r="5653" spans="10:10" ht="35.450000000000003" hidden="1" customHeight="1">
      <c r="J5653" s="28">
        <f>IFERROR(VLOOKUP(TEXT(B5653,"0"),STOCK!A:H,7,0),1)</f>
        <v>1</v>
      </c>
    </row>
    <row r="5654" spans="10:10" ht="35.450000000000003" hidden="1" customHeight="1">
      <c r="J5654" s="28">
        <f>IFERROR(VLOOKUP(TEXT(B5654,"0"),STOCK!A:H,7,0),1)</f>
        <v>1</v>
      </c>
    </row>
    <row r="5655" spans="10:10" ht="35.450000000000003" hidden="1" customHeight="1">
      <c r="J5655" s="28">
        <f>IFERROR(VLOOKUP(TEXT(B5655,"0"),STOCK!A:H,7,0),1)</f>
        <v>1</v>
      </c>
    </row>
    <row r="5656" spans="10:10" ht="35.450000000000003" hidden="1" customHeight="1">
      <c r="J5656" s="28">
        <f>IFERROR(VLOOKUP(TEXT(B5656,"0"),STOCK!A:H,7,0),1)</f>
        <v>1</v>
      </c>
    </row>
    <row r="5657" spans="10:10" ht="35.450000000000003" hidden="1" customHeight="1">
      <c r="J5657" s="28">
        <f>IFERROR(VLOOKUP(TEXT(B5657,"0"),STOCK!A:H,7,0),1)</f>
        <v>1</v>
      </c>
    </row>
    <row r="5658" spans="10:10" ht="35.450000000000003" hidden="1" customHeight="1">
      <c r="J5658" s="28">
        <f>IFERROR(VLOOKUP(TEXT(B5658,"0"),STOCK!A:H,7,0),1)</f>
        <v>1</v>
      </c>
    </row>
    <row r="5659" spans="10:10" ht="35.450000000000003" hidden="1" customHeight="1">
      <c r="J5659" s="28">
        <f>IFERROR(VLOOKUP(TEXT(B5659,"0"),STOCK!A:H,7,0),1)</f>
        <v>1</v>
      </c>
    </row>
    <row r="5660" spans="10:10" ht="35.450000000000003" hidden="1" customHeight="1">
      <c r="J5660" s="28">
        <f>IFERROR(VLOOKUP(TEXT(B5660,"0"),STOCK!A:H,7,0),1)</f>
        <v>1</v>
      </c>
    </row>
    <row r="5661" spans="10:10" ht="35.450000000000003" hidden="1" customHeight="1">
      <c r="J5661" s="28">
        <f>IFERROR(VLOOKUP(TEXT(B5661,"0"),STOCK!A:H,7,0),1)</f>
        <v>1</v>
      </c>
    </row>
    <row r="5662" spans="10:10" ht="35.450000000000003" hidden="1" customHeight="1">
      <c r="J5662" s="28">
        <f>IFERROR(VLOOKUP(TEXT(B5662,"0"),STOCK!A:H,7,0),1)</f>
        <v>1</v>
      </c>
    </row>
    <row r="5663" spans="10:10" ht="35.450000000000003" hidden="1" customHeight="1">
      <c r="J5663" s="28">
        <f>IFERROR(VLOOKUP(TEXT(B5663,"0"),STOCK!A:H,7,0),1)</f>
        <v>1</v>
      </c>
    </row>
    <row r="5664" spans="10:10" ht="35.450000000000003" hidden="1" customHeight="1">
      <c r="J5664" s="28">
        <f>IFERROR(VLOOKUP(TEXT(B5664,"0"),STOCK!A:H,7,0),1)</f>
        <v>1</v>
      </c>
    </row>
    <row r="5665" spans="10:10" ht="35.450000000000003" hidden="1" customHeight="1">
      <c r="J5665" s="28">
        <f>IFERROR(VLOOKUP(TEXT(B5665,"0"),STOCK!A:H,7,0),1)</f>
        <v>1</v>
      </c>
    </row>
    <row r="5666" spans="10:10" ht="35.450000000000003" hidden="1" customHeight="1">
      <c r="J5666" s="28">
        <f>IFERROR(VLOOKUP(TEXT(B5666,"0"),STOCK!A:H,7,0),1)</f>
        <v>1</v>
      </c>
    </row>
    <row r="5667" spans="10:10" ht="35.450000000000003" hidden="1" customHeight="1">
      <c r="J5667" s="28">
        <f>IFERROR(VLOOKUP(TEXT(B5667,"0"),STOCK!A:H,7,0),1)</f>
        <v>1</v>
      </c>
    </row>
    <row r="5668" spans="10:10" ht="35.450000000000003" hidden="1" customHeight="1">
      <c r="J5668" s="28">
        <f>IFERROR(VLOOKUP(TEXT(B5668,"0"),STOCK!A:H,7,0),1)</f>
        <v>1</v>
      </c>
    </row>
    <row r="5669" spans="10:10" ht="35.450000000000003" hidden="1" customHeight="1">
      <c r="J5669" s="28">
        <f>IFERROR(VLOOKUP(TEXT(B5669,"0"),STOCK!A:H,7,0),1)</f>
        <v>1</v>
      </c>
    </row>
    <row r="5670" spans="10:10" ht="35.450000000000003" hidden="1" customHeight="1">
      <c r="J5670" s="28">
        <f>IFERROR(VLOOKUP(TEXT(B5670,"0"),STOCK!A:H,7,0),1)</f>
        <v>1</v>
      </c>
    </row>
    <row r="5671" spans="10:10" ht="35.450000000000003" hidden="1" customHeight="1">
      <c r="J5671" s="28">
        <f>IFERROR(VLOOKUP(TEXT(B5671,"0"),STOCK!A:H,7,0),1)</f>
        <v>1</v>
      </c>
    </row>
    <row r="5672" spans="10:10" ht="35.450000000000003" hidden="1" customHeight="1">
      <c r="J5672" s="28">
        <f>IFERROR(VLOOKUP(TEXT(B5672,"0"),STOCK!A:H,7,0),1)</f>
        <v>1</v>
      </c>
    </row>
    <row r="5673" spans="10:10" ht="35.450000000000003" hidden="1" customHeight="1">
      <c r="J5673" s="28">
        <f>IFERROR(VLOOKUP(TEXT(B5673,"0"),STOCK!A:H,7,0),1)</f>
        <v>1</v>
      </c>
    </row>
    <row r="5674" spans="10:10" ht="35.450000000000003" hidden="1" customHeight="1">
      <c r="J5674" s="28">
        <f>IFERROR(VLOOKUP(TEXT(B5674,"0"),STOCK!A:H,7,0),1)</f>
        <v>1</v>
      </c>
    </row>
    <row r="5675" spans="10:10" ht="35.450000000000003" hidden="1" customHeight="1">
      <c r="J5675" s="28">
        <f>IFERROR(VLOOKUP(TEXT(B5675,"0"),STOCK!A:H,7,0),1)</f>
        <v>1</v>
      </c>
    </row>
    <row r="5676" spans="10:10" ht="35.450000000000003" hidden="1" customHeight="1">
      <c r="J5676" s="28">
        <f>IFERROR(VLOOKUP(TEXT(B5676,"0"),STOCK!A:H,7,0),1)</f>
        <v>1</v>
      </c>
    </row>
    <row r="5677" spans="10:10" ht="35.450000000000003" hidden="1" customHeight="1">
      <c r="J5677" s="28">
        <f>IFERROR(VLOOKUP(TEXT(B5677,"0"),STOCK!A:H,7,0),1)</f>
        <v>1</v>
      </c>
    </row>
    <row r="5678" spans="10:10" ht="35.450000000000003" hidden="1" customHeight="1">
      <c r="J5678" s="28">
        <f>IFERROR(VLOOKUP(TEXT(B5678,"0"),STOCK!A:H,7,0),1)</f>
        <v>1</v>
      </c>
    </row>
    <row r="5679" spans="10:10" ht="35.450000000000003" hidden="1" customHeight="1">
      <c r="J5679" s="28">
        <f>IFERROR(VLOOKUP(TEXT(B5679,"0"),STOCK!A:H,7,0),1)</f>
        <v>1</v>
      </c>
    </row>
    <row r="5680" spans="10:10" ht="35.450000000000003" hidden="1" customHeight="1">
      <c r="J5680" s="28">
        <f>IFERROR(VLOOKUP(TEXT(B5680,"0"),STOCK!A:H,7,0),1)</f>
        <v>1</v>
      </c>
    </row>
    <row r="5681" spans="10:10" ht="35.450000000000003" hidden="1" customHeight="1">
      <c r="J5681" s="28">
        <f>IFERROR(VLOOKUP(TEXT(B5681,"0"),STOCK!A:H,7,0),1)</f>
        <v>1</v>
      </c>
    </row>
    <row r="5682" spans="10:10" ht="35.450000000000003" hidden="1" customHeight="1">
      <c r="J5682" s="28">
        <f>IFERROR(VLOOKUP(TEXT(B5682,"0"),STOCK!A:H,7,0),1)</f>
        <v>1</v>
      </c>
    </row>
    <row r="5683" spans="10:10" ht="35.450000000000003" hidden="1" customHeight="1">
      <c r="J5683" s="28">
        <f>IFERROR(VLOOKUP(TEXT(B5683,"0"),STOCK!A:H,7,0),1)</f>
        <v>1</v>
      </c>
    </row>
    <row r="5684" spans="10:10" ht="35.450000000000003" hidden="1" customHeight="1">
      <c r="J5684" s="28">
        <f>IFERROR(VLOOKUP(TEXT(B5684,"0"),STOCK!A:H,7,0),1)</f>
        <v>1</v>
      </c>
    </row>
    <row r="5685" spans="10:10" ht="35.450000000000003" hidden="1" customHeight="1">
      <c r="J5685" s="28">
        <f>IFERROR(VLOOKUP(TEXT(B5685,"0"),STOCK!A:H,7,0),1)</f>
        <v>1</v>
      </c>
    </row>
    <row r="5686" spans="10:10" ht="35.450000000000003" hidden="1" customHeight="1">
      <c r="J5686" s="28">
        <f>IFERROR(VLOOKUP(TEXT(B5686,"0"),STOCK!A:H,7,0),1)</f>
        <v>1</v>
      </c>
    </row>
    <row r="5687" spans="10:10" ht="35.450000000000003" hidden="1" customHeight="1">
      <c r="J5687" s="28">
        <f>IFERROR(VLOOKUP(TEXT(B5687,"0"),STOCK!A:H,7,0),1)</f>
        <v>1</v>
      </c>
    </row>
    <row r="5688" spans="10:10" ht="35.450000000000003" hidden="1" customHeight="1">
      <c r="J5688" s="28">
        <f>IFERROR(VLOOKUP(TEXT(B5688,"0"),STOCK!A:H,7,0),1)</f>
        <v>1</v>
      </c>
    </row>
    <row r="5689" spans="10:10" ht="35.450000000000003" hidden="1" customHeight="1">
      <c r="J5689" s="28">
        <f>IFERROR(VLOOKUP(TEXT(B5689,"0"),STOCK!A:H,7,0),1)</f>
        <v>1</v>
      </c>
    </row>
    <row r="5690" spans="10:10" ht="35.450000000000003" hidden="1" customHeight="1">
      <c r="J5690" s="28">
        <f>IFERROR(VLOOKUP(TEXT(B5690,"0"),STOCK!A:H,7,0),1)</f>
        <v>1</v>
      </c>
    </row>
    <row r="5691" spans="10:10" ht="35.450000000000003" hidden="1" customHeight="1">
      <c r="J5691" s="28">
        <f>IFERROR(VLOOKUP(TEXT(B5691,"0"),STOCK!A:H,7,0),1)</f>
        <v>1</v>
      </c>
    </row>
    <row r="5692" spans="10:10" ht="35.450000000000003" hidden="1" customHeight="1">
      <c r="J5692" s="28">
        <f>IFERROR(VLOOKUP(TEXT(B5692,"0"),STOCK!A:H,7,0),1)</f>
        <v>1</v>
      </c>
    </row>
    <row r="5693" spans="10:10" ht="35.450000000000003" hidden="1" customHeight="1">
      <c r="J5693" s="28">
        <f>IFERROR(VLOOKUP(TEXT(B5693,"0"),STOCK!A:H,7,0),1)</f>
        <v>1</v>
      </c>
    </row>
    <row r="5694" spans="10:10" ht="35.450000000000003" hidden="1" customHeight="1">
      <c r="J5694" s="28">
        <f>IFERROR(VLOOKUP(TEXT(B5694,"0"),STOCK!A:H,7,0),1)</f>
        <v>1</v>
      </c>
    </row>
    <row r="5695" spans="10:10" ht="35.450000000000003" hidden="1" customHeight="1">
      <c r="J5695" s="28">
        <f>IFERROR(VLOOKUP(TEXT(B5695,"0"),STOCK!A:H,7,0),1)</f>
        <v>1</v>
      </c>
    </row>
    <row r="5696" spans="10:10" ht="35.450000000000003" hidden="1" customHeight="1">
      <c r="J5696" s="28">
        <f>IFERROR(VLOOKUP(TEXT(B5696,"0"),STOCK!A:H,7,0),1)</f>
        <v>1</v>
      </c>
    </row>
    <row r="5697" spans="10:10" ht="35.450000000000003" hidden="1" customHeight="1">
      <c r="J5697" s="28">
        <f>IFERROR(VLOOKUP(TEXT(B5697,"0"),STOCK!A:H,7,0),1)</f>
        <v>1</v>
      </c>
    </row>
    <row r="5698" spans="10:10" ht="35.450000000000003" hidden="1" customHeight="1">
      <c r="J5698" s="28">
        <f>IFERROR(VLOOKUP(TEXT(B5698,"0"),STOCK!A:H,7,0),1)</f>
        <v>1</v>
      </c>
    </row>
    <row r="5699" spans="10:10" ht="35.450000000000003" hidden="1" customHeight="1">
      <c r="J5699" s="28">
        <f>IFERROR(VLOOKUP(TEXT(B5699,"0"),STOCK!A:H,7,0),1)</f>
        <v>1</v>
      </c>
    </row>
    <row r="5700" spans="10:10" ht="35.450000000000003" hidden="1" customHeight="1">
      <c r="J5700" s="28">
        <f>IFERROR(VLOOKUP(TEXT(B5700,"0"),STOCK!A:H,7,0),1)</f>
        <v>1</v>
      </c>
    </row>
    <row r="5701" spans="10:10" ht="35.450000000000003" hidden="1" customHeight="1">
      <c r="J5701" s="28">
        <f>IFERROR(VLOOKUP(TEXT(B5701,"0"),STOCK!A:H,7,0),1)</f>
        <v>1</v>
      </c>
    </row>
    <row r="5702" spans="10:10" ht="35.450000000000003" hidden="1" customHeight="1">
      <c r="J5702" s="28">
        <f>IFERROR(VLOOKUP(TEXT(B5702,"0"),STOCK!A:H,7,0),1)</f>
        <v>1</v>
      </c>
    </row>
    <row r="5703" spans="10:10" ht="35.450000000000003" hidden="1" customHeight="1">
      <c r="J5703" s="28">
        <f>IFERROR(VLOOKUP(TEXT(B5703,"0"),STOCK!A:H,7,0),1)</f>
        <v>1</v>
      </c>
    </row>
    <row r="5704" spans="10:10" ht="35.450000000000003" hidden="1" customHeight="1">
      <c r="J5704" s="28">
        <f>IFERROR(VLOOKUP(TEXT(B5704,"0"),STOCK!A:H,7,0),1)</f>
        <v>1</v>
      </c>
    </row>
    <row r="5705" spans="10:10" ht="35.450000000000003" hidden="1" customHeight="1">
      <c r="J5705" s="28">
        <f>IFERROR(VLOOKUP(TEXT(B5705,"0"),STOCK!A:H,7,0),1)</f>
        <v>1</v>
      </c>
    </row>
    <row r="5706" spans="10:10" ht="35.450000000000003" hidden="1" customHeight="1">
      <c r="J5706" s="28">
        <f>IFERROR(VLOOKUP(TEXT(B5706,"0"),STOCK!A:H,7,0),1)</f>
        <v>1</v>
      </c>
    </row>
    <row r="5707" spans="10:10" ht="35.450000000000003" hidden="1" customHeight="1">
      <c r="J5707" s="28">
        <f>IFERROR(VLOOKUP(TEXT(B5707,"0"),STOCK!A:H,7,0),1)</f>
        <v>1</v>
      </c>
    </row>
    <row r="5708" spans="10:10" ht="35.450000000000003" hidden="1" customHeight="1">
      <c r="J5708" s="28">
        <f>IFERROR(VLOOKUP(TEXT(B5708,"0"),STOCK!A:H,7,0),1)</f>
        <v>1</v>
      </c>
    </row>
    <row r="5709" spans="10:10" ht="35.450000000000003" hidden="1" customHeight="1">
      <c r="J5709" s="28">
        <f>IFERROR(VLOOKUP(TEXT(B5709,"0"),STOCK!A:H,7,0),1)</f>
        <v>1</v>
      </c>
    </row>
    <row r="5710" spans="10:10" ht="35.450000000000003" hidden="1" customHeight="1">
      <c r="J5710" s="28">
        <f>IFERROR(VLOOKUP(TEXT(B5710,"0"),STOCK!A:H,7,0),1)</f>
        <v>1</v>
      </c>
    </row>
    <row r="5711" spans="10:10" ht="35.450000000000003" hidden="1" customHeight="1">
      <c r="J5711" s="28">
        <f>IFERROR(VLOOKUP(TEXT(B5711,"0"),STOCK!A:H,7,0),1)</f>
        <v>1</v>
      </c>
    </row>
    <row r="5712" spans="10:10" ht="35.450000000000003" hidden="1" customHeight="1">
      <c r="J5712" s="28">
        <f>IFERROR(VLOOKUP(TEXT(B5712,"0"),STOCK!A:H,7,0),1)</f>
        <v>1</v>
      </c>
    </row>
    <row r="5713" spans="10:10" ht="35.450000000000003" hidden="1" customHeight="1">
      <c r="J5713" s="28">
        <f>IFERROR(VLOOKUP(TEXT(B5713,"0"),STOCK!A:H,7,0),1)</f>
        <v>1</v>
      </c>
    </row>
    <row r="5714" spans="10:10" ht="35.450000000000003" hidden="1" customHeight="1">
      <c r="J5714" s="28">
        <f>IFERROR(VLOOKUP(TEXT(B5714,"0"),STOCK!A:H,7,0),1)</f>
        <v>1</v>
      </c>
    </row>
    <row r="5715" spans="10:10" ht="35.450000000000003" hidden="1" customHeight="1">
      <c r="J5715" s="28">
        <f>IFERROR(VLOOKUP(TEXT(B5715,"0"),STOCK!A:H,7,0),1)</f>
        <v>1</v>
      </c>
    </row>
    <row r="5716" spans="10:10" ht="35.450000000000003" hidden="1" customHeight="1">
      <c r="J5716" s="28">
        <f>IFERROR(VLOOKUP(TEXT(B5716,"0"),STOCK!A:H,7,0),1)</f>
        <v>1</v>
      </c>
    </row>
    <row r="5717" spans="10:10" ht="35.450000000000003" hidden="1" customHeight="1">
      <c r="J5717" s="28">
        <f>IFERROR(VLOOKUP(TEXT(B5717,"0"),STOCK!A:H,7,0),1)</f>
        <v>1</v>
      </c>
    </row>
    <row r="5718" spans="10:10" ht="35.450000000000003" hidden="1" customHeight="1">
      <c r="J5718" s="28">
        <f>IFERROR(VLOOKUP(TEXT(B5718,"0"),STOCK!A:H,7,0),1)</f>
        <v>1</v>
      </c>
    </row>
    <row r="5719" spans="10:10" ht="35.450000000000003" hidden="1" customHeight="1">
      <c r="J5719" s="28">
        <f>IFERROR(VLOOKUP(TEXT(B5719,"0"),STOCK!A:H,7,0),1)</f>
        <v>1</v>
      </c>
    </row>
    <row r="5720" spans="10:10" ht="35.450000000000003" hidden="1" customHeight="1">
      <c r="J5720" s="28">
        <f>IFERROR(VLOOKUP(TEXT(B5720,"0"),STOCK!A:H,7,0),1)</f>
        <v>1</v>
      </c>
    </row>
    <row r="5721" spans="10:10" ht="35.450000000000003" hidden="1" customHeight="1">
      <c r="J5721" s="28">
        <f>IFERROR(VLOOKUP(TEXT(B5721,"0"),STOCK!A:H,7,0),1)</f>
        <v>1</v>
      </c>
    </row>
    <row r="5722" spans="10:10" ht="35.450000000000003" hidden="1" customHeight="1">
      <c r="J5722" s="28">
        <f>IFERROR(VLOOKUP(TEXT(B5722,"0"),STOCK!A:H,7,0),1)</f>
        <v>1</v>
      </c>
    </row>
    <row r="5723" spans="10:10" ht="35.450000000000003" hidden="1" customHeight="1">
      <c r="J5723" s="28">
        <f>IFERROR(VLOOKUP(TEXT(B5723,"0"),STOCK!A:H,7,0),1)</f>
        <v>1</v>
      </c>
    </row>
    <row r="5724" spans="10:10" ht="35.450000000000003" hidden="1" customHeight="1">
      <c r="J5724" s="28">
        <f>IFERROR(VLOOKUP(TEXT(B5724,"0"),STOCK!A:H,7,0),1)</f>
        <v>1</v>
      </c>
    </row>
    <row r="5725" spans="10:10" ht="35.450000000000003" hidden="1" customHeight="1">
      <c r="J5725" s="28">
        <f>IFERROR(VLOOKUP(TEXT(B5725,"0"),STOCK!A:H,7,0),1)</f>
        <v>1</v>
      </c>
    </row>
    <row r="5726" spans="10:10" ht="35.450000000000003" hidden="1" customHeight="1">
      <c r="J5726" s="28">
        <f>IFERROR(VLOOKUP(TEXT(B5726,"0"),STOCK!A:H,7,0),1)</f>
        <v>1</v>
      </c>
    </row>
    <row r="5727" spans="10:10" ht="35.450000000000003" hidden="1" customHeight="1">
      <c r="J5727" s="28">
        <f>IFERROR(VLOOKUP(TEXT(B5727,"0"),STOCK!A:H,7,0),1)</f>
        <v>1</v>
      </c>
    </row>
    <row r="5728" spans="10:10" ht="35.450000000000003" hidden="1" customHeight="1">
      <c r="J5728" s="28">
        <f>IFERROR(VLOOKUP(TEXT(B5728,"0"),STOCK!A:H,7,0),1)</f>
        <v>1</v>
      </c>
    </row>
    <row r="5729" spans="10:10" ht="35.450000000000003" hidden="1" customHeight="1">
      <c r="J5729" s="28">
        <f>IFERROR(VLOOKUP(TEXT(B5729,"0"),STOCK!A:H,7,0),1)</f>
        <v>1</v>
      </c>
    </row>
    <row r="5730" spans="10:10" ht="35.450000000000003" hidden="1" customHeight="1">
      <c r="J5730" s="28">
        <f>IFERROR(VLOOKUP(TEXT(B5730,"0"),STOCK!A:H,7,0),1)</f>
        <v>1</v>
      </c>
    </row>
    <row r="5731" spans="10:10" ht="35.450000000000003" hidden="1" customHeight="1">
      <c r="J5731" s="28">
        <f>IFERROR(VLOOKUP(TEXT(B5731,"0"),STOCK!A:H,7,0),1)</f>
        <v>1</v>
      </c>
    </row>
    <row r="5732" spans="10:10" ht="35.450000000000003" hidden="1" customHeight="1">
      <c r="J5732" s="28">
        <f>IFERROR(VLOOKUP(TEXT(B5732,"0"),STOCK!A:H,7,0),1)</f>
        <v>1</v>
      </c>
    </row>
    <row r="5733" spans="10:10" ht="35.450000000000003" hidden="1" customHeight="1">
      <c r="J5733" s="28">
        <f>IFERROR(VLOOKUP(TEXT(B5733,"0"),STOCK!A:H,7,0),1)</f>
        <v>1</v>
      </c>
    </row>
    <row r="5734" spans="10:10" ht="35.450000000000003" hidden="1" customHeight="1">
      <c r="J5734" s="28">
        <f>IFERROR(VLOOKUP(TEXT(B5734,"0"),STOCK!A:H,7,0),1)</f>
        <v>1</v>
      </c>
    </row>
    <row r="5735" spans="10:10" ht="35.450000000000003" hidden="1" customHeight="1">
      <c r="J5735" s="28">
        <f>IFERROR(VLOOKUP(TEXT(B5735,"0"),STOCK!A:H,7,0),1)</f>
        <v>1</v>
      </c>
    </row>
    <row r="5736" spans="10:10" ht="35.450000000000003" hidden="1" customHeight="1">
      <c r="J5736" s="28">
        <f>IFERROR(VLOOKUP(TEXT(B5736,"0"),STOCK!A:H,7,0),1)</f>
        <v>1</v>
      </c>
    </row>
    <row r="5737" spans="10:10" ht="35.450000000000003" hidden="1" customHeight="1">
      <c r="J5737" s="28">
        <f>IFERROR(VLOOKUP(TEXT(B5737,"0"),STOCK!A:H,7,0),1)</f>
        <v>1</v>
      </c>
    </row>
    <row r="5738" spans="10:10" ht="35.450000000000003" hidden="1" customHeight="1">
      <c r="J5738" s="28">
        <f>IFERROR(VLOOKUP(TEXT(B5738,"0"),STOCK!A:H,7,0),1)</f>
        <v>1</v>
      </c>
    </row>
    <row r="5739" spans="10:10" ht="35.450000000000003" hidden="1" customHeight="1">
      <c r="J5739" s="28">
        <f>IFERROR(VLOOKUP(TEXT(B5739,"0"),STOCK!A:H,7,0),1)</f>
        <v>1</v>
      </c>
    </row>
    <row r="5740" spans="10:10" ht="35.450000000000003" hidden="1" customHeight="1">
      <c r="J5740" s="28">
        <f>IFERROR(VLOOKUP(TEXT(B5740,"0"),STOCK!A:H,7,0),1)</f>
        <v>1</v>
      </c>
    </row>
    <row r="5741" spans="10:10" ht="35.450000000000003" hidden="1" customHeight="1">
      <c r="J5741" s="28">
        <f>IFERROR(VLOOKUP(TEXT(B5741,"0"),STOCK!A:H,7,0),1)</f>
        <v>1</v>
      </c>
    </row>
    <row r="5742" spans="10:10" ht="35.450000000000003" hidden="1" customHeight="1">
      <c r="J5742" s="28">
        <f>IFERROR(VLOOKUP(TEXT(B5742,"0"),STOCK!A:H,7,0),1)</f>
        <v>1</v>
      </c>
    </row>
    <row r="5743" spans="10:10" ht="35.450000000000003" hidden="1" customHeight="1">
      <c r="J5743" s="28">
        <f>IFERROR(VLOOKUP(TEXT(B5743,"0"),STOCK!A:H,7,0),1)</f>
        <v>1</v>
      </c>
    </row>
    <row r="5744" spans="10:10" ht="35.450000000000003" hidden="1" customHeight="1">
      <c r="J5744" s="28">
        <f>IFERROR(VLOOKUP(TEXT(B5744,"0"),STOCK!A:H,7,0),1)</f>
        <v>1</v>
      </c>
    </row>
    <row r="5745" spans="10:10" ht="35.450000000000003" hidden="1" customHeight="1">
      <c r="J5745" s="28">
        <f>IFERROR(VLOOKUP(TEXT(B5745,"0"),STOCK!A:H,7,0),1)</f>
        <v>1</v>
      </c>
    </row>
    <row r="5746" spans="10:10" ht="35.450000000000003" hidden="1" customHeight="1">
      <c r="J5746" s="28">
        <f>IFERROR(VLOOKUP(TEXT(B5746,"0"),STOCK!A:H,7,0),1)</f>
        <v>1</v>
      </c>
    </row>
    <row r="5747" spans="10:10" ht="35.450000000000003" hidden="1" customHeight="1">
      <c r="J5747" s="28">
        <f>IFERROR(VLOOKUP(TEXT(B5747,"0"),STOCK!A:H,7,0),1)</f>
        <v>1</v>
      </c>
    </row>
    <row r="5748" spans="10:10" ht="35.450000000000003" hidden="1" customHeight="1">
      <c r="J5748" s="28">
        <f>IFERROR(VLOOKUP(TEXT(B5748,"0"),STOCK!A:H,7,0),1)</f>
        <v>1</v>
      </c>
    </row>
    <row r="5749" spans="10:10" ht="35.450000000000003" hidden="1" customHeight="1">
      <c r="J5749" s="28">
        <f>IFERROR(VLOOKUP(TEXT(B5749,"0"),STOCK!A:H,7,0),1)</f>
        <v>1</v>
      </c>
    </row>
    <row r="5750" spans="10:10" ht="35.450000000000003" hidden="1" customHeight="1">
      <c r="J5750" s="28">
        <f>IFERROR(VLOOKUP(TEXT(B5750,"0"),STOCK!A:H,7,0),1)</f>
        <v>1</v>
      </c>
    </row>
    <row r="5751" spans="10:10" ht="35.450000000000003" hidden="1" customHeight="1">
      <c r="J5751" s="28">
        <f>IFERROR(VLOOKUP(TEXT(B5751,"0"),STOCK!A:H,7,0),1)</f>
        <v>1</v>
      </c>
    </row>
    <row r="5752" spans="10:10" ht="35.450000000000003" hidden="1" customHeight="1">
      <c r="J5752" s="28">
        <f>IFERROR(VLOOKUP(TEXT(B5752,"0"),STOCK!A:H,7,0),1)</f>
        <v>1</v>
      </c>
    </row>
    <row r="5753" spans="10:10" ht="35.450000000000003" hidden="1" customHeight="1">
      <c r="J5753" s="28">
        <f>IFERROR(VLOOKUP(TEXT(B5753,"0"),STOCK!A:H,7,0),1)</f>
        <v>1</v>
      </c>
    </row>
    <row r="5754" spans="10:10" ht="35.450000000000003" hidden="1" customHeight="1">
      <c r="J5754" s="28">
        <f>IFERROR(VLOOKUP(TEXT(B5754,"0"),STOCK!A:H,7,0),1)</f>
        <v>1</v>
      </c>
    </row>
    <row r="5755" spans="10:10" ht="35.450000000000003" hidden="1" customHeight="1">
      <c r="J5755" s="28">
        <f>IFERROR(VLOOKUP(TEXT(B5755,"0"),STOCK!A:H,7,0),1)</f>
        <v>1</v>
      </c>
    </row>
    <row r="5756" spans="10:10" ht="35.450000000000003" hidden="1" customHeight="1">
      <c r="J5756" s="28">
        <f>IFERROR(VLOOKUP(TEXT(B5756,"0"),STOCK!A:H,7,0),1)</f>
        <v>1</v>
      </c>
    </row>
    <row r="5757" spans="10:10" ht="35.450000000000003" hidden="1" customHeight="1">
      <c r="J5757" s="28">
        <f>IFERROR(VLOOKUP(TEXT(B5757,"0"),STOCK!A:H,7,0),1)</f>
        <v>1</v>
      </c>
    </row>
    <row r="5758" spans="10:10" ht="35.450000000000003" hidden="1" customHeight="1">
      <c r="J5758" s="28">
        <f>IFERROR(VLOOKUP(TEXT(B5758,"0"),STOCK!A:H,7,0),1)</f>
        <v>1</v>
      </c>
    </row>
    <row r="5759" spans="10:10" ht="35.450000000000003" hidden="1" customHeight="1">
      <c r="J5759" s="28">
        <f>IFERROR(VLOOKUP(TEXT(B5759,"0"),STOCK!A:H,7,0),1)</f>
        <v>1</v>
      </c>
    </row>
    <row r="5760" spans="10:10" ht="35.450000000000003" hidden="1" customHeight="1">
      <c r="J5760" s="28">
        <f>IFERROR(VLOOKUP(TEXT(B5760,"0"),STOCK!A:H,7,0),1)</f>
        <v>1</v>
      </c>
    </row>
    <row r="5761" spans="10:10" ht="35.450000000000003" hidden="1" customHeight="1">
      <c r="J5761" s="28">
        <f>IFERROR(VLOOKUP(TEXT(B5761,"0"),STOCK!A:H,7,0),1)</f>
        <v>1</v>
      </c>
    </row>
    <row r="5762" spans="10:10" ht="35.450000000000003" hidden="1" customHeight="1">
      <c r="J5762" s="28">
        <f>IFERROR(VLOOKUP(TEXT(B5762,"0"),STOCK!A:H,7,0),1)</f>
        <v>1</v>
      </c>
    </row>
    <row r="5763" spans="10:10" ht="35.450000000000003" hidden="1" customHeight="1">
      <c r="J5763" s="28">
        <f>IFERROR(VLOOKUP(TEXT(B5763,"0"),STOCK!A:H,7,0),1)</f>
        <v>1</v>
      </c>
    </row>
    <row r="5764" spans="10:10" ht="35.450000000000003" hidden="1" customHeight="1">
      <c r="J5764" s="28">
        <f>IFERROR(VLOOKUP(TEXT(B5764,"0"),STOCK!A:H,7,0),1)</f>
        <v>1</v>
      </c>
    </row>
    <row r="5765" spans="10:10" ht="35.450000000000003" hidden="1" customHeight="1">
      <c r="J5765" s="28">
        <f>IFERROR(VLOOKUP(TEXT(B5765,"0"),STOCK!A:H,7,0),1)</f>
        <v>1</v>
      </c>
    </row>
    <row r="5766" spans="10:10" ht="35.450000000000003" hidden="1" customHeight="1">
      <c r="J5766" s="28">
        <f>IFERROR(VLOOKUP(TEXT(B5766,"0"),STOCK!A:H,7,0),1)</f>
        <v>1</v>
      </c>
    </row>
    <row r="5767" spans="10:10" ht="35.450000000000003" hidden="1" customHeight="1">
      <c r="J5767" s="28">
        <f>IFERROR(VLOOKUP(TEXT(B5767,"0"),STOCK!A:H,7,0),1)</f>
        <v>1</v>
      </c>
    </row>
    <row r="5768" spans="10:10" ht="35.450000000000003" hidden="1" customHeight="1">
      <c r="J5768" s="28">
        <f>IFERROR(VLOOKUP(TEXT(B5768,"0"),STOCK!A:H,7,0),1)</f>
        <v>1</v>
      </c>
    </row>
    <row r="5769" spans="10:10" ht="35.450000000000003" hidden="1" customHeight="1">
      <c r="J5769" s="28">
        <f>IFERROR(VLOOKUP(TEXT(B5769,"0"),STOCK!A:H,7,0),1)</f>
        <v>1</v>
      </c>
    </row>
    <row r="5770" spans="10:10" ht="35.450000000000003" hidden="1" customHeight="1">
      <c r="J5770" s="28">
        <f>IFERROR(VLOOKUP(TEXT(B5770,"0"),STOCK!A:H,7,0),1)</f>
        <v>1</v>
      </c>
    </row>
    <row r="5771" spans="10:10" ht="35.450000000000003" hidden="1" customHeight="1">
      <c r="J5771" s="28">
        <f>IFERROR(VLOOKUP(TEXT(B5771,"0"),STOCK!A:H,7,0),1)</f>
        <v>1</v>
      </c>
    </row>
    <row r="5772" spans="10:10" ht="35.450000000000003" hidden="1" customHeight="1">
      <c r="J5772" s="28">
        <f>IFERROR(VLOOKUP(TEXT(B5772,"0"),STOCK!A:H,7,0),1)</f>
        <v>1</v>
      </c>
    </row>
    <row r="5773" spans="10:10" ht="35.450000000000003" hidden="1" customHeight="1">
      <c r="J5773" s="28">
        <f>IFERROR(VLOOKUP(TEXT(B5773,"0"),STOCK!A:H,7,0),1)</f>
        <v>1</v>
      </c>
    </row>
    <row r="5774" spans="10:10" ht="35.450000000000003" hidden="1" customHeight="1">
      <c r="J5774" s="28">
        <f>IFERROR(VLOOKUP(TEXT(B5774,"0"),STOCK!A:H,7,0),1)</f>
        <v>1</v>
      </c>
    </row>
    <row r="5775" spans="10:10" ht="35.450000000000003" hidden="1" customHeight="1">
      <c r="J5775" s="28">
        <f>IFERROR(VLOOKUP(TEXT(B5775,"0"),STOCK!A:H,7,0),1)</f>
        <v>1</v>
      </c>
    </row>
    <row r="5776" spans="10:10" ht="35.450000000000003" hidden="1" customHeight="1">
      <c r="J5776" s="28">
        <f>IFERROR(VLOOKUP(TEXT(B5776,"0"),STOCK!A:H,7,0),1)</f>
        <v>1</v>
      </c>
    </row>
    <row r="5777" spans="10:10" ht="35.450000000000003" hidden="1" customHeight="1">
      <c r="J5777" s="28">
        <f>IFERROR(VLOOKUP(TEXT(B5777,"0"),STOCK!A:H,7,0),1)</f>
        <v>1</v>
      </c>
    </row>
    <row r="5778" spans="10:10" ht="35.450000000000003" hidden="1" customHeight="1">
      <c r="J5778" s="28">
        <f>IFERROR(VLOOKUP(TEXT(B5778,"0"),STOCK!A:H,7,0),1)</f>
        <v>1</v>
      </c>
    </row>
    <row r="5779" spans="10:10" ht="35.450000000000003" hidden="1" customHeight="1">
      <c r="J5779" s="28">
        <f>IFERROR(VLOOKUP(TEXT(B5779,"0"),STOCK!A:H,7,0),1)</f>
        <v>1</v>
      </c>
    </row>
    <row r="5780" spans="10:10" ht="35.450000000000003" hidden="1" customHeight="1">
      <c r="J5780" s="28">
        <f>IFERROR(VLOOKUP(TEXT(B5780,"0"),STOCK!A:H,7,0),1)</f>
        <v>1</v>
      </c>
    </row>
    <row r="5781" spans="10:10" ht="35.450000000000003" hidden="1" customHeight="1">
      <c r="J5781" s="28">
        <f>IFERROR(VLOOKUP(TEXT(B5781,"0"),STOCK!A:H,7,0),1)</f>
        <v>1</v>
      </c>
    </row>
    <row r="5782" spans="10:10" ht="35.450000000000003" hidden="1" customHeight="1">
      <c r="J5782" s="28">
        <f>IFERROR(VLOOKUP(TEXT(B5782,"0"),STOCK!A:H,7,0),1)</f>
        <v>1</v>
      </c>
    </row>
    <row r="5783" spans="10:10" ht="35.450000000000003" hidden="1" customHeight="1">
      <c r="J5783" s="28">
        <f>IFERROR(VLOOKUP(TEXT(B5783,"0"),STOCK!A:H,7,0),1)</f>
        <v>1</v>
      </c>
    </row>
    <row r="5784" spans="10:10" ht="35.450000000000003" hidden="1" customHeight="1">
      <c r="J5784" s="28">
        <f>IFERROR(VLOOKUP(TEXT(B5784,"0"),STOCK!A:H,7,0),1)</f>
        <v>1</v>
      </c>
    </row>
    <row r="5785" spans="10:10" ht="35.450000000000003" hidden="1" customHeight="1">
      <c r="J5785" s="28">
        <f>IFERROR(VLOOKUP(TEXT(B5785,"0"),STOCK!A:H,7,0),1)</f>
        <v>1</v>
      </c>
    </row>
    <row r="5786" spans="10:10" ht="35.450000000000003" hidden="1" customHeight="1">
      <c r="J5786" s="28">
        <f>IFERROR(VLOOKUP(TEXT(B5786,"0"),STOCK!A:H,7,0),1)</f>
        <v>1</v>
      </c>
    </row>
    <row r="5787" spans="10:10" ht="35.450000000000003" hidden="1" customHeight="1">
      <c r="J5787" s="28">
        <f>IFERROR(VLOOKUP(TEXT(B5787,"0"),STOCK!A:H,7,0),1)</f>
        <v>1</v>
      </c>
    </row>
    <row r="5788" spans="10:10" ht="35.450000000000003" hidden="1" customHeight="1">
      <c r="J5788" s="28">
        <f>IFERROR(VLOOKUP(TEXT(B5788,"0"),STOCK!A:H,7,0),1)</f>
        <v>1</v>
      </c>
    </row>
    <row r="5789" spans="10:10" ht="35.450000000000003" hidden="1" customHeight="1">
      <c r="J5789" s="28">
        <f>IFERROR(VLOOKUP(TEXT(B5789,"0"),STOCK!A:H,7,0),1)</f>
        <v>1</v>
      </c>
    </row>
    <row r="5790" spans="10:10" ht="35.450000000000003" hidden="1" customHeight="1">
      <c r="J5790" s="28">
        <f>IFERROR(VLOOKUP(TEXT(B5790,"0"),STOCK!A:H,7,0),1)</f>
        <v>1</v>
      </c>
    </row>
    <row r="5791" spans="10:10" ht="35.450000000000003" hidden="1" customHeight="1">
      <c r="J5791" s="28">
        <f>IFERROR(VLOOKUP(TEXT(B5791,"0"),STOCK!A:H,7,0),1)</f>
        <v>1</v>
      </c>
    </row>
    <row r="5792" spans="10:10" ht="35.450000000000003" hidden="1" customHeight="1">
      <c r="J5792" s="28">
        <f>IFERROR(VLOOKUP(TEXT(B5792,"0"),STOCK!A:H,7,0),1)</f>
        <v>1</v>
      </c>
    </row>
    <row r="5793" spans="10:10" ht="35.450000000000003" hidden="1" customHeight="1">
      <c r="J5793" s="28">
        <f>IFERROR(VLOOKUP(TEXT(B5793,"0"),STOCK!A:H,7,0),1)</f>
        <v>1</v>
      </c>
    </row>
    <row r="5794" spans="10:10" ht="35.450000000000003" hidden="1" customHeight="1">
      <c r="J5794" s="28">
        <f>IFERROR(VLOOKUP(TEXT(B5794,"0"),STOCK!A:H,7,0),1)</f>
        <v>1</v>
      </c>
    </row>
    <row r="5795" spans="10:10" ht="35.450000000000003" hidden="1" customHeight="1">
      <c r="J5795" s="28">
        <f>IFERROR(VLOOKUP(TEXT(B5795,"0"),STOCK!A:H,7,0),1)</f>
        <v>1</v>
      </c>
    </row>
    <row r="5796" spans="10:10" ht="35.450000000000003" hidden="1" customHeight="1">
      <c r="J5796" s="28">
        <f>IFERROR(VLOOKUP(TEXT(B5796,"0"),STOCK!A:H,7,0),1)</f>
        <v>1</v>
      </c>
    </row>
    <row r="5797" spans="10:10" ht="35.450000000000003" hidden="1" customHeight="1">
      <c r="J5797" s="28">
        <f>IFERROR(VLOOKUP(TEXT(B5797,"0"),STOCK!A:H,7,0),1)</f>
        <v>1</v>
      </c>
    </row>
    <row r="5798" spans="10:10" ht="35.450000000000003" hidden="1" customHeight="1">
      <c r="J5798" s="28">
        <f>IFERROR(VLOOKUP(TEXT(B5798,"0"),STOCK!A:H,7,0),1)</f>
        <v>1</v>
      </c>
    </row>
    <row r="5799" spans="10:10" ht="35.450000000000003" hidden="1" customHeight="1">
      <c r="J5799" s="28">
        <f>IFERROR(VLOOKUP(TEXT(B5799,"0"),STOCK!A:H,7,0),1)</f>
        <v>1</v>
      </c>
    </row>
    <row r="5800" spans="10:10" ht="35.450000000000003" hidden="1" customHeight="1">
      <c r="J5800" s="28">
        <f>IFERROR(VLOOKUP(TEXT(B5800,"0"),STOCK!A:H,7,0),1)</f>
        <v>1</v>
      </c>
    </row>
    <row r="5801" spans="10:10" ht="35.450000000000003" hidden="1" customHeight="1">
      <c r="J5801" s="28">
        <f>IFERROR(VLOOKUP(TEXT(B5801,"0"),STOCK!A:H,7,0),1)</f>
        <v>1</v>
      </c>
    </row>
    <row r="5802" spans="10:10" ht="35.450000000000003" hidden="1" customHeight="1">
      <c r="J5802" s="28">
        <f>IFERROR(VLOOKUP(TEXT(B5802,"0"),STOCK!A:H,7,0),1)</f>
        <v>1</v>
      </c>
    </row>
    <row r="5803" spans="10:10" ht="35.450000000000003" hidden="1" customHeight="1">
      <c r="J5803" s="28">
        <f>IFERROR(VLOOKUP(TEXT(B5803,"0"),STOCK!A:H,7,0),1)</f>
        <v>1</v>
      </c>
    </row>
    <row r="5804" spans="10:10" ht="35.450000000000003" hidden="1" customHeight="1">
      <c r="J5804" s="28">
        <f>IFERROR(VLOOKUP(TEXT(B5804,"0"),STOCK!A:H,7,0),1)</f>
        <v>1</v>
      </c>
    </row>
    <row r="5805" spans="10:10" ht="35.450000000000003" hidden="1" customHeight="1">
      <c r="J5805" s="28">
        <f>IFERROR(VLOOKUP(TEXT(B5805,"0"),STOCK!A:H,7,0),1)</f>
        <v>1</v>
      </c>
    </row>
    <row r="5806" spans="10:10" ht="35.450000000000003" hidden="1" customHeight="1">
      <c r="J5806" s="28">
        <f>IFERROR(VLOOKUP(TEXT(B5806,"0"),STOCK!A:H,7,0),1)</f>
        <v>1</v>
      </c>
    </row>
    <row r="5807" spans="10:10" ht="35.450000000000003" hidden="1" customHeight="1">
      <c r="J5807" s="28">
        <f>IFERROR(VLOOKUP(TEXT(B5807,"0"),STOCK!A:H,7,0),1)</f>
        <v>1</v>
      </c>
    </row>
    <row r="5808" spans="10:10" ht="35.450000000000003" hidden="1" customHeight="1">
      <c r="J5808" s="28">
        <f>IFERROR(VLOOKUP(TEXT(B5808,"0"),STOCK!A:H,7,0),1)</f>
        <v>1</v>
      </c>
    </row>
    <row r="5809" spans="10:10" ht="35.450000000000003" hidden="1" customHeight="1">
      <c r="J5809" s="28">
        <f>IFERROR(VLOOKUP(TEXT(B5809,"0"),STOCK!A:H,7,0),1)</f>
        <v>1</v>
      </c>
    </row>
    <row r="5810" spans="10:10" ht="35.450000000000003" hidden="1" customHeight="1">
      <c r="J5810" s="28">
        <f>IFERROR(VLOOKUP(TEXT(B5810,"0"),STOCK!A:H,7,0),1)</f>
        <v>1</v>
      </c>
    </row>
    <row r="5811" spans="10:10" ht="35.450000000000003" hidden="1" customHeight="1">
      <c r="J5811" s="28">
        <f>IFERROR(VLOOKUP(TEXT(B5811,"0"),STOCK!A:H,7,0),1)</f>
        <v>1</v>
      </c>
    </row>
    <row r="5812" spans="10:10" ht="35.450000000000003" hidden="1" customHeight="1">
      <c r="J5812" s="28">
        <f>IFERROR(VLOOKUP(TEXT(B5812,"0"),STOCK!A:H,7,0),1)</f>
        <v>1</v>
      </c>
    </row>
    <row r="5813" spans="10:10" ht="35.450000000000003" hidden="1" customHeight="1">
      <c r="J5813" s="28">
        <f>IFERROR(VLOOKUP(TEXT(B5813,"0"),STOCK!A:H,7,0),1)</f>
        <v>1</v>
      </c>
    </row>
    <row r="5814" spans="10:10" ht="35.450000000000003" hidden="1" customHeight="1">
      <c r="J5814" s="28">
        <f>IFERROR(VLOOKUP(TEXT(B5814,"0"),STOCK!A:H,7,0),1)</f>
        <v>1</v>
      </c>
    </row>
    <row r="5815" spans="10:10" ht="35.450000000000003" hidden="1" customHeight="1">
      <c r="J5815" s="28">
        <f>IFERROR(VLOOKUP(TEXT(B5815,"0"),STOCK!A:H,7,0),1)</f>
        <v>1</v>
      </c>
    </row>
    <row r="5816" spans="10:10" ht="35.450000000000003" hidden="1" customHeight="1">
      <c r="J5816" s="28">
        <f>IFERROR(VLOOKUP(TEXT(B5816,"0"),STOCK!A:H,7,0),1)</f>
        <v>1</v>
      </c>
    </row>
    <row r="5817" spans="10:10" ht="35.450000000000003" hidden="1" customHeight="1">
      <c r="J5817" s="28">
        <f>IFERROR(VLOOKUP(TEXT(B5817,"0"),STOCK!A:H,7,0),1)</f>
        <v>1</v>
      </c>
    </row>
    <row r="5818" spans="10:10" ht="35.450000000000003" hidden="1" customHeight="1">
      <c r="J5818" s="28">
        <f>IFERROR(VLOOKUP(TEXT(B5818,"0"),STOCK!A:H,7,0),1)</f>
        <v>1</v>
      </c>
    </row>
    <row r="5819" spans="10:10" ht="35.450000000000003" hidden="1" customHeight="1">
      <c r="J5819" s="28">
        <f>IFERROR(VLOOKUP(TEXT(B5819,"0"),STOCK!A:H,7,0),1)</f>
        <v>1</v>
      </c>
    </row>
    <row r="5820" spans="10:10" ht="35.450000000000003" hidden="1" customHeight="1">
      <c r="J5820" s="28">
        <f>IFERROR(VLOOKUP(TEXT(B5820,"0"),STOCK!A:H,7,0),1)</f>
        <v>1</v>
      </c>
    </row>
    <row r="5821" spans="10:10" ht="35.450000000000003" hidden="1" customHeight="1">
      <c r="J5821" s="28">
        <f>IFERROR(VLOOKUP(TEXT(B5821,"0"),STOCK!A:H,7,0),1)</f>
        <v>1</v>
      </c>
    </row>
    <row r="5822" spans="10:10" ht="35.450000000000003" hidden="1" customHeight="1">
      <c r="J5822" s="28">
        <f>IFERROR(VLOOKUP(TEXT(B5822,"0"),STOCK!A:H,7,0),1)</f>
        <v>1</v>
      </c>
    </row>
    <row r="5823" spans="10:10" ht="35.450000000000003" hidden="1" customHeight="1">
      <c r="J5823" s="28">
        <f>IFERROR(VLOOKUP(TEXT(B5823,"0"),STOCK!A:H,7,0),1)</f>
        <v>1</v>
      </c>
    </row>
    <row r="5824" spans="10:10" ht="35.450000000000003" hidden="1" customHeight="1">
      <c r="J5824" s="28">
        <f>IFERROR(VLOOKUP(TEXT(B5824,"0"),STOCK!A:H,7,0),1)</f>
        <v>1</v>
      </c>
    </row>
    <row r="5825" spans="10:10" ht="35.450000000000003" hidden="1" customHeight="1">
      <c r="J5825" s="28">
        <f>IFERROR(VLOOKUP(TEXT(B5825,"0"),STOCK!A:H,7,0),1)</f>
        <v>1</v>
      </c>
    </row>
    <row r="5826" spans="10:10" ht="35.450000000000003" hidden="1" customHeight="1">
      <c r="J5826" s="28">
        <f>IFERROR(VLOOKUP(TEXT(B5826,"0"),STOCK!A:H,7,0),1)</f>
        <v>1</v>
      </c>
    </row>
    <row r="5827" spans="10:10" ht="35.450000000000003" hidden="1" customHeight="1">
      <c r="J5827" s="28">
        <f>IFERROR(VLOOKUP(TEXT(B5827,"0"),STOCK!A:H,7,0),1)</f>
        <v>1</v>
      </c>
    </row>
    <row r="5828" spans="10:10" ht="35.450000000000003" hidden="1" customHeight="1">
      <c r="J5828" s="28">
        <f>IFERROR(VLOOKUP(TEXT(B5828,"0"),STOCK!A:H,7,0),1)</f>
        <v>1</v>
      </c>
    </row>
    <row r="5829" spans="10:10" ht="35.450000000000003" hidden="1" customHeight="1">
      <c r="J5829" s="28">
        <f>IFERROR(VLOOKUP(TEXT(B5829,"0"),STOCK!A:H,7,0),1)</f>
        <v>1</v>
      </c>
    </row>
    <row r="5830" spans="10:10" ht="35.450000000000003" hidden="1" customHeight="1">
      <c r="J5830" s="28">
        <f>IFERROR(VLOOKUP(TEXT(B5830,"0"),STOCK!A:H,7,0),1)</f>
        <v>1</v>
      </c>
    </row>
    <row r="5831" spans="10:10" ht="35.450000000000003" hidden="1" customHeight="1">
      <c r="J5831" s="28">
        <f>IFERROR(VLOOKUP(TEXT(B5831,"0"),STOCK!A:H,7,0),1)</f>
        <v>1</v>
      </c>
    </row>
    <row r="5832" spans="10:10" ht="35.450000000000003" hidden="1" customHeight="1">
      <c r="J5832" s="28">
        <f>IFERROR(VLOOKUP(TEXT(B5832,"0"),STOCK!A:H,7,0),1)</f>
        <v>1</v>
      </c>
    </row>
    <row r="5833" spans="10:10" ht="35.450000000000003" hidden="1" customHeight="1">
      <c r="J5833" s="28">
        <f>IFERROR(VLOOKUP(TEXT(B5833,"0"),STOCK!A:H,7,0),1)</f>
        <v>1</v>
      </c>
    </row>
    <row r="5834" spans="10:10" ht="35.450000000000003" hidden="1" customHeight="1">
      <c r="J5834" s="28">
        <f>IFERROR(VLOOKUP(TEXT(B5834,"0"),STOCK!A:H,7,0),1)</f>
        <v>1</v>
      </c>
    </row>
    <row r="5835" spans="10:10" ht="35.450000000000003" hidden="1" customHeight="1">
      <c r="J5835" s="28">
        <f>IFERROR(VLOOKUP(TEXT(B5835,"0"),STOCK!A:H,7,0),1)</f>
        <v>1</v>
      </c>
    </row>
    <row r="5836" spans="10:10" ht="35.450000000000003" hidden="1" customHeight="1">
      <c r="J5836" s="28">
        <f>IFERROR(VLOOKUP(TEXT(B5836,"0"),STOCK!A:H,7,0),1)</f>
        <v>1</v>
      </c>
    </row>
    <row r="5837" spans="10:10" ht="35.450000000000003" hidden="1" customHeight="1">
      <c r="J5837" s="28">
        <f>IFERROR(VLOOKUP(TEXT(B5837,"0"),STOCK!A:H,7,0),1)</f>
        <v>1</v>
      </c>
    </row>
    <row r="5838" spans="10:10" ht="35.450000000000003" hidden="1" customHeight="1">
      <c r="J5838" s="28">
        <f>IFERROR(VLOOKUP(TEXT(B5838,"0"),STOCK!A:H,7,0),1)</f>
        <v>1</v>
      </c>
    </row>
    <row r="5839" spans="10:10" ht="35.450000000000003" hidden="1" customHeight="1">
      <c r="J5839" s="28">
        <f>IFERROR(VLOOKUP(TEXT(B5839,"0"),STOCK!A:H,7,0),1)</f>
        <v>1</v>
      </c>
    </row>
    <row r="5840" spans="10:10" ht="35.450000000000003" hidden="1" customHeight="1">
      <c r="J5840" s="28">
        <f>IFERROR(VLOOKUP(TEXT(B5840,"0"),STOCK!A:H,7,0),1)</f>
        <v>1</v>
      </c>
    </row>
    <row r="5841" spans="10:10" ht="35.450000000000003" hidden="1" customHeight="1">
      <c r="J5841" s="28">
        <f>IFERROR(VLOOKUP(TEXT(B5841,"0"),STOCK!A:H,7,0),1)</f>
        <v>1</v>
      </c>
    </row>
    <row r="5842" spans="10:10" ht="35.450000000000003" hidden="1" customHeight="1">
      <c r="J5842" s="28">
        <f>IFERROR(VLOOKUP(TEXT(B5842,"0"),STOCK!A:H,7,0),1)</f>
        <v>1</v>
      </c>
    </row>
    <row r="5843" spans="10:10" ht="35.450000000000003" hidden="1" customHeight="1">
      <c r="J5843" s="28">
        <f>IFERROR(VLOOKUP(TEXT(B5843,"0"),STOCK!A:H,7,0),1)</f>
        <v>1</v>
      </c>
    </row>
    <row r="5844" spans="10:10" ht="35.450000000000003" hidden="1" customHeight="1">
      <c r="J5844" s="28">
        <f>IFERROR(VLOOKUP(TEXT(B5844,"0"),STOCK!A:H,7,0),1)</f>
        <v>1</v>
      </c>
    </row>
    <row r="5845" spans="10:10" ht="35.450000000000003" hidden="1" customHeight="1">
      <c r="J5845" s="28">
        <f>IFERROR(VLOOKUP(TEXT(B5845,"0"),STOCK!A:H,7,0),1)</f>
        <v>1</v>
      </c>
    </row>
    <row r="5846" spans="10:10" ht="35.450000000000003" hidden="1" customHeight="1">
      <c r="J5846" s="28">
        <f>IFERROR(VLOOKUP(TEXT(B5846,"0"),STOCK!A:H,7,0),1)</f>
        <v>1</v>
      </c>
    </row>
    <row r="5847" spans="10:10" ht="35.450000000000003" hidden="1" customHeight="1">
      <c r="J5847" s="28">
        <f>IFERROR(VLOOKUP(TEXT(B5847,"0"),STOCK!A:H,7,0),1)</f>
        <v>1</v>
      </c>
    </row>
    <row r="5848" spans="10:10" ht="35.450000000000003" hidden="1" customHeight="1">
      <c r="J5848" s="28">
        <f>IFERROR(VLOOKUP(TEXT(B5848,"0"),STOCK!A:H,7,0),1)</f>
        <v>1</v>
      </c>
    </row>
    <row r="5849" spans="10:10" ht="35.450000000000003" hidden="1" customHeight="1">
      <c r="J5849" s="28">
        <f>IFERROR(VLOOKUP(TEXT(B5849,"0"),STOCK!A:H,7,0),1)</f>
        <v>1</v>
      </c>
    </row>
    <row r="5850" spans="10:10" ht="35.450000000000003" hidden="1" customHeight="1">
      <c r="J5850" s="28">
        <f>IFERROR(VLOOKUP(TEXT(B5850,"0"),STOCK!A:H,7,0),1)</f>
        <v>1</v>
      </c>
    </row>
    <row r="5851" spans="10:10" ht="35.450000000000003" hidden="1" customHeight="1">
      <c r="J5851" s="28">
        <f>IFERROR(VLOOKUP(TEXT(B5851,"0"),STOCK!A:H,7,0),1)</f>
        <v>1</v>
      </c>
    </row>
    <row r="5852" spans="10:10" ht="35.450000000000003" hidden="1" customHeight="1">
      <c r="J5852" s="28">
        <f>IFERROR(VLOOKUP(TEXT(B5852,"0"),STOCK!A:H,7,0),1)</f>
        <v>1</v>
      </c>
    </row>
    <row r="5853" spans="10:10" ht="35.450000000000003" hidden="1" customHeight="1">
      <c r="J5853" s="28">
        <f>IFERROR(VLOOKUP(TEXT(B5853,"0"),STOCK!A:H,7,0),1)</f>
        <v>1</v>
      </c>
    </row>
    <row r="5854" spans="10:10" ht="35.450000000000003" hidden="1" customHeight="1">
      <c r="J5854" s="28">
        <f>IFERROR(VLOOKUP(TEXT(B5854,"0"),STOCK!A:H,7,0),1)</f>
        <v>1</v>
      </c>
    </row>
    <row r="5855" spans="10:10" ht="35.450000000000003" hidden="1" customHeight="1">
      <c r="J5855" s="28">
        <f>IFERROR(VLOOKUP(TEXT(B5855,"0"),STOCK!A:H,7,0),1)</f>
        <v>1</v>
      </c>
    </row>
    <row r="5856" spans="10:10" ht="35.450000000000003" hidden="1" customHeight="1">
      <c r="J5856" s="28">
        <f>IFERROR(VLOOKUP(TEXT(B5856,"0"),STOCK!A:H,7,0),1)</f>
        <v>1</v>
      </c>
    </row>
    <row r="5857" spans="10:10" ht="35.450000000000003" hidden="1" customHeight="1">
      <c r="J5857" s="28">
        <f>IFERROR(VLOOKUP(TEXT(B5857,"0"),STOCK!A:H,7,0),1)</f>
        <v>1</v>
      </c>
    </row>
    <row r="5858" spans="10:10" ht="35.450000000000003" hidden="1" customHeight="1">
      <c r="J5858" s="28">
        <f>IFERROR(VLOOKUP(TEXT(B5858,"0"),STOCK!A:H,7,0),1)</f>
        <v>1</v>
      </c>
    </row>
    <row r="5859" spans="10:10" ht="35.450000000000003" hidden="1" customHeight="1">
      <c r="J5859" s="28">
        <f>IFERROR(VLOOKUP(TEXT(B5859,"0"),STOCK!A:H,7,0),1)</f>
        <v>1</v>
      </c>
    </row>
    <row r="5860" spans="10:10" ht="35.450000000000003" hidden="1" customHeight="1">
      <c r="J5860" s="28">
        <f>IFERROR(VLOOKUP(TEXT(B5860,"0"),STOCK!A:H,7,0),1)</f>
        <v>1</v>
      </c>
    </row>
    <row r="5861" spans="10:10" ht="35.450000000000003" hidden="1" customHeight="1">
      <c r="J5861" s="28">
        <f>IFERROR(VLOOKUP(TEXT(B5861,"0"),STOCK!A:H,7,0),1)</f>
        <v>1</v>
      </c>
    </row>
    <row r="5862" spans="10:10" ht="35.450000000000003" hidden="1" customHeight="1">
      <c r="J5862" s="28">
        <f>IFERROR(VLOOKUP(TEXT(B5862,"0"),STOCK!A:H,7,0),1)</f>
        <v>1</v>
      </c>
    </row>
    <row r="5863" spans="10:10" ht="35.450000000000003" hidden="1" customHeight="1">
      <c r="J5863" s="28">
        <f>IFERROR(VLOOKUP(TEXT(B5863,"0"),STOCK!A:H,7,0),1)</f>
        <v>1</v>
      </c>
    </row>
    <row r="5864" spans="10:10" ht="35.450000000000003" hidden="1" customHeight="1">
      <c r="J5864" s="28">
        <f>IFERROR(VLOOKUP(TEXT(B5864,"0"),STOCK!A:H,7,0),1)</f>
        <v>1</v>
      </c>
    </row>
    <row r="5865" spans="10:10" ht="35.450000000000003" hidden="1" customHeight="1">
      <c r="J5865" s="28">
        <f>IFERROR(VLOOKUP(TEXT(B5865,"0"),STOCK!A:H,7,0),1)</f>
        <v>1</v>
      </c>
    </row>
    <row r="5866" spans="10:10" ht="35.450000000000003" hidden="1" customHeight="1">
      <c r="J5866" s="28">
        <f>IFERROR(VLOOKUP(TEXT(B5866,"0"),STOCK!A:H,7,0),1)</f>
        <v>1</v>
      </c>
    </row>
    <row r="5867" spans="10:10" ht="35.450000000000003" hidden="1" customHeight="1">
      <c r="J5867" s="28">
        <f>IFERROR(VLOOKUP(TEXT(B5867,"0"),STOCK!A:H,7,0),1)</f>
        <v>1</v>
      </c>
    </row>
    <row r="5868" spans="10:10" ht="35.450000000000003" hidden="1" customHeight="1">
      <c r="J5868" s="28">
        <f>IFERROR(VLOOKUP(TEXT(B5868,"0"),STOCK!A:H,7,0),1)</f>
        <v>1</v>
      </c>
    </row>
    <row r="5869" spans="10:10" ht="35.450000000000003" hidden="1" customHeight="1">
      <c r="J5869" s="28">
        <f>IFERROR(VLOOKUP(TEXT(B5869,"0"),STOCK!A:H,7,0),1)</f>
        <v>1</v>
      </c>
    </row>
    <row r="5870" spans="10:10" ht="35.450000000000003" hidden="1" customHeight="1">
      <c r="J5870" s="28">
        <f>IFERROR(VLOOKUP(TEXT(B5870,"0"),STOCK!A:H,7,0),1)</f>
        <v>1</v>
      </c>
    </row>
    <row r="5871" spans="10:10" ht="35.450000000000003" hidden="1" customHeight="1">
      <c r="J5871" s="28">
        <f>IFERROR(VLOOKUP(TEXT(B5871,"0"),STOCK!A:H,7,0),1)</f>
        <v>1</v>
      </c>
    </row>
    <row r="5872" spans="10:10" ht="35.450000000000003" hidden="1" customHeight="1">
      <c r="J5872" s="28">
        <f>IFERROR(VLOOKUP(TEXT(B5872,"0"),STOCK!A:H,7,0),1)</f>
        <v>1</v>
      </c>
    </row>
    <row r="5873" spans="10:10" ht="35.450000000000003" hidden="1" customHeight="1">
      <c r="J5873" s="28">
        <f>IFERROR(VLOOKUP(TEXT(B5873,"0"),STOCK!A:H,7,0),1)</f>
        <v>1</v>
      </c>
    </row>
    <row r="5874" spans="10:10" ht="35.450000000000003" hidden="1" customHeight="1">
      <c r="J5874" s="28">
        <f>IFERROR(VLOOKUP(TEXT(B5874,"0"),STOCK!A:H,7,0),1)</f>
        <v>1</v>
      </c>
    </row>
    <row r="5875" spans="10:10" ht="35.450000000000003" hidden="1" customHeight="1">
      <c r="J5875" s="28">
        <f>IFERROR(VLOOKUP(TEXT(B5875,"0"),STOCK!A:H,7,0),1)</f>
        <v>1</v>
      </c>
    </row>
    <row r="5876" spans="10:10" ht="35.450000000000003" hidden="1" customHeight="1">
      <c r="J5876" s="28">
        <f>IFERROR(VLOOKUP(TEXT(B5876,"0"),STOCK!A:H,7,0),1)</f>
        <v>1</v>
      </c>
    </row>
    <row r="5877" spans="10:10" ht="35.450000000000003" hidden="1" customHeight="1">
      <c r="J5877" s="28">
        <f>IFERROR(VLOOKUP(TEXT(B5877,"0"),STOCK!A:H,7,0),1)</f>
        <v>1</v>
      </c>
    </row>
    <row r="5878" spans="10:10" ht="35.450000000000003" hidden="1" customHeight="1">
      <c r="J5878" s="28">
        <f>IFERROR(VLOOKUP(TEXT(B5878,"0"),STOCK!A:H,7,0),1)</f>
        <v>1</v>
      </c>
    </row>
    <row r="5879" spans="10:10" ht="35.450000000000003" hidden="1" customHeight="1">
      <c r="J5879" s="28">
        <f>IFERROR(VLOOKUP(TEXT(B5879,"0"),STOCK!A:H,7,0),1)</f>
        <v>1</v>
      </c>
    </row>
    <row r="5880" spans="10:10" ht="35.450000000000003" hidden="1" customHeight="1">
      <c r="J5880" s="28">
        <f>IFERROR(VLOOKUP(TEXT(B5880,"0"),STOCK!A:H,7,0),1)</f>
        <v>1</v>
      </c>
    </row>
    <row r="5881" spans="10:10" ht="35.450000000000003" hidden="1" customHeight="1">
      <c r="J5881" s="28">
        <f>IFERROR(VLOOKUP(TEXT(B5881,"0"),STOCK!A:H,7,0),1)</f>
        <v>1</v>
      </c>
    </row>
    <row r="5882" spans="10:10" ht="35.450000000000003" hidden="1" customHeight="1">
      <c r="J5882" s="28">
        <f>IFERROR(VLOOKUP(TEXT(B5882,"0"),STOCK!A:H,7,0),1)</f>
        <v>1</v>
      </c>
    </row>
    <row r="5883" spans="10:10" ht="35.450000000000003" hidden="1" customHeight="1">
      <c r="J5883" s="28">
        <f>IFERROR(VLOOKUP(TEXT(B5883,"0"),STOCK!A:H,7,0),1)</f>
        <v>1</v>
      </c>
    </row>
    <row r="5884" spans="10:10" ht="35.450000000000003" hidden="1" customHeight="1">
      <c r="J5884" s="28">
        <f>IFERROR(VLOOKUP(TEXT(B5884,"0"),STOCK!A:H,7,0),1)</f>
        <v>1</v>
      </c>
    </row>
    <row r="5885" spans="10:10" ht="35.450000000000003" hidden="1" customHeight="1">
      <c r="J5885" s="28">
        <f>IFERROR(VLOOKUP(TEXT(B5885,"0"),STOCK!A:H,7,0),1)</f>
        <v>1</v>
      </c>
    </row>
    <row r="5886" spans="10:10" ht="35.450000000000003" hidden="1" customHeight="1">
      <c r="J5886" s="28">
        <f>IFERROR(VLOOKUP(TEXT(B5886,"0"),STOCK!A:H,7,0),1)</f>
        <v>1</v>
      </c>
    </row>
    <row r="5887" spans="10:10" ht="35.450000000000003" hidden="1" customHeight="1">
      <c r="J5887" s="28">
        <f>IFERROR(VLOOKUP(TEXT(B5887,"0"),STOCK!A:H,7,0),1)</f>
        <v>1</v>
      </c>
    </row>
    <row r="5888" spans="10:10" ht="35.450000000000003" hidden="1" customHeight="1">
      <c r="J5888" s="28">
        <f>IFERROR(VLOOKUP(TEXT(B5888,"0"),STOCK!A:H,7,0),1)</f>
        <v>1</v>
      </c>
    </row>
    <row r="5889" spans="10:10" ht="35.450000000000003" hidden="1" customHeight="1">
      <c r="J5889" s="28">
        <f>IFERROR(VLOOKUP(TEXT(B5889,"0"),STOCK!A:H,7,0),1)</f>
        <v>1</v>
      </c>
    </row>
    <row r="5890" spans="10:10" ht="35.450000000000003" hidden="1" customHeight="1">
      <c r="J5890" s="28">
        <f>IFERROR(VLOOKUP(TEXT(B5890,"0"),STOCK!A:H,7,0),1)</f>
        <v>1</v>
      </c>
    </row>
    <row r="5891" spans="10:10" ht="35.450000000000003" hidden="1" customHeight="1">
      <c r="J5891" s="28">
        <f>IFERROR(VLOOKUP(TEXT(B5891,"0"),STOCK!A:H,7,0),1)</f>
        <v>1</v>
      </c>
    </row>
    <row r="5892" spans="10:10" ht="35.450000000000003" hidden="1" customHeight="1">
      <c r="J5892" s="28">
        <f>IFERROR(VLOOKUP(TEXT(B5892,"0"),STOCK!A:H,7,0),1)</f>
        <v>1</v>
      </c>
    </row>
    <row r="5893" spans="10:10" ht="35.450000000000003" hidden="1" customHeight="1">
      <c r="J5893" s="28">
        <f>IFERROR(VLOOKUP(TEXT(B5893,"0"),STOCK!A:H,7,0),1)</f>
        <v>1</v>
      </c>
    </row>
    <row r="5894" spans="10:10" ht="35.450000000000003" hidden="1" customHeight="1">
      <c r="J5894" s="28">
        <f>IFERROR(VLOOKUP(TEXT(B5894,"0"),STOCK!A:H,7,0),1)</f>
        <v>1</v>
      </c>
    </row>
    <row r="5895" spans="10:10" ht="35.450000000000003" hidden="1" customHeight="1">
      <c r="J5895" s="28">
        <f>IFERROR(VLOOKUP(TEXT(B5895,"0"),STOCK!A:H,7,0),1)</f>
        <v>1</v>
      </c>
    </row>
    <row r="5896" spans="10:10" ht="35.450000000000003" hidden="1" customHeight="1">
      <c r="J5896" s="28">
        <f>IFERROR(VLOOKUP(TEXT(B5896,"0"),STOCK!A:H,7,0),1)</f>
        <v>1</v>
      </c>
    </row>
    <row r="5897" spans="10:10" ht="35.450000000000003" hidden="1" customHeight="1">
      <c r="J5897" s="28">
        <f>IFERROR(VLOOKUP(TEXT(B5897,"0"),STOCK!A:H,7,0),1)</f>
        <v>1</v>
      </c>
    </row>
    <row r="5898" spans="10:10" ht="35.450000000000003" hidden="1" customHeight="1">
      <c r="J5898" s="28">
        <f>IFERROR(VLOOKUP(TEXT(B5898,"0"),STOCK!A:H,7,0),1)</f>
        <v>1</v>
      </c>
    </row>
    <row r="5899" spans="10:10" ht="35.450000000000003" hidden="1" customHeight="1">
      <c r="J5899" s="28">
        <f>IFERROR(VLOOKUP(TEXT(B5899,"0"),STOCK!A:H,7,0),1)</f>
        <v>1</v>
      </c>
    </row>
    <row r="5900" spans="10:10" ht="35.450000000000003" hidden="1" customHeight="1">
      <c r="J5900" s="28">
        <f>IFERROR(VLOOKUP(TEXT(B5900,"0"),STOCK!A:H,7,0),1)</f>
        <v>1</v>
      </c>
    </row>
    <row r="5901" spans="10:10" ht="35.450000000000003" hidden="1" customHeight="1">
      <c r="J5901" s="28">
        <f>IFERROR(VLOOKUP(TEXT(B5901,"0"),STOCK!A:H,7,0),1)</f>
        <v>1</v>
      </c>
    </row>
    <row r="5902" spans="10:10" ht="35.450000000000003" hidden="1" customHeight="1">
      <c r="J5902" s="28">
        <f>IFERROR(VLOOKUP(TEXT(B5902,"0"),STOCK!A:H,7,0),1)</f>
        <v>1</v>
      </c>
    </row>
    <row r="5903" spans="10:10" ht="35.450000000000003" hidden="1" customHeight="1">
      <c r="J5903" s="28">
        <f>IFERROR(VLOOKUP(TEXT(B5903,"0"),STOCK!A:H,7,0),1)</f>
        <v>1</v>
      </c>
    </row>
    <row r="5904" spans="10:10" ht="35.450000000000003" hidden="1" customHeight="1">
      <c r="J5904" s="28">
        <f>IFERROR(VLOOKUP(TEXT(B5904,"0"),STOCK!A:H,7,0),1)</f>
        <v>1</v>
      </c>
    </row>
    <row r="5905" spans="10:10" ht="35.450000000000003" hidden="1" customHeight="1">
      <c r="J5905" s="28">
        <f>IFERROR(VLOOKUP(TEXT(B5905,"0"),STOCK!A:H,7,0),1)</f>
        <v>1</v>
      </c>
    </row>
    <row r="5906" spans="10:10" ht="35.450000000000003" hidden="1" customHeight="1">
      <c r="J5906" s="28">
        <f>IFERROR(VLOOKUP(TEXT(B5906,"0"),STOCK!A:H,7,0),1)</f>
        <v>1</v>
      </c>
    </row>
    <row r="5907" spans="10:10" ht="35.450000000000003" hidden="1" customHeight="1">
      <c r="J5907" s="28">
        <f>IFERROR(VLOOKUP(TEXT(B5907,"0"),STOCK!A:H,7,0),1)</f>
        <v>1</v>
      </c>
    </row>
    <row r="5908" spans="10:10" ht="35.450000000000003" hidden="1" customHeight="1">
      <c r="J5908" s="28">
        <f>IFERROR(VLOOKUP(TEXT(B5908,"0"),STOCK!A:H,7,0),1)</f>
        <v>1</v>
      </c>
    </row>
    <row r="5909" spans="10:10" ht="35.450000000000003" hidden="1" customHeight="1">
      <c r="J5909" s="28">
        <f>IFERROR(VLOOKUP(TEXT(B5909,"0"),STOCK!A:H,7,0),1)</f>
        <v>1</v>
      </c>
    </row>
    <row r="5910" spans="10:10" ht="35.450000000000003" hidden="1" customHeight="1">
      <c r="J5910" s="28">
        <f>IFERROR(VLOOKUP(TEXT(B5910,"0"),STOCK!A:H,7,0),1)</f>
        <v>1</v>
      </c>
    </row>
    <row r="5911" spans="10:10" ht="35.450000000000003" hidden="1" customHeight="1">
      <c r="J5911" s="28">
        <f>IFERROR(VLOOKUP(TEXT(B5911,"0"),STOCK!A:H,7,0),1)</f>
        <v>1</v>
      </c>
    </row>
    <row r="5912" spans="10:10" ht="35.450000000000003" hidden="1" customHeight="1">
      <c r="J5912" s="28">
        <f>IFERROR(VLOOKUP(TEXT(B5912,"0"),STOCK!A:H,7,0),1)</f>
        <v>1</v>
      </c>
    </row>
    <row r="5913" spans="10:10" ht="35.450000000000003" hidden="1" customHeight="1">
      <c r="J5913" s="28">
        <f>IFERROR(VLOOKUP(TEXT(B5913,"0"),STOCK!A:H,7,0),1)</f>
        <v>1</v>
      </c>
    </row>
    <row r="5914" spans="10:10" ht="35.450000000000003" hidden="1" customHeight="1">
      <c r="J5914" s="28">
        <f>IFERROR(VLOOKUP(TEXT(B5914,"0"),STOCK!A:H,7,0),1)</f>
        <v>1</v>
      </c>
    </row>
    <row r="5915" spans="10:10" ht="35.450000000000003" hidden="1" customHeight="1">
      <c r="J5915" s="28">
        <f>IFERROR(VLOOKUP(TEXT(B5915,"0"),STOCK!A:H,7,0),1)</f>
        <v>1</v>
      </c>
    </row>
    <row r="5916" spans="10:10" ht="35.450000000000003" hidden="1" customHeight="1">
      <c r="J5916" s="28">
        <f>IFERROR(VLOOKUP(TEXT(B5916,"0"),STOCK!A:H,7,0),1)</f>
        <v>1</v>
      </c>
    </row>
    <row r="5917" spans="10:10" ht="35.450000000000003" hidden="1" customHeight="1">
      <c r="J5917" s="28">
        <f>IFERROR(VLOOKUP(TEXT(B5917,"0"),STOCK!A:H,7,0),1)</f>
        <v>1</v>
      </c>
    </row>
    <row r="5918" spans="10:10" ht="35.450000000000003" hidden="1" customHeight="1">
      <c r="J5918" s="28">
        <f>IFERROR(VLOOKUP(TEXT(B5918,"0"),STOCK!A:H,7,0),1)</f>
        <v>1</v>
      </c>
    </row>
    <row r="5919" spans="10:10" ht="35.450000000000003" hidden="1" customHeight="1">
      <c r="J5919" s="28">
        <f>IFERROR(VLOOKUP(TEXT(B5919,"0"),STOCK!A:H,7,0),1)</f>
        <v>1</v>
      </c>
    </row>
    <row r="5920" spans="10:10" ht="35.450000000000003" hidden="1" customHeight="1">
      <c r="J5920" s="28">
        <f>IFERROR(VLOOKUP(TEXT(B5920,"0"),STOCK!A:H,7,0),1)</f>
        <v>1</v>
      </c>
    </row>
    <row r="5921" spans="10:10" ht="35.450000000000003" hidden="1" customHeight="1">
      <c r="J5921" s="28">
        <f>IFERROR(VLOOKUP(TEXT(B5921,"0"),STOCK!A:H,7,0),1)</f>
        <v>1</v>
      </c>
    </row>
    <row r="5922" spans="10:10" ht="35.450000000000003" hidden="1" customHeight="1">
      <c r="J5922" s="28">
        <f>IFERROR(VLOOKUP(TEXT(B5922,"0"),STOCK!A:H,7,0),1)</f>
        <v>1</v>
      </c>
    </row>
    <row r="5923" spans="10:10" ht="35.450000000000003" hidden="1" customHeight="1">
      <c r="J5923" s="28">
        <f>IFERROR(VLOOKUP(TEXT(B5923,"0"),STOCK!A:H,7,0),1)</f>
        <v>1</v>
      </c>
    </row>
    <row r="5924" spans="10:10" ht="35.450000000000003" hidden="1" customHeight="1">
      <c r="J5924" s="28">
        <f>IFERROR(VLOOKUP(TEXT(B5924,"0"),STOCK!A:H,7,0),1)</f>
        <v>1</v>
      </c>
    </row>
    <row r="5925" spans="10:10" ht="35.450000000000003" hidden="1" customHeight="1">
      <c r="J5925" s="28">
        <f>IFERROR(VLOOKUP(TEXT(B5925,"0"),STOCK!A:H,7,0),1)</f>
        <v>1</v>
      </c>
    </row>
    <row r="5926" spans="10:10" ht="35.450000000000003" hidden="1" customHeight="1">
      <c r="J5926" s="28">
        <f>IFERROR(VLOOKUP(TEXT(B5926,"0"),STOCK!A:H,7,0),1)</f>
        <v>1</v>
      </c>
    </row>
    <row r="5927" spans="10:10" ht="35.450000000000003" hidden="1" customHeight="1">
      <c r="J5927" s="28">
        <f>IFERROR(VLOOKUP(TEXT(B5927,"0"),STOCK!A:H,7,0),1)</f>
        <v>1</v>
      </c>
    </row>
    <row r="5928" spans="10:10" ht="35.450000000000003" hidden="1" customHeight="1">
      <c r="J5928" s="28">
        <f>IFERROR(VLOOKUP(TEXT(B5928,"0"),STOCK!A:H,7,0),1)</f>
        <v>1</v>
      </c>
    </row>
    <row r="5929" spans="10:10" ht="35.450000000000003" hidden="1" customHeight="1">
      <c r="J5929" s="28">
        <f>IFERROR(VLOOKUP(TEXT(B5929,"0"),STOCK!A:H,7,0),1)</f>
        <v>1</v>
      </c>
    </row>
    <row r="5930" spans="10:10" ht="35.450000000000003" hidden="1" customHeight="1">
      <c r="J5930" s="28">
        <f>IFERROR(VLOOKUP(TEXT(B5930,"0"),STOCK!A:H,7,0),1)</f>
        <v>1</v>
      </c>
    </row>
    <row r="5931" spans="10:10" ht="35.450000000000003" hidden="1" customHeight="1">
      <c r="J5931" s="28">
        <f>IFERROR(VLOOKUP(TEXT(B5931,"0"),STOCK!A:H,7,0),1)</f>
        <v>1</v>
      </c>
    </row>
    <row r="5932" spans="10:10" ht="35.450000000000003" hidden="1" customHeight="1">
      <c r="J5932" s="28">
        <f>IFERROR(VLOOKUP(TEXT(B5932,"0"),STOCK!A:H,7,0),1)</f>
        <v>1</v>
      </c>
    </row>
    <row r="5933" spans="10:10" ht="35.450000000000003" hidden="1" customHeight="1">
      <c r="J5933" s="28">
        <f>IFERROR(VLOOKUP(TEXT(B5933,"0"),STOCK!A:H,7,0),1)</f>
        <v>1</v>
      </c>
    </row>
    <row r="5934" spans="10:10" ht="35.450000000000003" hidden="1" customHeight="1">
      <c r="J5934" s="28">
        <f>IFERROR(VLOOKUP(TEXT(B5934,"0"),STOCK!A:H,7,0),1)</f>
        <v>1</v>
      </c>
    </row>
    <row r="5935" spans="10:10" ht="35.450000000000003" hidden="1" customHeight="1">
      <c r="J5935" s="28">
        <f>IFERROR(VLOOKUP(TEXT(B5935,"0"),STOCK!A:H,7,0),1)</f>
        <v>1</v>
      </c>
    </row>
    <row r="5936" spans="10:10" ht="35.450000000000003" hidden="1" customHeight="1">
      <c r="J5936" s="28">
        <f>IFERROR(VLOOKUP(TEXT(B5936,"0"),STOCK!A:H,7,0),1)</f>
        <v>1</v>
      </c>
    </row>
    <row r="5937" spans="10:10" ht="35.450000000000003" hidden="1" customHeight="1">
      <c r="J5937" s="28">
        <f>IFERROR(VLOOKUP(TEXT(B5937,"0"),STOCK!A:H,7,0),1)</f>
        <v>1</v>
      </c>
    </row>
    <row r="5938" spans="10:10" ht="35.450000000000003" hidden="1" customHeight="1">
      <c r="J5938" s="28">
        <f>IFERROR(VLOOKUP(TEXT(B5938,"0"),STOCK!A:H,7,0),1)</f>
        <v>1</v>
      </c>
    </row>
    <row r="5939" spans="10:10" ht="35.450000000000003" hidden="1" customHeight="1">
      <c r="J5939" s="28">
        <f>IFERROR(VLOOKUP(TEXT(B5939,"0"),STOCK!A:H,7,0),1)</f>
        <v>1</v>
      </c>
    </row>
    <row r="5940" spans="10:10" ht="35.450000000000003" hidden="1" customHeight="1">
      <c r="J5940" s="28">
        <f>IFERROR(VLOOKUP(TEXT(B5940,"0"),STOCK!A:H,7,0),1)</f>
        <v>1</v>
      </c>
    </row>
    <row r="5941" spans="10:10" ht="35.450000000000003" hidden="1" customHeight="1">
      <c r="J5941" s="28">
        <f>IFERROR(VLOOKUP(TEXT(B5941,"0"),STOCK!A:H,7,0),1)</f>
        <v>1</v>
      </c>
    </row>
    <row r="5942" spans="10:10" ht="35.450000000000003" hidden="1" customHeight="1">
      <c r="J5942" s="28">
        <f>IFERROR(VLOOKUP(TEXT(B5942,"0"),STOCK!A:H,7,0),1)</f>
        <v>1</v>
      </c>
    </row>
    <row r="5943" spans="10:10" ht="35.450000000000003" hidden="1" customHeight="1">
      <c r="J5943" s="28">
        <f>IFERROR(VLOOKUP(TEXT(B5943,"0"),STOCK!A:H,7,0),1)</f>
        <v>1</v>
      </c>
    </row>
    <row r="5944" spans="10:10" ht="35.450000000000003" hidden="1" customHeight="1">
      <c r="J5944" s="28">
        <f>IFERROR(VLOOKUP(TEXT(B5944,"0"),STOCK!A:H,7,0),1)</f>
        <v>1</v>
      </c>
    </row>
    <row r="5945" spans="10:10" ht="35.450000000000003" hidden="1" customHeight="1">
      <c r="J5945" s="28">
        <f>IFERROR(VLOOKUP(TEXT(B5945,"0"),STOCK!A:H,7,0),1)</f>
        <v>1</v>
      </c>
    </row>
    <row r="5946" spans="10:10" ht="35.450000000000003" hidden="1" customHeight="1">
      <c r="J5946" s="28">
        <f>IFERROR(VLOOKUP(TEXT(B5946,"0"),STOCK!A:H,7,0),1)</f>
        <v>1</v>
      </c>
    </row>
    <row r="5947" spans="10:10" ht="35.450000000000003" hidden="1" customHeight="1">
      <c r="J5947" s="28">
        <f>IFERROR(VLOOKUP(TEXT(B5947,"0"),STOCK!A:H,7,0),1)</f>
        <v>1</v>
      </c>
    </row>
    <row r="5948" spans="10:10" ht="35.450000000000003" hidden="1" customHeight="1">
      <c r="J5948" s="28">
        <f>IFERROR(VLOOKUP(TEXT(B5948,"0"),STOCK!A:H,7,0),1)</f>
        <v>1</v>
      </c>
    </row>
    <row r="5949" spans="10:10" ht="35.450000000000003" hidden="1" customHeight="1">
      <c r="J5949" s="28">
        <f>IFERROR(VLOOKUP(TEXT(B5949,"0"),STOCK!A:H,7,0),1)</f>
        <v>1</v>
      </c>
    </row>
    <row r="5950" spans="10:10" ht="35.450000000000003" hidden="1" customHeight="1">
      <c r="J5950" s="28">
        <f>IFERROR(VLOOKUP(TEXT(B5950,"0"),STOCK!A:H,7,0),1)</f>
        <v>1</v>
      </c>
    </row>
    <row r="5951" spans="10:10" ht="35.450000000000003" hidden="1" customHeight="1">
      <c r="J5951" s="28">
        <f>IFERROR(VLOOKUP(TEXT(B5951,"0"),STOCK!A:H,7,0),1)</f>
        <v>1</v>
      </c>
    </row>
    <row r="5952" spans="10:10" ht="35.450000000000003" hidden="1" customHeight="1">
      <c r="J5952" s="28">
        <f>IFERROR(VLOOKUP(TEXT(B5952,"0"),STOCK!A:H,7,0),1)</f>
        <v>1</v>
      </c>
    </row>
    <row r="5953" spans="10:10" ht="35.450000000000003" hidden="1" customHeight="1">
      <c r="J5953" s="28">
        <f>IFERROR(VLOOKUP(TEXT(B5953,"0"),STOCK!A:H,7,0),1)</f>
        <v>1</v>
      </c>
    </row>
    <row r="5954" spans="10:10" ht="35.450000000000003" hidden="1" customHeight="1">
      <c r="J5954" s="28">
        <f>IFERROR(VLOOKUP(TEXT(B5954,"0"),STOCK!A:H,7,0),1)</f>
        <v>1</v>
      </c>
    </row>
    <row r="5955" spans="10:10" ht="35.450000000000003" hidden="1" customHeight="1">
      <c r="J5955" s="28">
        <f>IFERROR(VLOOKUP(TEXT(B5955,"0"),STOCK!A:H,7,0),1)</f>
        <v>1</v>
      </c>
    </row>
    <row r="5956" spans="10:10" ht="35.450000000000003" hidden="1" customHeight="1">
      <c r="J5956" s="28">
        <f>IFERROR(VLOOKUP(TEXT(B5956,"0"),STOCK!A:H,7,0),1)</f>
        <v>1</v>
      </c>
    </row>
    <row r="5957" spans="10:10" ht="35.450000000000003" hidden="1" customHeight="1">
      <c r="J5957" s="28">
        <f>IFERROR(VLOOKUP(TEXT(B5957,"0"),STOCK!A:H,7,0),1)</f>
        <v>1</v>
      </c>
    </row>
    <row r="5958" spans="10:10" ht="35.450000000000003" hidden="1" customHeight="1">
      <c r="J5958" s="28">
        <f>IFERROR(VLOOKUP(TEXT(B5958,"0"),STOCK!A:H,7,0),1)</f>
        <v>1</v>
      </c>
    </row>
    <row r="5959" spans="10:10" ht="35.450000000000003" hidden="1" customHeight="1">
      <c r="J5959" s="28">
        <f>IFERROR(VLOOKUP(TEXT(B5959,"0"),STOCK!A:H,7,0),1)</f>
        <v>1</v>
      </c>
    </row>
    <row r="5960" spans="10:10" ht="35.450000000000003" hidden="1" customHeight="1">
      <c r="J5960" s="28">
        <f>IFERROR(VLOOKUP(TEXT(B5960,"0"),STOCK!A:H,7,0),1)</f>
        <v>1</v>
      </c>
    </row>
    <row r="5961" spans="10:10" ht="35.450000000000003" hidden="1" customHeight="1">
      <c r="J5961" s="28">
        <f>IFERROR(VLOOKUP(TEXT(B5961,"0"),STOCK!A:H,7,0),1)</f>
        <v>1</v>
      </c>
    </row>
    <row r="5962" spans="10:10" ht="35.450000000000003" hidden="1" customHeight="1">
      <c r="J5962" s="28">
        <f>IFERROR(VLOOKUP(TEXT(B5962,"0"),STOCK!A:H,7,0),1)</f>
        <v>1</v>
      </c>
    </row>
    <row r="5963" spans="10:10" ht="35.450000000000003" hidden="1" customHeight="1">
      <c r="J5963" s="28">
        <f>IFERROR(VLOOKUP(TEXT(B5963,"0"),STOCK!A:H,7,0),1)</f>
        <v>1</v>
      </c>
    </row>
    <row r="5964" spans="10:10" ht="35.450000000000003" hidden="1" customHeight="1">
      <c r="J5964" s="28">
        <f>IFERROR(VLOOKUP(TEXT(B5964,"0"),STOCK!A:H,7,0),1)</f>
        <v>1</v>
      </c>
    </row>
    <row r="5965" spans="10:10" ht="35.450000000000003" hidden="1" customHeight="1">
      <c r="J5965" s="28">
        <f>IFERROR(VLOOKUP(TEXT(B5965,"0"),STOCK!A:H,7,0),1)</f>
        <v>1</v>
      </c>
    </row>
    <row r="5966" spans="10:10" ht="35.450000000000003" hidden="1" customHeight="1">
      <c r="J5966" s="28">
        <f>IFERROR(VLOOKUP(TEXT(B5966,"0"),STOCK!A:H,7,0),1)</f>
        <v>1</v>
      </c>
    </row>
    <row r="5967" spans="10:10" ht="35.450000000000003" hidden="1" customHeight="1">
      <c r="J5967" s="28">
        <f>IFERROR(VLOOKUP(TEXT(B5967,"0"),STOCK!A:H,7,0),1)</f>
        <v>1</v>
      </c>
    </row>
    <row r="5968" spans="10:10" ht="35.450000000000003" hidden="1" customHeight="1">
      <c r="J5968" s="28">
        <f>IFERROR(VLOOKUP(TEXT(B5968,"0"),STOCK!A:H,7,0),1)</f>
        <v>1</v>
      </c>
    </row>
    <row r="5969" spans="10:10" ht="35.450000000000003" hidden="1" customHeight="1">
      <c r="J5969" s="28">
        <f>IFERROR(VLOOKUP(TEXT(B5969,"0"),STOCK!A:H,7,0),1)</f>
        <v>1</v>
      </c>
    </row>
    <row r="5970" spans="10:10" ht="35.450000000000003" hidden="1" customHeight="1">
      <c r="J5970" s="28">
        <f>IFERROR(VLOOKUP(TEXT(B5970,"0"),STOCK!A:H,7,0),1)</f>
        <v>1</v>
      </c>
    </row>
    <row r="5971" spans="10:10" ht="35.450000000000003" hidden="1" customHeight="1">
      <c r="J5971" s="28">
        <f>IFERROR(VLOOKUP(TEXT(B5971,"0"),STOCK!A:H,7,0),1)</f>
        <v>1</v>
      </c>
    </row>
    <row r="5972" spans="10:10" ht="35.450000000000003" hidden="1" customHeight="1">
      <c r="J5972" s="28">
        <f>IFERROR(VLOOKUP(TEXT(B5972,"0"),STOCK!A:H,7,0),1)</f>
        <v>1</v>
      </c>
    </row>
    <row r="5973" spans="10:10" ht="35.450000000000003" hidden="1" customHeight="1">
      <c r="J5973" s="28">
        <f>IFERROR(VLOOKUP(TEXT(B5973,"0"),STOCK!A:H,7,0),1)</f>
        <v>1</v>
      </c>
    </row>
    <row r="5974" spans="10:10" ht="35.450000000000003" hidden="1" customHeight="1">
      <c r="J5974" s="28">
        <f>IFERROR(VLOOKUP(TEXT(B5974,"0"),STOCK!A:H,7,0),1)</f>
        <v>1</v>
      </c>
    </row>
    <row r="5975" spans="10:10" ht="35.450000000000003" hidden="1" customHeight="1">
      <c r="J5975" s="28">
        <f>IFERROR(VLOOKUP(TEXT(B5975,"0"),STOCK!A:H,7,0),1)</f>
        <v>1</v>
      </c>
    </row>
    <row r="5976" spans="10:10" ht="35.450000000000003" hidden="1" customHeight="1">
      <c r="J5976" s="28">
        <f>IFERROR(VLOOKUP(TEXT(B5976,"0"),STOCK!A:H,7,0),1)</f>
        <v>1</v>
      </c>
    </row>
    <row r="5977" spans="10:10" ht="35.450000000000003" hidden="1" customHeight="1">
      <c r="J5977" s="28">
        <f>IFERROR(VLOOKUP(TEXT(B5977,"0"),STOCK!A:H,7,0),1)</f>
        <v>1</v>
      </c>
    </row>
    <row r="5978" spans="10:10" ht="35.450000000000003" hidden="1" customHeight="1">
      <c r="J5978" s="28">
        <f>IFERROR(VLOOKUP(TEXT(B5978,"0"),STOCK!A:H,7,0),1)</f>
        <v>1</v>
      </c>
    </row>
    <row r="5979" spans="10:10" ht="35.450000000000003" hidden="1" customHeight="1">
      <c r="J5979" s="28">
        <f>IFERROR(VLOOKUP(TEXT(B5979,"0"),STOCK!A:H,7,0),1)</f>
        <v>1</v>
      </c>
    </row>
    <row r="5980" spans="10:10" ht="35.450000000000003" hidden="1" customHeight="1">
      <c r="J5980" s="28">
        <f>IFERROR(VLOOKUP(TEXT(B5980,"0"),STOCK!A:H,7,0),1)</f>
        <v>1</v>
      </c>
    </row>
    <row r="5981" spans="10:10" ht="35.450000000000003" hidden="1" customHeight="1">
      <c r="J5981" s="28">
        <f>IFERROR(VLOOKUP(TEXT(B5981,"0"),STOCK!A:H,7,0),1)</f>
        <v>1</v>
      </c>
    </row>
    <row r="5982" spans="10:10" ht="35.450000000000003" hidden="1" customHeight="1">
      <c r="J5982" s="28">
        <f>IFERROR(VLOOKUP(TEXT(B5982,"0"),STOCK!A:H,7,0),1)</f>
        <v>1</v>
      </c>
    </row>
    <row r="5983" spans="10:10" ht="35.450000000000003" hidden="1" customHeight="1">
      <c r="J5983" s="28">
        <f>IFERROR(VLOOKUP(TEXT(B5983,"0"),STOCK!A:H,7,0),1)</f>
        <v>1</v>
      </c>
    </row>
    <row r="5984" spans="10:10" ht="35.450000000000003" hidden="1" customHeight="1">
      <c r="J5984" s="28">
        <f>IFERROR(VLOOKUP(TEXT(B5984,"0"),STOCK!A:H,7,0),1)</f>
        <v>1</v>
      </c>
    </row>
    <row r="5985" spans="10:10" ht="35.450000000000003" hidden="1" customHeight="1">
      <c r="J5985" s="28">
        <f>IFERROR(VLOOKUP(TEXT(B5985,"0"),STOCK!A:H,7,0),1)</f>
        <v>1</v>
      </c>
    </row>
    <row r="5986" spans="10:10" ht="35.450000000000003" hidden="1" customHeight="1">
      <c r="J5986" s="28">
        <f>IFERROR(VLOOKUP(TEXT(B5986,"0"),STOCK!A:H,7,0),1)</f>
        <v>1</v>
      </c>
    </row>
    <row r="5987" spans="10:10" ht="35.450000000000003" hidden="1" customHeight="1">
      <c r="J5987" s="28">
        <f>IFERROR(VLOOKUP(TEXT(B5987,"0"),STOCK!A:H,7,0),1)</f>
        <v>1</v>
      </c>
    </row>
    <row r="5988" spans="10:10" ht="35.450000000000003" hidden="1" customHeight="1">
      <c r="J5988" s="28">
        <f>IFERROR(VLOOKUP(TEXT(B5988,"0"),STOCK!A:H,7,0),1)</f>
        <v>1</v>
      </c>
    </row>
    <row r="5989" spans="10:10" ht="35.450000000000003" hidden="1" customHeight="1">
      <c r="J5989" s="28">
        <f>IFERROR(VLOOKUP(TEXT(B5989,"0"),STOCK!A:H,7,0),1)</f>
        <v>1</v>
      </c>
    </row>
    <row r="5990" spans="10:10" ht="35.450000000000003" hidden="1" customHeight="1">
      <c r="J5990" s="28">
        <f>IFERROR(VLOOKUP(TEXT(B5990,"0"),STOCK!A:H,7,0),1)</f>
        <v>1</v>
      </c>
    </row>
    <row r="5991" spans="10:10" ht="35.450000000000003" hidden="1" customHeight="1">
      <c r="J5991" s="28">
        <f>IFERROR(VLOOKUP(TEXT(B5991,"0"),STOCK!A:H,7,0),1)</f>
        <v>1</v>
      </c>
    </row>
    <row r="5992" spans="10:10" ht="35.450000000000003" hidden="1" customHeight="1">
      <c r="J5992" s="28">
        <f>IFERROR(VLOOKUP(TEXT(B5992,"0"),STOCK!A:H,7,0),1)</f>
        <v>1</v>
      </c>
    </row>
    <row r="5993" spans="10:10" ht="35.450000000000003" hidden="1" customHeight="1">
      <c r="J5993" s="28">
        <f>IFERROR(VLOOKUP(TEXT(B5993,"0"),STOCK!A:H,7,0),1)</f>
        <v>1</v>
      </c>
    </row>
    <row r="5994" spans="10:10" ht="35.450000000000003" hidden="1" customHeight="1">
      <c r="J5994" s="28">
        <f>IFERROR(VLOOKUP(TEXT(B5994,"0"),STOCK!A:H,7,0),1)</f>
        <v>1</v>
      </c>
    </row>
    <row r="5995" spans="10:10" ht="35.450000000000003" hidden="1" customHeight="1">
      <c r="J5995" s="28">
        <f>IFERROR(VLOOKUP(TEXT(B5995,"0"),STOCK!A:H,7,0),1)</f>
        <v>1</v>
      </c>
    </row>
    <row r="5996" spans="10:10" ht="35.450000000000003" hidden="1" customHeight="1">
      <c r="J5996" s="28">
        <f>IFERROR(VLOOKUP(TEXT(B5996,"0"),STOCK!A:H,7,0),1)</f>
        <v>1</v>
      </c>
    </row>
    <row r="5997" spans="10:10" ht="35.450000000000003" hidden="1" customHeight="1">
      <c r="J5997" s="28">
        <f>IFERROR(VLOOKUP(TEXT(B5997,"0"),STOCK!A:H,7,0),1)</f>
        <v>1</v>
      </c>
    </row>
    <row r="5998" spans="10:10" ht="35.450000000000003" hidden="1" customHeight="1">
      <c r="J5998" s="28">
        <f>IFERROR(VLOOKUP(TEXT(B5998,"0"),STOCK!A:H,7,0),1)</f>
        <v>1</v>
      </c>
    </row>
    <row r="5999" spans="10:10" ht="35.450000000000003" hidden="1" customHeight="1">
      <c r="J5999" s="28">
        <f>IFERROR(VLOOKUP(TEXT(B5999,"0"),STOCK!A:H,7,0),1)</f>
        <v>1</v>
      </c>
    </row>
    <row r="6000" spans="10:10" ht="35.450000000000003" hidden="1" customHeight="1">
      <c r="J6000" s="28">
        <f>IFERROR(VLOOKUP(TEXT(B6000,"0"),STOCK!A:H,7,0),1)</f>
        <v>1</v>
      </c>
    </row>
    <row r="6001" spans="10:10" ht="35.450000000000003" hidden="1" customHeight="1">
      <c r="J6001" s="28">
        <f>IFERROR(VLOOKUP(TEXT(B6001,"0"),STOCK!A:H,7,0),1)</f>
        <v>1</v>
      </c>
    </row>
    <row r="6002" spans="10:10" ht="35.450000000000003" hidden="1" customHeight="1">
      <c r="J6002" s="28">
        <f>IFERROR(VLOOKUP(TEXT(B6002,"0"),STOCK!A:H,7,0),1)</f>
        <v>1</v>
      </c>
    </row>
    <row r="6003" spans="10:10" ht="35.450000000000003" hidden="1" customHeight="1">
      <c r="J6003" s="28">
        <f>IFERROR(VLOOKUP(TEXT(B6003,"0"),STOCK!A:H,7,0),1)</f>
        <v>1</v>
      </c>
    </row>
    <row r="6004" spans="10:10" ht="35.450000000000003" hidden="1" customHeight="1">
      <c r="J6004" s="28">
        <f>IFERROR(VLOOKUP(TEXT(B6004,"0"),STOCK!A:H,7,0),1)</f>
        <v>1</v>
      </c>
    </row>
    <row r="6005" spans="10:10" ht="35.450000000000003" hidden="1" customHeight="1">
      <c r="J6005" s="28">
        <f>IFERROR(VLOOKUP(TEXT(B6005,"0"),STOCK!A:H,7,0),1)</f>
        <v>1</v>
      </c>
    </row>
    <row r="6006" spans="10:10" ht="35.450000000000003" hidden="1" customHeight="1">
      <c r="J6006" s="28">
        <f>IFERROR(VLOOKUP(TEXT(B6006,"0"),STOCK!A:H,7,0),1)</f>
        <v>1</v>
      </c>
    </row>
    <row r="6007" spans="10:10" ht="35.450000000000003" hidden="1" customHeight="1">
      <c r="J6007" s="28">
        <f>IFERROR(VLOOKUP(TEXT(B6007,"0"),STOCK!A:H,7,0),1)</f>
        <v>1</v>
      </c>
    </row>
    <row r="6008" spans="10:10" ht="35.450000000000003" hidden="1" customHeight="1">
      <c r="J6008" s="28">
        <f>IFERROR(VLOOKUP(TEXT(B6008,"0"),STOCK!A:H,7,0),1)</f>
        <v>1</v>
      </c>
    </row>
    <row r="6009" spans="10:10" ht="35.450000000000003" hidden="1" customHeight="1">
      <c r="J6009" s="28">
        <f>IFERROR(VLOOKUP(TEXT(B6009,"0"),STOCK!A:H,7,0),1)</f>
        <v>1</v>
      </c>
    </row>
    <row r="6010" spans="10:10" ht="35.450000000000003" hidden="1" customHeight="1">
      <c r="J6010" s="28">
        <f>IFERROR(VLOOKUP(TEXT(B6010,"0"),STOCK!A:H,7,0),1)</f>
        <v>1</v>
      </c>
    </row>
    <row r="6011" spans="10:10" ht="35.450000000000003" hidden="1" customHeight="1">
      <c r="J6011" s="28">
        <f>IFERROR(VLOOKUP(TEXT(B6011,"0"),STOCK!A:H,7,0),1)</f>
        <v>1</v>
      </c>
    </row>
    <row r="6012" spans="10:10" ht="35.450000000000003" hidden="1" customHeight="1">
      <c r="J6012" s="28">
        <f>IFERROR(VLOOKUP(TEXT(B6012,"0"),STOCK!A:H,7,0),1)</f>
        <v>1</v>
      </c>
    </row>
    <row r="6013" spans="10:10" ht="35.450000000000003" hidden="1" customHeight="1">
      <c r="J6013" s="28">
        <f>IFERROR(VLOOKUP(TEXT(B6013,"0"),STOCK!A:H,7,0),1)</f>
        <v>1</v>
      </c>
    </row>
    <row r="6014" spans="10:10" ht="35.450000000000003" hidden="1" customHeight="1">
      <c r="J6014" s="28">
        <f>IFERROR(VLOOKUP(TEXT(B6014,"0"),STOCK!A:H,7,0),1)</f>
        <v>1</v>
      </c>
    </row>
    <row r="6015" spans="10:10" ht="35.450000000000003" hidden="1" customHeight="1">
      <c r="J6015" s="28">
        <f>IFERROR(VLOOKUP(TEXT(B6015,"0"),STOCK!A:H,7,0),1)</f>
        <v>1</v>
      </c>
    </row>
    <row r="6016" spans="10:10" ht="35.450000000000003" hidden="1" customHeight="1">
      <c r="J6016" s="28">
        <f>IFERROR(VLOOKUP(TEXT(B6016,"0"),STOCK!A:H,7,0),1)</f>
        <v>1</v>
      </c>
    </row>
    <row r="6017" spans="10:10" ht="35.450000000000003" hidden="1" customHeight="1">
      <c r="J6017" s="28">
        <f>IFERROR(VLOOKUP(TEXT(B6017,"0"),STOCK!A:H,7,0),1)</f>
        <v>1</v>
      </c>
    </row>
    <row r="6018" spans="10:10" ht="35.450000000000003" hidden="1" customHeight="1">
      <c r="J6018" s="28">
        <f>IFERROR(VLOOKUP(TEXT(B6018,"0"),STOCK!A:H,7,0),1)</f>
        <v>1</v>
      </c>
    </row>
    <row r="6019" spans="10:10" ht="35.450000000000003" hidden="1" customHeight="1">
      <c r="J6019" s="28">
        <f>IFERROR(VLOOKUP(TEXT(B6019,"0"),STOCK!A:H,7,0),1)</f>
        <v>1</v>
      </c>
    </row>
    <row r="6020" spans="10:10" ht="35.450000000000003" hidden="1" customHeight="1">
      <c r="J6020" s="28">
        <f>IFERROR(VLOOKUP(TEXT(B6020,"0"),STOCK!A:H,7,0),1)</f>
        <v>1</v>
      </c>
    </row>
    <row r="6021" spans="10:10" ht="35.450000000000003" hidden="1" customHeight="1">
      <c r="J6021" s="28">
        <f>IFERROR(VLOOKUP(TEXT(B6021,"0"),STOCK!A:H,7,0),1)</f>
        <v>1</v>
      </c>
    </row>
    <row r="6022" spans="10:10" ht="35.450000000000003" hidden="1" customHeight="1">
      <c r="J6022" s="28">
        <f>IFERROR(VLOOKUP(TEXT(B6022,"0"),STOCK!A:H,7,0),1)</f>
        <v>1</v>
      </c>
    </row>
    <row r="6023" spans="10:10" ht="35.450000000000003" hidden="1" customHeight="1">
      <c r="J6023" s="28">
        <f>IFERROR(VLOOKUP(TEXT(B6023,"0"),STOCK!A:H,7,0),1)</f>
        <v>1</v>
      </c>
    </row>
    <row r="6024" spans="10:10" ht="35.450000000000003" hidden="1" customHeight="1">
      <c r="J6024" s="28">
        <f>IFERROR(VLOOKUP(TEXT(B6024,"0"),STOCK!A:H,7,0),1)</f>
        <v>1</v>
      </c>
    </row>
    <row r="6025" spans="10:10" ht="35.450000000000003" hidden="1" customHeight="1">
      <c r="J6025" s="28">
        <f>IFERROR(VLOOKUP(TEXT(B6025,"0"),STOCK!A:H,7,0),1)</f>
        <v>1</v>
      </c>
    </row>
    <row r="6026" spans="10:10" ht="35.450000000000003" hidden="1" customHeight="1">
      <c r="J6026" s="28">
        <f>IFERROR(VLOOKUP(TEXT(B6026,"0"),STOCK!A:H,7,0),1)</f>
        <v>1</v>
      </c>
    </row>
    <row r="6027" spans="10:10" ht="35.450000000000003" hidden="1" customHeight="1">
      <c r="J6027" s="28">
        <f>IFERROR(VLOOKUP(TEXT(B6027,"0"),STOCK!A:H,7,0),1)</f>
        <v>1</v>
      </c>
    </row>
    <row r="6028" spans="10:10" ht="35.450000000000003" hidden="1" customHeight="1">
      <c r="J6028" s="28">
        <f>IFERROR(VLOOKUP(TEXT(B6028,"0"),STOCK!A:H,7,0),1)</f>
        <v>1</v>
      </c>
    </row>
    <row r="6029" spans="10:10" ht="35.450000000000003" hidden="1" customHeight="1">
      <c r="J6029" s="28">
        <f>IFERROR(VLOOKUP(TEXT(B6029,"0"),STOCK!A:H,7,0),1)</f>
        <v>1</v>
      </c>
    </row>
    <row r="6030" spans="10:10" ht="35.450000000000003" hidden="1" customHeight="1">
      <c r="J6030" s="28">
        <f>IFERROR(VLOOKUP(TEXT(B6030,"0"),STOCK!A:H,7,0),1)</f>
        <v>1</v>
      </c>
    </row>
    <row r="6031" spans="10:10" ht="35.450000000000003" hidden="1" customHeight="1">
      <c r="J6031" s="28">
        <f>IFERROR(VLOOKUP(TEXT(B6031,"0"),STOCK!A:H,7,0),1)</f>
        <v>1</v>
      </c>
    </row>
    <row r="6032" spans="10:10" ht="35.450000000000003" hidden="1" customHeight="1">
      <c r="J6032" s="28">
        <f>IFERROR(VLOOKUP(TEXT(B6032,"0"),STOCK!A:H,7,0),1)</f>
        <v>1</v>
      </c>
    </row>
    <row r="6033" spans="10:10" ht="35.450000000000003" hidden="1" customHeight="1">
      <c r="J6033" s="28">
        <f>IFERROR(VLOOKUP(TEXT(B6033,"0"),STOCK!A:H,7,0),1)</f>
        <v>1</v>
      </c>
    </row>
    <row r="6034" spans="10:10" ht="35.450000000000003" hidden="1" customHeight="1">
      <c r="J6034" s="28">
        <f>IFERROR(VLOOKUP(TEXT(B6034,"0"),STOCK!A:H,7,0),1)</f>
        <v>1</v>
      </c>
    </row>
    <row r="6035" spans="10:10" ht="35.450000000000003" hidden="1" customHeight="1">
      <c r="J6035" s="28">
        <f>IFERROR(VLOOKUP(TEXT(B6035,"0"),STOCK!A:H,7,0),1)</f>
        <v>1</v>
      </c>
    </row>
    <row r="6036" spans="10:10" ht="35.450000000000003" hidden="1" customHeight="1">
      <c r="J6036" s="28">
        <f>IFERROR(VLOOKUP(TEXT(B6036,"0"),STOCK!A:H,7,0),1)</f>
        <v>1</v>
      </c>
    </row>
    <row r="6037" spans="10:10" ht="35.450000000000003" hidden="1" customHeight="1">
      <c r="J6037" s="28">
        <f>IFERROR(VLOOKUP(TEXT(B6037,"0"),STOCK!A:H,7,0),1)</f>
        <v>1</v>
      </c>
    </row>
    <row r="6038" spans="10:10" ht="35.450000000000003" hidden="1" customHeight="1">
      <c r="J6038" s="28">
        <f>IFERROR(VLOOKUP(TEXT(B6038,"0"),STOCK!A:H,7,0),1)</f>
        <v>1</v>
      </c>
    </row>
    <row r="6039" spans="10:10" ht="35.450000000000003" hidden="1" customHeight="1">
      <c r="J6039" s="28">
        <f>IFERROR(VLOOKUP(TEXT(B6039,"0"),STOCK!A:H,7,0),1)</f>
        <v>1</v>
      </c>
    </row>
    <row r="6040" spans="10:10" ht="35.450000000000003" hidden="1" customHeight="1">
      <c r="J6040" s="28">
        <f>IFERROR(VLOOKUP(TEXT(B6040,"0"),STOCK!A:H,7,0),1)</f>
        <v>1</v>
      </c>
    </row>
    <row r="6041" spans="10:10" ht="35.450000000000003" hidden="1" customHeight="1">
      <c r="J6041" s="28">
        <f>IFERROR(VLOOKUP(TEXT(B6041,"0"),STOCK!A:H,7,0),1)</f>
        <v>1</v>
      </c>
    </row>
    <row r="6042" spans="10:10" ht="35.450000000000003" hidden="1" customHeight="1">
      <c r="J6042" s="28">
        <f>IFERROR(VLOOKUP(TEXT(B6042,"0"),STOCK!A:H,7,0),1)</f>
        <v>1</v>
      </c>
    </row>
    <row r="6043" spans="10:10" ht="35.450000000000003" hidden="1" customHeight="1">
      <c r="J6043" s="28">
        <f>IFERROR(VLOOKUP(TEXT(B6043,"0"),STOCK!A:H,7,0),1)</f>
        <v>1</v>
      </c>
    </row>
    <row r="6044" spans="10:10" ht="35.450000000000003" hidden="1" customHeight="1">
      <c r="J6044" s="28">
        <f>IFERROR(VLOOKUP(TEXT(B6044,"0"),STOCK!A:H,7,0),1)</f>
        <v>1</v>
      </c>
    </row>
    <row r="6045" spans="10:10" ht="35.450000000000003" hidden="1" customHeight="1">
      <c r="J6045" s="28">
        <f>IFERROR(VLOOKUP(TEXT(B6045,"0"),STOCK!A:H,7,0),1)</f>
        <v>1</v>
      </c>
    </row>
    <row r="6046" spans="10:10" ht="35.450000000000003" hidden="1" customHeight="1">
      <c r="J6046" s="28">
        <f>IFERROR(VLOOKUP(TEXT(B6046,"0"),STOCK!A:H,7,0),1)</f>
        <v>1</v>
      </c>
    </row>
    <row r="6047" spans="10:10" ht="35.450000000000003" hidden="1" customHeight="1">
      <c r="J6047" s="28">
        <f>IFERROR(VLOOKUP(TEXT(B6047,"0"),STOCK!A:H,7,0),1)</f>
        <v>1</v>
      </c>
    </row>
    <row r="6048" spans="10:10" ht="35.450000000000003" hidden="1" customHeight="1">
      <c r="J6048" s="28">
        <f>IFERROR(VLOOKUP(TEXT(B6048,"0"),STOCK!A:H,7,0),1)</f>
        <v>1</v>
      </c>
    </row>
    <row r="6049" spans="10:10" ht="35.450000000000003" hidden="1" customHeight="1">
      <c r="J6049" s="28">
        <f>IFERROR(VLOOKUP(TEXT(B6049,"0"),STOCK!A:H,7,0),1)</f>
        <v>1</v>
      </c>
    </row>
    <row r="6050" spans="10:10" ht="35.450000000000003" hidden="1" customHeight="1">
      <c r="J6050" s="28">
        <f>IFERROR(VLOOKUP(TEXT(B6050,"0"),STOCK!A:H,7,0),1)</f>
        <v>1</v>
      </c>
    </row>
    <row r="6051" spans="10:10" ht="35.450000000000003" hidden="1" customHeight="1">
      <c r="J6051" s="28">
        <f>IFERROR(VLOOKUP(TEXT(B6051,"0"),STOCK!A:H,7,0),1)</f>
        <v>1</v>
      </c>
    </row>
    <row r="6052" spans="10:10" ht="35.450000000000003" hidden="1" customHeight="1">
      <c r="J6052" s="28">
        <f>IFERROR(VLOOKUP(TEXT(B6052,"0"),STOCK!A:H,7,0),1)</f>
        <v>1</v>
      </c>
    </row>
    <row r="6053" spans="10:10" ht="35.450000000000003" hidden="1" customHeight="1">
      <c r="J6053" s="28">
        <f>IFERROR(VLOOKUP(TEXT(B6053,"0"),STOCK!A:H,7,0),1)</f>
        <v>1</v>
      </c>
    </row>
    <row r="6054" spans="10:10" ht="35.450000000000003" hidden="1" customHeight="1">
      <c r="J6054" s="28">
        <f>IFERROR(VLOOKUP(TEXT(B6054,"0"),STOCK!A:H,7,0),1)</f>
        <v>1</v>
      </c>
    </row>
    <row r="6055" spans="10:10" ht="35.450000000000003" hidden="1" customHeight="1">
      <c r="J6055" s="28">
        <f>IFERROR(VLOOKUP(TEXT(B6055,"0"),STOCK!A:H,7,0),1)</f>
        <v>1</v>
      </c>
    </row>
    <row r="6056" spans="10:10" ht="35.450000000000003" hidden="1" customHeight="1">
      <c r="J6056" s="28">
        <f>IFERROR(VLOOKUP(TEXT(B6056,"0"),STOCK!A:H,7,0),1)</f>
        <v>1</v>
      </c>
    </row>
    <row r="6057" spans="10:10" ht="35.450000000000003" hidden="1" customHeight="1">
      <c r="J6057" s="28">
        <f>IFERROR(VLOOKUP(TEXT(B6057,"0"),STOCK!A:H,7,0),1)</f>
        <v>1</v>
      </c>
    </row>
    <row r="6058" spans="10:10" ht="35.450000000000003" hidden="1" customHeight="1">
      <c r="J6058" s="28">
        <f>IFERROR(VLOOKUP(TEXT(B6058,"0"),STOCK!A:H,7,0),1)</f>
        <v>1</v>
      </c>
    </row>
    <row r="6059" spans="10:10" ht="35.450000000000003" hidden="1" customHeight="1">
      <c r="J6059" s="28">
        <f>IFERROR(VLOOKUP(TEXT(B6059,"0"),STOCK!A:H,7,0),1)</f>
        <v>1</v>
      </c>
    </row>
    <row r="6060" spans="10:10" ht="35.450000000000003" hidden="1" customHeight="1">
      <c r="J6060" s="28">
        <f>IFERROR(VLOOKUP(TEXT(B6060,"0"),STOCK!A:H,7,0),1)</f>
        <v>1</v>
      </c>
    </row>
    <row r="6061" spans="10:10" ht="35.450000000000003" hidden="1" customHeight="1">
      <c r="J6061" s="28">
        <f>IFERROR(VLOOKUP(TEXT(B6061,"0"),STOCK!A:H,7,0),1)</f>
        <v>1</v>
      </c>
    </row>
    <row r="6062" spans="10:10" ht="35.450000000000003" hidden="1" customHeight="1">
      <c r="J6062" s="28">
        <f>IFERROR(VLOOKUP(TEXT(B6062,"0"),STOCK!A:H,7,0),1)</f>
        <v>1</v>
      </c>
    </row>
    <row r="6063" spans="10:10" ht="35.450000000000003" hidden="1" customHeight="1">
      <c r="J6063" s="28">
        <f>IFERROR(VLOOKUP(TEXT(B6063,"0"),STOCK!A:H,7,0),1)</f>
        <v>1</v>
      </c>
    </row>
    <row r="6064" spans="10:10" ht="35.450000000000003" hidden="1" customHeight="1">
      <c r="J6064" s="28">
        <f>IFERROR(VLOOKUP(TEXT(B6064,"0"),STOCK!A:H,7,0),1)</f>
        <v>1</v>
      </c>
    </row>
    <row r="6065" spans="10:10" ht="35.450000000000003" hidden="1" customHeight="1">
      <c r="J6065" s="28">
        <f>IFERROR(VLOOKUP(TEXT(B6065,"0"),STOCK!A:H,7,0),1)</f>
        <v>1</v>
      </c>
    </row>
    <row r="6066" spans="10:10" ht="35.450000000000003" hidden="1" customHeight="1">
      <c r="J6066" s="28">
        <f>IFERROR(VLOOKUP(TEXT(B6066,"0"),STOCK!A:H,7,0),1)</f>
        <v>1</v>
      </c>
    </row>
    <row r="6067" spans="10:10" ht="35.450000000000003" hidden="1" customHeight="1">
      <c r="J6067" s="28">
        <f>IFERROR(VLOOKUP(TEXT(B6067,"0"),STOCK!A:H,7,0),1)</f>
        <v>1</v>
      </c>
    </row>
    <row r="6068" spans="10:10" ht="35.450000000000003" hidden="1" customHeight="1">
      <c r="J6068" s="28">
        <f>IFERROR(VLOOKUP(TEXT(B6068,"0"),STOCK!A:H,7,0),1)</f>
        <v>1</v>
      </c>
    </row>
    <row r="6069" spans="10:10" ht="35.450000000000003" hidden="1" customHeight="1">
      <c r="J6069" s="28">
        <f>IFERROR(VLOOKUP(TEXT(B6069,"0"),STOCK!A:H,7,0),1)</f>
        <v>1</v>
      </c>
    </row>
    <row r="6070" spans="10:10" ht="35.450000000000003" hidden="1" customHeight="1">
      <c r="J6070" s="28">
        <f>IFERROR(VLOOKUP(TEXT(B6070,"0"),STOCK!A:H,7,0),1)</f>
        <v>1</v>
      </c>
    </row>
    <row r="6071" spans="10:10" ht="35.450000000000003" hidden="1" customHeight="1">
      <c r="J6071" s="28">
        <f>IFERROR(VLOOKUP(TEXT(B6071,"0"),STOCK!A:H,7,0),1)</f>
        <v>1</v>
      </c>
    </row>
    <row r="6072" spans="10:10" ht="35.450000000000003" hidden="1" customHeight="1">
      <c r="J6072" s="28">
        <f>IFERROR(VLOOKUP(TEXT(B6072,"0"),STOCK!A:H,7,0),1)</f>
        <v>1</v>
      </c>
    </row>
    <row r="6073" spans="10:10" ht="35.450000000000003" hidden="1" customHeight="1">
      <c r="J6073" s="28">
        <f>IFERROR(VLOOKUP(TEXT(B6073,"0"),STOCK!A:H,7,0),1)</f>
        <v>1</v>
      </c>
    </row>
    <row r="6074" spans="10:10" ht="35.450000000000003" hidden="1" customHeight="1">
      <c r="J6074" s="28">
        <f>IFERROR(VLOOKUP(TEXT(B6074,"0"),STOCK!A:H,7,0),1)</f>
        <v>1</v>
      </c>
    </row>
    <row r="6075" spans="10:10" ht="35.450000000000003" hidden="1" customHeight="1">
      <c r="J6075" s="28">
        <f>IFERROR(VLOOKUP(TEXT(B6075,"0"),STOCK!A:H,7,0),1)</f>
        <v>1</v>
      </c>
    </row>
    <row r="6076" spans="10:10" ht="35.450000000000003" hidden="1" customHeight="1">
      <c r="J6076" s="28">
        <f>IFERROR(VLOOKUP(TEXT(B6076,"0"),STOCK!A:H,7,0),1)</f>
        <v>1</v>
      </c>
    </row>
    <row r="6077" spans="10:10" ht="35.450000000000003" hidden="1" customHeight="1">
      <c r="J6077" s="28">
        <f>IFERROR(VLOOKUP(TEXT(B6077,"0"),STOCK!A:H,7,0),1)</f>
        <v>1</v>
      </c>
    </row>
    <row r="6078" spans="10:10" ht="35.450000000000003" hidden="1" customHeight="1">
      <c r="J6078" s="28">
        <f>IFERROR(VLOOKUP(TEXT(B6078,"0"),STOCK!A:H,7,0),1)</f>
        <v>1</v>
      </c>
    </row>
    <row r="6079" spans="10:10" ht="35.450000000000003" hidden="1" customHeight="1">
      <c r="J6079" s="28">
        <f>IFERROR(VLOOKUP(TEXT(B6079,"0"),STOCK!A:H,7,0),1)</f>
        <v>1</v>
      </c>
    </row>
    <row r="6080" spans="10:10" ht="35.450000000000003" hidden="1" customHeight="1">
      <c r="J6080" s="28">
        <f>IFERROR(VLOOKUP(TEXT(B6080,"0"),STOCK!A:H,7,0),1)</f>
        <v>1</v>
      </c>
    </row>
    <row r="6081" spans="10:10" ht="35.450000000000003" hidden="1" customHeight="1">
      <c r="J6081" s="28">
        <f>IFERROR(VLOOKUP(TEXT(B6081,"0"),STOCK!A:H,7,0),1)</f>
        <v>1</v>
      </c>
    </row>
    <row r="6082" spans="10:10" ht="35.450000000000003" hidden="1" customHeight="1">
      <c r="J6082" s="28">
        <f>IFERROR(VLOOKUP(TEXT(B6082,"0"),STOCK!A:H,7,0),1)</f>
        <v>1</v>
      </c>
    </row>
    <row r="6083" spans="10:10" ht="35.450000000000003" hidden="1" customHeight="1">
      <c r="J6083" s="28">
        <f>IFERROR(VLOOKUP(TEXT(B6083,"0"),STOCK!A:H,7,0),1)</f>
        <v>1</v>
      </c>
    </row>
    <row r="6084" spans="10:10" ht="35.450000000000003" hidden="1" customHeight="1">
      <c r="J6084" s="28">
        <f>IFERROR(VLOOKUP(TEXT(B6084,"0"),STOCK!A:H,7,0),1)</f>
        <v>1</v>
      </c>
    </row>
    <row r="6085" spans="10:10" ht="35.450000000000003" hidden="1" customHeight="1">
      <c r="J6085" s="28">
        <f>IFERROR(VLOOKUP(TEXT(B6085,"0"),STOCK!A:H,7,0),1)</f>
        <v>1</v>
      </c>
    </row>
    <row r="6086" spans="10:10" ht="35.450000000000003" hidden="1" customHeight="1">
      <c r="J6086" s="28">
        <f>IFERROR(VLOOKUP(TEXT(B6086,"0"),STOCK!A:H,7,0),1)</f>
        <v>1</v>
      </c>
    </row>
    <row r="6087" spans="10:10" ht="35.450000000000003" hidden="1" customHeight="1">
      <c r="J6087" s="28">
        <f>IFERROR(VLOOKUP(TEXT(B6087,"0"),STOCK!A:H,7,0),1)</f>
        <v>1</v>
      </c>
    </row>
    <row r="6088" spans="10:10" ht="35.450000000000003" hidden="1" customHeight="1">
      <c r="J6088" s="28">
        <f>IFERROR(VLOOKUP(TEXT(B6088,"0"),STOCK!A:H,7,0),1)</f>
        <v>1</v>
      </c>
    </row>
    <row r="6089" spans="10:10" ht="35.450000000000003" hidden="1" customHeight="1">
      <c r="J6089" s="28">
        <f>IFERROR(VLOOKUP(TEXT(B6089,"0"),STOCK!A:H,7,0),1)</f>
        <v>1</v>
      </c>
    </row>
    <row r="6090" spans="10:10" ht="35.450000000000003" hidden="1" customHeight="1">
      <c r="J6090" s="28">
        <f>IFERROR(VLOOKUP(TEXT(B6090,"0"),STOCK!A:H,7,0),1)</f>
        <v>1</v>
      </c>
    </row>
    <row r="6091" spans="10:10" ht="35.450000000000003" hidden="1" customHeight="1">
      <c r="J6091" s="28">
        <f>IFERROR(VLOOKUP(TEXT(B6091,"0"),STOCK!A:H,7,0),1)</f>
        <v>1</v>
      </c>
    </row>
    <row r="6092" spans="10:10" ht="35.450000000000003" hidden="1" customHeight="1">
      <c r="J6092" s="28">
        <f>IFERROR(VLOOKUP(TEXT(B6092,"0"),STOCK!A:H,7,0),1)</f>
        <v>1</v>
      </c>
    </row>
    <row r="6093" spans="10:10" ht="35.450000000000003" hidden="1" customHeight="1">
      <c r="J6093" s="28">
        <f>IFERROR(VLOOKUP(TEXT(B6093,"0"),STOCK!A:H,7,0),1)</f>
        <v>1</v>
      </c>
    </row>
    <row r="6094" spans="10:10" ht="35.450000000000003" hidden="1" customHeight="1">
      <c r="J6094" s="28">
        <f>IFERROR(VLOOKUP(TEXT(B6094,"0"),STOCK!A:H,7,0),1)</f>
        <v>1</v>
      </c>
    </row>
    <row r="6095" spans="10:10" ht="35.450000000000003" hidden="1" customHeight="1">
      <c r="J6095" s="28">
        <f>IFERROR(VLOOKUP(TEXT(B6095,"0"),STOCK!A:H,7,0),1)</f>
        <v>1</v>
      </c>
    </row>
    <row r="6096" spans="10:10" ht="35.450000000000003" hidden="1" customHeight="1">
      <c r="J6096" s="28">
        <f>IFERROR(VLOOKUP(TEXT(B6096,"0"),STOCK!A:H,7,0),1)</f>
        <v>1</v>
      </c>
    </row>
    <row r="6097" spans="10:10" ht="35.450000000000003" hidden="1" customHeight="1">
      <c r="J6097" s="28">
        <f>IFERROR(VLOOKUP(TEXT(B6097,"0"),STOCK!A:H,7,0),1)</f>
        <v>1</v>
      </c>
    </row>
    <row r="6098" spans="10:10" ht="35.450000000000003" hidden="1" customHeight="1">
      <c r="J6098" s="28">
        <f>IFERROR(VLOOKUP(TEXT(B6098,"0"),STOCK!A:H,7,0),1)</f>
        <v>1</v>
      </c>
    </row>
    <row r="6099" spans="10:10" ht="35.450000000000003" hidden="1" customHeight="1">
      <c r="J6099" s="28">
        <f>IFERROR(VLOOKUP(TEXT(B6099,"0"),STOCK!A:H,7,0),1)</f>
        <v>1</v>
      </c>
    </row>
    <row r="6100" spans="10:10" ht="35.450000000000003" hidden="1" customHeight="1">
      <c r="J6100" s="28">
        <f>IFERROR(VLOOKUP(TEXT(B6100,"0"),STOCK!A:H,7,0),1)</f>
        <v>1</v>
      </c>
    </row>
    <row r="6101" spans="10:10" ht="35.450000000000003" hidden="1" customHeight="1">
      <c r="J6101" s="28">
        <f>IFERROR(VLOOKUP(TEXT(B6101,"0"),STOCK!A:H,7,0),1)</f>
        <v>1</v>
      </c>
    </row>
    <row r="6102" spans="10:10" ht="35.450000000000003" hidden="1" customHeight="1">
      <c r="J6102" s="28">
        <f>IFERROR(VLOOKUP(TEXT(B6102,"0"),STOCK!A:H,7,0),1)</f>
        <v>1</v>
      </c>
    </row>
    <row r="6103" spans="10:10" ht="35.450000000000003" hidden="1" customHeight="1">
      <c r="J6103" s="28">
        <f>IFERROR(VLOOKUP(TEXT(B6103,"0"),STOCK!A:H,7,0),1)</f>
        <v>1</v>
      </c>
    </row>
    <row r="6104" spans="10:10" ht="35.450000000000003" hidden="1" customHeight="1">
      <c r="J6104" s="28">
        <f>IFERROR(VLOOKUP(TEXT(B6104,"0"),STOCK!A:H,7,0),1)</f>
        <v>1</v>
      </c>
    </row>
    <row r="6105" spans="10:10" ht="35.450000000000003" hidden="1" customHeight="1">
      <c r="J6105" s="28">
        <f>IFERROR(VLOOKUP(TEXT(B6105,"0"),STOCK!A:H,7,0),1)</f>
        <v>1</v>
      </c>
    </row>
    <row r="6106" spans="10:10" ht="35.450000000000003" hidden="1" customHeight="1">
      <c r="J6106" s="28">
        <f>IFERROR(VLOOKUP(TEXT(B6106,"0"),STOCK!A:H,7,0),1)</f>
        <v>1</v>
      </c>
    </row>
    <row r="6107" spans="10:10" ht="35.450000000000003" hidden="1" customHeight="1">
      <c r="J6107" s="28">
        <f>IFERROR(VLOOKUP(TEXT(B6107,"0"),STOCK!A:H,7,0),1)</f>
        <v>1</v>
      </c>
    </row>
    <row r="6108" spans="10:10" ht="35.450000000000003" hidden="1" customHeight="1">
      <c r="J6108" s="28">
        <f>IFERROR(VLOOKUP(TEXT(B6108,"0"),STOCK!A:H,7,0),1)</f>
        <v>1</v>
      </c>
    </row>
    <row r="6109" spans="10:10" ht="35.450000000000003" hidden="1" customHeight="1">
      <c r="J6109" s="28">
        <f>IFERROR(VLOOKUP(TEXT(B6109,"0"),STOCK!A:H,7,0),1)</f>
        <v>1</v>
      </c>
    </row>
    <row r="6110" spans="10:10" ht="35.450000000000003" hidden="1" customHeight="1">
      <c r="J6110" s="28">
        <f>IFERROR(VLOOKUP(TEXT(B6110,"0"),STOCK!A:H,7,0),1)</f>
        <v>1</v>
      </c>
    </row>
    <row r="6111" spans="10:10" ht="35.450000000000003" hidden="1" customHeight="1">
      <c r="J6111" s="28">
        <f>IFERROR(VLOOKUP(TEXT(B6111,"0"),STOCK!A:H,7,0),1)</f>
        <v>1</v>
      </c>
    </row>
    <row r="6112" spans="10:10" ht="35.450000000000003" hidden="1" customHeight="1">
      <c r="J6112" s="28">
        <f>IFERROR(VLOOKUP(TEXT(B6112,"0"),STOCK!A:H,7,0),1)</f>
        <v>1</v>
      </c>
    </row>
    <row r="6113" spans="10:10" ht="35.450000000000003" hidden="1" customHeight="1">
      <c r="J6113" s="28">
        <f>IFERROR(VLOOKUP(TEXT(B6113,"0"),STOCK!A:H,7,0),1)</f>
        <v>1</v>
      </c>
    </row>
    <row r="6114" spans="10:10" ht="35.450000000000003" hidden="1" customHeight="1">
      <c r="J6114" s="28">
        <f>IFERROR(VLOOKUP(TEXT(B6114,"0"),STOCK!A:H,7,0),1)</f>
        <v>1</v>
      </c>
    </row>
    <row r="6115" spans="10:10" ht="35.450000000000003" hidden="1" customHeight="1">
      <c r="J6115" s="28">
        <f>IFERROR(VLOOKUP(TEXT(B6115,"0"),STOCK!A:H,7,0),1)</f>
        <v>1</v>
      </c>
    </row>
    <row r="6116" spans="10:10" ht="35.450000000000003" hidden="1" customHeight="1">
      <c r="J6116" s="28">
        <f>IFERROR(VLOOKUP(TEXT(B6116,"0"),STOCK!A:H,7,0),1)</f>
        <v>1</v>
      </c>
    </row>
    <row r="6117" spans="10:10" ht="35.450000000000003" hidden="1" customHeight="1">
      <c r="J6117" s="28">
        <f>IFERROR(VLOOKUP(TEXT(B6117,"0"),STOCK!A:H,7,0),1)</f>
        <v>1</v>
      </c>
    </row>
    <row r="6118" spans="10:10" ht="35.450000000000003" hidden="1" customHeight="1">
      <c r="J6118" s="28">
        <f>IFERROR(VLOOKUP(TEXT(B6118,"0"),STOCK!A:H,7,0),1)</f>
        <v>1</v>
      </c>
    </row>
    <row r="6119" spans="10:10" ht="35.450000000000003" hidden="1" customHeight="1">
      <c r="J6119" s="28">
        <f>IFERROR(VLOOKUP(TEXT(B6119,"0"),STOCK!A:H,7,0),1)</f>
        <v>1</v>
      </c>
    </row>
    <row r="6120" spans="10:10" ht="35.450000000000003" hidden="1" customHeight="1">
      <c r="J6120" s="28">
        <f>IFERROR(VLOOKUP(TEXT(B6120,"0"),STOCK!A:H,7,0),1)</f>
        <v>1</v>
      </c>
    </row>
    <row r="6121" spans="10:10" ht="35.450000000000003" hidden="1" customHeight="1">
      <c r="J6121" s="28">
        <f>IFERROR(VLOOKUP(TEXT(B6121,"0"),STOCK!A:H,7,0),1)</f>
        <v>1</v>
      </c>
    </row>
    <row r="6122" spans="10:10" ht="35.450000000000003" hidden="1" customHeight="1">
      <c r="J6122" s="28">
        <f>IFERROR(VLOOKUP(TEXT(B6122,"0"),STOCK!A:H,7,0),1)</f>
        <v>1</v>
      </c>
    </row>
    <row r="6123" spans="10:10" ht="35.450000000000003" hidden="1" customHeight="1">
      <c r="J6123" s="28">
        <f>IFERROR(VLOOKUP(TEXT(B6123,"0"),STOCK!A:H,7,0),1)</f>
        <v>1</v>
      </c>
    </row>
    <row r="6124" spans="10:10" ht="35.450000000000003" hidden="1" customHeight="1">
      <c r="J6124" s="28">
        <f>IFERROR(VLOOKUP(TEXT(B6124,"0"),STOCK!A:H,7,0),1)</f>
        <v>1</v>
      </c>
    </row>
    <row r="6125" spans="10:10" ht="35.450000000000003" hidden="1" customHeight="1">
      <c r="J6125" s="28">
        <f>IFERROR(VLOOKUP(TEXT(B6125,"0"),STOCK!A:H,7,0),1)</f>
        <v>1</v>
      </c>
    </row>
    <row r="6126" spans="10:10" ht="35.450000000000003" hidden="1" customHeight="1">
      <c r="J6126" s="28">
        <f>IFERROR(VLOOKUP(TEXT(B6126,"0"),STOCK!A:H,7,0),1)</f>
        <v>1</v>
      </c>
    </row>
    <row r="6127" spans="10:10" ht="35.450000000000003" hidden="1" customHeight="1">
      <c r="J6127" s="28">
        <f>IFERROR(VLOOKUP(TEXT(B6127,"0"),STOCK!A:H,7,0),1)</f>
        <v>1</v>
      </c>
    </row>
    <row r="6128" spans="10:10" ht="35.450000000000003" hidden="1" customHeight="1">
      <c r="J6128" s="28">
        <f>IFERROR(VLOOKUP(TEXT(B6128,"0"),STOCK!A:H,7,0),1)</f>
        <v>1</v>
      </c>
    </row>
    <row r="6129" spans="10:10" ht="35.450000000000003" hidden="1" customHeight="1">
      <c r="J6129" s="28">
        <f>IFERROR(VLOOKUP(TEXT(B6129,"0"),STOCK!A:H,7,0),1)</f>
        <v>1</v>
      </c>
    </row>
    <row r="6130" spans="10:10" ht="35.450000000000003" hidden="1" customHeight="1">
      <c r="J6130" s="28">
        <f>IFERROR(VLOOKUP(TEXT(B6130,"0"),STOCK!A:H,7,0),1)</f>
        <v>1</v>
      </c>
    </row>
    <row r="6131" spans="10:10" ht="35.450000000000003" hidden="1" customHeight="1">
      <c r="J6131" s="28">
        <f>IFERROR(VLOOKUP(TEXT(B6131,"0"),STOCK!A:H,7,0),1)</f>
        <v>1</v>
      </c>
    </row>
    <row r="6132" spans="10:10" ht="35.450000000000003" hidden="1" customHeight="1">
      <c r="J6132" s="28">
        <f>IFERROR(VLOOKUP(TEXT(B6132,"0"),STOCK!A:H,7,0),1)</f>
        <v>1</v>
      </c>
    </row>
    <row r="6133" spans="10:10" ht="35.450000000000003" hidden="1" customHeight="1">
      <c r="J6133" s="28">
        <f>IFERROR(VLOOKUP(TEXT(B6133,"0"),STOCK!A:H,7,0),1)</f>
        <v>1</v>
      </c>
    </row>
    <row r="6134" spans="10:10" ht="35.450000000000003" hidden="1" customHeight="1">
      <c r="J6134" s="28">
        <f>IFERROR(VLOOKUP(TEXT(B6134,"0"),STOCK!A:H,7,0),1)</f>
        <v>1</v>
      </c>
    </row>
    <row r="6135" spans="10:10" ht="35.450000000000003" hidden="1" customHeight="1">
      <c r="J6135" s="28">
        <f>IFERROR(VLOOKUP(TEXT(B6135,"0"),STOCK!A:H,7,0),1)</f>
        <v>1</v>
      </c>
    </row>
    <row r="6136" spans="10:10" ht="35.450000000000003" hidden="1" customHeight="1">
      <c r="J6136" s="28">
        <f>IFERROR(VLOOKUP(TEXT(B6136,"0"),STOCK!A:H,7,0),1)</f>
        <v>1</v>
      </c>
    </row>
    <row r="6137" spans="10:10" ht="35.450000000000003" hidden="1" customHeight="1">
      <c r="J6137" s="28">
        <f>IFERROR(VLOOKUP(TEXT(B6137,"0"),STOCK!A:H,7,0),1)</f>
        <v>1</v>
      </c>
    </row>
    <row r="6138" spans="10:10" ht="35.450000000000003" hidden="1" customHeight="1">
      <c r="J6138" s="28">
        <f>IFERROR(VLOOKUP(TEXT(B6138,"0"),STOCK!A:H,7,0),1)</f>
        <v>1</v>
      </c>
    </row>
    <row r="6139" spans="10:10" ht="35.450000000000003" hidden="1" customHeight="1">
      <c r="J6139" s="28">
        <f>IFERROR(VLOOKUP(TEXT(B6139,"0"),STOCK!A:H,7,0),1)</f>
        <v>1</v>
      </c>
    </row>
    <row r="6140" spans="10:10" ht="35.450000000000003" hidden="1" customHeight="1">
      <c r="J6140" s="28">
        <f>IFERROR(VLOOKUP(TEXT(B6140,"0"),STOCK!A:H,7,0),1)</f>
        <v>1</v>
      </c>
    </row>
    <row r="6141" spans="10:10" ht="35.450000000000003" hidden="1" customHeight="1">
      <c r="J6141" s="28">
        <f>IFERROR(VLOOKUP(TEXT(B6141,"0"),STOCK!A:H,7,0),1)</f>
        <v>1</v>
      </c>
    </row>
    <row r="6142" spans="10:10" ht="35.450000000000003" hidden="1" customHeight="1">
      <c r="J6142" s="28">
        <f>IFERROR(VLOOKUP(TEXT(B6142,"0"),STOCK!A:H,7,0),1)</f>
        <v>1</v>
      </c>
    </row>
    <row r="6143" spans="10:10" ht="35.450000000000003" hidden="1" customHeight="1">
      <c r="J6143" s="28">
        <f>IFERROR(VLOOKUP(TEXT(B6143,"0"),STOCK!A:H,7,0),1)</f>
        <v>1</v>
      </c>
    </row>
    <row r="6144" spans="10:10" ht="35.450000000000003" hidden="1" customHeight="1">
      <c r="J6144" s="28">
        <f>IFERROR(VLOOKUP(TEXT(B6144,"0"),STOCK!A:H,7,0),1)</f>
        <v>1</v>
      </c>
    </row>
    <row r="6145" spans="10:10" ht="35.450000000000003" hidden="1" customHeight="1">
      <c r="J6145" s="28">
        <f>IFERROR(VLOOKUP(TEXT(B6145,"0"),STOCK!A:H,7,0),1)</f>
        <v>1</v>
      </c>
    </row>
    <row r="6146" spans="10:10" ht="35.450000000000003" hidden="1" customHeight="1">
      <c r="J6146" s="28">
        <f>IFERROR(VLOOKUP(TEXT(B6146,"0"),STOCK!A:H,7,0),1)</f>
        <v>1</v>
      </c>
    </row>
    <row r="6147" spans="10:10" ht="35.450000000000003" hidden="1" customHeight="1">
      <c r="J6147" s="28">
        <f>IFERROR(VLOOKUP(TEXT(B6147,"0"),STOCK!A:H,7,0),1)</f>
        <v>1</v>
      </c>
    </row>
    <row r="6148" spans="10:10" ht="35.450000000000003" hidden="1" customHeight="1">
      <c r="J6148" s="28">
        <f>IFERROR(VLOOKUP(TEXT(B6148,"0"),STOCK!A:H,7,0),1)</f>
        <v>1</v>
      </c>
    </row>
    <row r="6149" spans="10:10" ht="35.450000000000003" hidden="1" customHeight="1">
      <c r="J6149" s="28">
        <f>IFERROR(VLOOKUP(TEXT(B6149,"0"),STOCK!A:H,7,0),1)</f>
        <v>1</v>
      </c>
    </row>
    <row r="6150" spans="10:10" ht="35.450000000000003" hidden="1" customHeight="1">
      <c r="J6150" s="28">
        <f>IFERROR(VLOOKUP(TEXT(B6150,"0"),STOCK!A:H,7,0),1)</f>
        <v>1</v>
      </c>
    </row>
    <row r="6151" spans="10:10" ht="35.450000000000003" hidden="1" customHeight="1">
      <c r="J6151" s="28">
        <f>IFERROR(VLOOKUP(TEXT(B6151,"0"),STOCK!A:H,7,0),1)</f>
        <v>1</v>
      </c>
    </row>
    <row r="6152" spans="10:10" ht="35.450000000000003" hidden="1" customHeight="1">
      <c r="J6152" s="28">
        <f>IFERROR(VLOOKUP(TEXT(B6152,"0"),STOCK!A:H,7,0),1)</f>
        <v>1</v>
      </c>
    </row>
    <row r="6153" spans="10:10" ht="35.450000000000003" hidden="1" customHeight="1">
      <c r="J6153" s="28">
        <f>IFERROR(VLOOKUP(TEXT(B6153,"0"),STOCK!A:H,7,0),1)</f>
        <v>1</v>
      </c>
    </row>
    <row r="6154" spans="10:10" ht="35.450000000000003" hidden="1" customHeight="1">
      <c r="J6154" s="28">
        <f>IFERROR(VLOOKUP(TEXT(B6154,"0"),STOCK!A:H,7,0),1)</f>
        <v>1</v>
      </c>
    </row>
    <row r="6155" spans="10:10" ht="35.450000000000003" hidden="1" customHeight="1">
      <c r="J6155" s="28">
        <f>IFERROR(VLOOKUP(TEXT(B6155,"0"),STOCK!A:H,7,0),1)</f>
        <v>1</v>
      </c>
    </row>
    <row r="6156" spans="10:10" ht="35.450000000000003" hidden="1" customHeight="1">
      <c r="J6156" s="28">
        <f>IFERROR(VLOOKUP(TEXT(B6156,"0"),STOCK!A:H,7,0),1)</f>
        <v>1</v>
      </c>
    </row>
    <row r="6157" spans="10:10" ht="35.450000000000003" hidden="1" customHeight="1">
      <c r="J6157" s="28">
        <f>IFERROR(VLOOKUP(TEXT(B6157,"0"),STOCK!A:H,7,0),1)</f>
        <v>1</v>
      </c>
    </row>
    <row r="6158" spans="10:10" ht="35.450000000000003" hidden="1" customHeight="1">
      <c r="J6158" s="28">
        <f>IFERROR(VLOOKUP(TEXT(B6158,"0"),STOCK!A:H,7,0),1)</f>
        <v>1</v>
      </c>
    </row>
    <row r="6159" spans="10:10" ht="35.450000000000003" hidden="1" customHeight="1">
      <c r="J6159" s="28">
        <f>IFERROR(VLOOKUP(TEXT(B6159,"0"),STOCK!A:H,7,0),1)</f>
        <v>1</v>
      </c>
    </row>
    <row r="6160" spans="10:10" ht="35.450000000000003" hidden="1" customHeight="1">
      <c r="J6160" s="28">
        <f>IFERROR(VLOOKUP(TEXT(B6160,"0"),STOCK!A:H,7,0),1)</f>
        <v>1</v>
      </c>
    </row>
    <row r="6161" spans="10:10" ht="35.450000000000003" hidden="1" customHeight="1">
      <c r="J6161" s="28">
        <f>IFERROR(VLOOKUP(TEXT(B6161,"0"),STOCK!A:H,7,0),1)</f>
        <v>1</v>
      </c>
    </row>
    <row r="6162" spans="10:10" ht="35.450000000000003" hidden="1" customHeight="1">
      <c r="J6162" s="28">
        <f>IFERROR(VLOOKUP(TEXT(B6162,"0"),STOCK!A:H,7,0),1)</f>
        <v>1</v>
      </c>
    </row>
    <row r="6163" spans="10:10" ht="35.450000000000003" hidden="1" customHeight="1">
      <c r="J6163" s="28">
        <f>IFERROR(VLOOKUP(TEXT(B6163,"0"),STOCK!A:H,7,0),1)</f>
        <v>1</v>
      </c>
    </row>
    <row r="6164" spans="10:10" ht="35.450000000000003" hidden="1" customHeight="1">
      <c r="J6164" s="28">
        <f>IFERROR(VLOOKUP(TEXT(B6164,"0"),STOCK!A:H,7,0),1)</f>
        <v>1</v>
      </c>
    </row>
    <row r="6165" spans="10:10" ht="35.450000000000003" hidden="1" customHeight="1">
      <c r="J6165" s="28">
        <f>IFERROR(VLOOKUP(TEXT(B6165,"0"),STOCK!A:H,7,0),1)</f>
        <v>1</v>
      </c>
    </row>
    <row r="6166" spans="10:10" ht="35.450000000000003" hidden="1" customHeight="1">
      <c r="J6166" s="28">
        <f>IFERROR(VLOOKUP(TEXT(B6166,"0"),STOCK!A:H,7,0),1)</f>
        <v>1</v>
      </c>
    </row>
    <row r="6167" spans="10:10" ht="35.450000000000003" hidden="1" customHeight="1">
      <c r="J6167" s="28">
        <f>IFERROR(VLOOKUP(TEXT(B6167,"0"),STOCK!A:H,7,0),1)</f>
        <v>1</v>
      </c>
    </row>
    <row r="6168" spans="10:10" ht="35.450000000000003" hidden="1" customHeight="1">
      <c r="J6168" s="28">
        <f>IFERROR(VLOOKUP(TEXT(B6168,"0"),STOCK!A:H,7,0),1)</f>
        <v>1</v>
      </c>
    </row>
    <row r="6169" spans="10:10" ht="35.450000000000003" hidden="1" customHeight="1">
      <c r="J6169" s="28">
        <f>IFERROR(VLOOKUP(TEXT(B6169,"0"),STOCK!A:H,7,0),1)</f>
        <v>1</v>
      </c>
    </row>
    <row r="6170" spans="10:10" ht="35.450000000000003" hidden="1" customHeight="1">
      <c r="J6170" s="28">
        <f>IFERROR(VLOOKUP(TEXT(B6170,"0"),STOCK!A:H,7,0),1)</f>
        <v>1</v>
      </c>
    </row>
    <row r="6171" spans="10:10" ht="35.450000000000003" hidden="1" customHeight="1">
      <c r="J6171" s="28">
        <f>IFERROR(VLOOKUP(TEXT(B6171,"0"),STOCK!A:H,7,0),1)</f>
        <v>1</v>
      </c>
    </row>
    <row r="6172" spans="10:10" ht="35.450000000000003" hidden="1" customHeight="1">
      <c r="J6172" s="28">
        <f>IFERROR(VLOOKUP(TEXT(B6172,"0"),STOCK!A:H,7,0),1)</f>
        <v>1</v>
      </c>
    </row>
    <row r="6173" spans="10:10" ht="35.450000000000003" hidden="1" customHeight="1">
      <c r="J6173" s="28">
        <f>IFERROR(VLOOKUP(TEXT(B6173,"0"),STOCK!A:H,7,0),1)</f>
        <v>1</v>
      </c>
    </row>
    <row r="6174" spans="10:10" ht="35.450000000000003" hidden="1" customHeight="1">
      <c r="J6174" s="28">
        <f>IFERROR(VLOOKUP(TEXT(B6174,"0"),STOCK!A:H,7,0),1)</f>
        <v>1</v>
      </c>
    </row>
    <row r="6175" spans="10:10" ht="35.450000000000003" hidden="1" customHeight="1">
      <c r="J6175" s="28">
        <f>IFERROR(VLOOKUP(TEXT(B6175,"0"),STOCK!A:H,7,0),1)</f>
        <v>1</v>
      </c>
    </row>
    <row r="6176" spans="10:10" ht="35.450000000000003" hidden="1" customHeight="1">
      <c r="J6176" s="28">
        <f>IFERROR(VLOOKUP(TEXT(B6176,"0"),STOCK!A:H,7,0),1)</f>
        <v>1</v>
      </c>
    </row>
    <row r="6177" spans="10:10" ht="35.450000000000003" hidden="1" customHeight="1">
      <c r="J6177" s="28">
        <f>IFERROR(VLOOKUP(TEXT(B6177,"0"),STOCK!A:H,7,0),1)</f>
        <v>1</v>
      </c>
    </row>
    <row r="6178" spans="10:10" ht="35.450000000000003" hidden="1" customHeight="1">
      <c r="J6178" s="28">
        <f>IFERROR(VLOOKUP(TEXT(B6178,"0"),STOCK!A:H,7,0),1)</f>
        <v>1</v>
      </c>
    </row>
    <row r="6179" spans="10:10" ht="35.450000000000003" hidden="1" customHeight="1">
      <c r="J6179" s="28">
        <f>IFERROR(VLOOKUP(TEXT(B6179,"0"),STOCK!A:H,7,0),1)</f>
        <v>1</v>
      </c>
    </row>
    <row r="6180" spans="10:10" ht="35.450000000000003" hidden="1" customHeight="1">
      <c r="J6180" s="28">
        <f>IFERROR(VLOOKUP(TEXT(B6180,"0"),STOCK!A:H,7,0),1)</f>
        <v>1</v>
      </c>
    </row>
    <row r="6181" spans="10:10" ht="35.450000000000003" hidden="1" customHeight="1">
      <c r="J6181" s="28">
        <f>IFERROR(VLOOKUP(TEXT(B6181,"0"),STOCK!A:H,7,0),1)</f>
        <v>1</v>
      </c>
    </row>
    <row r="6182" spans="10:10" ht="35.450000000000003" hidden="1" customHeight="1">
      <c r="J6182" s="28">
        <f>IFERROR(VLOOKUP(TEXT(B6182,"0"),STOCK!A:H,7,0),1)</f>
        <v>1</v>
      </c>
    </row>
    <row r="6183" spans="10:10" ht="35.450000000000003" hidden="1" customHeight="1">
      <c r="J6183" s="28">
        <f>IFERROR(VLOOKUP(TEXT(B6183,"0"),STOCK!A:H,7,0),1)</f>
        <v>1</v>
      </c>
    </row>
    <row r="6184" spans="10:10" ht="35.450000000000003" hidden="1" customHeight="1">
      <c r="J6184" s="28">
        <f>IFERROR(VLOOKUP(TEXT(B6184,"0"),STOCK!A:H,7,0),1)</f>
        <v>1</v>
      </c>
    </row>
    <row r="6185" spans="10:10" ht="35.450000000000003" hidden="1" customHeight="1">
      <c r="J6185" s="28">
        <f>IFERROR(VLOOKUP(TEXT(B6185,"0"),STOCK!A:H,7,0),1)</f>
        <v>1</v>
      </c>
    </row>
    <row r="6186" spans="10:10" ht="35.450000000000003" hidden="1" customHeight="1">
      <c r="J6186" s="28">
        <f>IFERROR(VLOOKUP(TEXT(B6186,"0"),STOCK!A:H,7,0),1)</f>
        <v>1</v>
      </c>
    </row>
    <row r="6187" spans="10:10" ht="35.450000000000003" hidden="1" customHeight="1">
      <c r="J6187" s="28">
        <f>IFERROR(VLOOKUP(TEXT(B6187,"0"),STOCK!A:H,7,0),1)</f>
        <v>1</v>
      </c>
    </row>
    <row r="6188" spans="10:10" ht="35.450000000000003" hidden="1" customHeight="1">
      <c r="J6188" s="28">
        <f>IFERROR(VLOOKUP(TEXT(B6188,"0"),STOCK!A:H,7,0),1)</f>
        <v>1</v>
      </c>
    </row>
    <row r="6189" spans="10:10" ht="35.450000000000003" hidden="1" customHeight="1">
      <c r="J6189" s="28">
        <f>IFERROR(VLOOKUP(TEXT(B6189,"0"),STOCK!A:H,7,0),1)</f>
        <v>1</v>
      </c>
    </row>
    <row r="6190" spans="10:10" ht="35.450000000000003" hidden="1" customHeight="1">
      <c r="J6190" s="28">
        <f>IFERROR(VLOOKUP(TEXT(B6190,"0"),STOCK!A:H,7,0),1)</f>
        <v>1</v>
      </c>
    </row>
    <row r="6191" spans="10:10" ht="35.450000000000003" hidden="1" customHeight="1">
      <c r="J6191" s="28">
        <f>IFERROR(VLOOKUP(TEXT(B6191,"0"),STOCK!A:H,7,0),1)</f>
        <v>1</v>
      </c>
    </row>
    <row r="6192" spans="10:10" ht="35.450000000000003" hidden="1" customHeight="1">
      <c r="J6192" s="28">
        <f>IFERROR(VLOOKUP(TEXT(B6192,"0"),STOCK!A:H,7,0),1)</f>
        <v>1</v>
      </c>
    </row>
    <row r="6193" spans="10:10" ht="35.450000000000003" hidden="1" customHeight="1">
      <c r="J6193" s="28">
        <f>IFERROR(VLOOKUP(TEXT(B6193,"0"),STOCK!A:H,7,0),1)</f>
        <v>1</v>
      </c>
    </row>
    <row r="6194" spans="10:10" ht="35.450000000000003" hidden="1" customHeight="1">
      <c r="J6194" s="28">
        <f>IFERROR(VLOOKUP(TEXT(B6194,"0"),STOCK!A:H,7,0),1)</f>
        <v>1</v>
      </c>
    </row>
    <row r="6195" spans="10:10" ht="35.450000000000003" hidden="1" customHeight="1">
      <c r="J6195" s="28">
        <f>IFERROR(VLOOKUP(TEXT(B6195,"0"),STOCK!A:H,7,0),1)</f>
        <v>1</v>
      </c>
    </row>
    <row r="6196" spans="10:10" ht="35.450000000000003" hidden="1" customHeight="1">
      <c r="J6196" s="28">
        <f>IFERROR(VLOOKUP(TEXT(B6196,"0"),STOCK!A:H,7,0),1)</f>
        <v>1</v>
      </c>
    </row>
    <row r="6197" spans="10:10" ht="35.450000000000003" hidden="1" customHeight="1">
      <c r="J6197" s="28">
        <f>IFERROR(VLOOKUP(TEXT(B6197,"0"),STOCK!A:H,7,0),1)</f>
        <v>1</v>
      </c>
    </row>
    <row r="6198" spans="10:10" ht="35.450000000000003" hidden="1" customHeight="1">
      <c r="J6198" s="28">
        <f>IFERROR(VLOOKUP(TEXT(B6198,"0"),STOCK!A:H,7,0),1)</f>
        <v>1</v>
      </c>
    </row>
    <row r="6199" spans="10:10" ht="35.450000000000003" hidden="1" customHeight="1">
      <c r="J6199" s="28">
        <f>IFERROR(VLOOKUP(TEXT(B6199,"0"),STOCK!A:H,7,0),1)</f>
        <v>1</v>
      </c>
    </row>
    <row r="6200" spans="10:10" ht="35.450000000000003" hidden="1" customHeight="1">
      <c r="J6200" s="28">
        <f>IFERROR(VLOOKUP(TEXT(B6200,"0"),STOCK!A:H,7,0),1)</f>
        <v>1</v>
      </c>
    </row>
    <row r="6201" spans="10:10" ht="35.450000000000003" hidden="1" customHeight="1">
      <c r="J6201" s="28">
        <f>IFERROR(VLOOKUP(TEXT(B6201,"0"),STOCK!A:H,7,0),1)</f>
        <v>1</v>
      </c>
    </row>
    <row r="6202" spans="10:10" ht="35.450000000000003" hidden="1" customHeight="1">
      <c r="J6202" s="28">
        <f>IFERROR(VLOOKUP(TEXT(B6202,"0"),STOCK!A:H,7,0),1)</f>
        <v>1</v>
      </c>
    </row>
    <row r="6203" spans="10:10" ht="35.450000000000003" hidden="1" customHeight="1">
      <c r="J6203" s="28">
        <f>IFERROR(VLOOKUP(TEXT(B6203,"0"),STOCK!A:H,7,0),1)</f>
        <v>1</v>
      </c>
    </row>
    <row r="6204" spans="10:10" ht="35.450000000000003" hidden="1" customHeight="1">
      <c r="J6204" s="28">
        <f>IFERROR(VLOOKUP(TEXT(B6204,"0"),STOCK!A:H,7,0),1)</f>
        <v>1</v>
      </c>
    </row>
    <row r="6205" spans="10:10" ht="35.450000000000003" hidden="1" customHeight="1">
      <c r="J6205" s="28">
        <f>IFERROR(VLOOKUP(TEXT(B6205,"0"),STOCK!A:H,7,0),1)</f>
        <v>1</v>
      </c>
    </row>
    <row r="6206" spans="10:10" ht="35.450000000000003" hidden="1" customHeight="1">
      <c r="J6206" s="28">
        <f>IFERROR(VLOOKUP(TEXT(B6206,"0"),STOCK!A:H,7,0),1)</f>
        <v>1</v>
      </c>
    </row>
    <row r="6207" spans="10:10" ht="35.450000000000003" hidden="1" customHeight="1">
      <c r="J6207" s="28">
        <f>IFERROR(VLOOKUP(TEXT(B6207,"0"),STOCK!A:H,7,0),1)</f>
        <v>1</v>
      </c>
    </row>
    <row r="6208" spans="10:10" ht="35.450000000000003" hidden="1" customHeight="1">
      <c r="J6208" s="28">
        <f>IFERROR(VLOOKUP(TEXT(B6208,"0"),STOCK!A:H,7,0),1)</f>
        <v>1</v>
      </c>
    </row>
    <row r="6209" spans="10:10" ht="35.450000000000003" hidden="1" customHeight="1">
      <c r="J6209" s="28">
        <f>IFERROR(VLOOKUP(TEXT(B6209,"0"),STOCK!A:H,7,0),1)</f>
        <v>1</v>
      </c>
    </row>
    <row r="6210" spans="10:10" ht="35.450000000000003" hidden="1" customHeight="1">
      <c r="J6210" s="28">
        <f>IFERROR(VLOOKUP(TEXT(B6210,"0"),STOCK!A:H,7,0),1)</f>
        <v>1</v>
      </c>
    </row>
    <row r="6211" spans="10:10" ht="35.450000000000003" hidden="1" customHeight="1">
      <c r="J6211" s="28">
        <f>IFERROR(VLOOKUP(TEXT(B6211,"0"),STOCK!A:H,7,0),1)</f>
        <v>1</v>
      </c>
    </row>
    <row r="6212" spans="10:10" ht="35.450000000000003" hidden="1" customHeight="1">
      <c r="J6212" s="28">
        <f>IFERROR(VLOOKUP(TEXT(B6212,"0"),STOCK!A:H,7,0),1)</f>
        <v>1</v>
      </c>
    </row>
    <row r="6213" spans="10:10" ht="35.450000000000003" hidden="1" customHeight="1">
      <c r="J6213" s="28">
        <f>IFERROR(VLOOKUP(TEXT(B6213,"0"),STOCK!A:H,7,0),1)</f>
        <v>1</v>
      </c>
    </row>
    <row r="6214" spans="10:10" ht="35.450000000000003" hidden="1" customHeight="1">
      <c r="J6214" s="28">
        <f>IFERROR(VLOOKUP(TEXT(B6214,"0"),STOCK!A:H,7,0),1)</f>
        <v>1</v>
      </c>
    </row>
    <row r="6215" spans="10:10" ht="35.450000000000003" hidden="1" customHeight="1">
      <c r="J6215" s="28">
        <f>IFERROR(VLOOKUP(TEXT(B6215,"0"),STOCK!A:H,7,0),1)</f>
        <v>1</v>
      </c>
    </row>
    <row r="6216" spans="10:10" ht="35.450000000000003" hidden="1" customHeight="1">
      <c r="J6216" s="28">
        <f>IFERROR(VLOOKUP(TEXT(B6216,"0"),STOCK!A:H,7,0),1)</f>
        <v>1</v>
      </c>
    </row>
    <row r="6217" spans="10:10" ht="35.450000000000003" hidden="1" customHeight="1">
      <c r="J6217" s="28">
        <f>IFERROR(VLOOKUP(TEXT(B6217,"0"),STOCK!A:H,7,0),1)</f>
        <v>1</v>
      </c>
    </row>
    <row r="6218" spans="10:10" ht="35.450000000000003" hidden="1" customHeight="1">
      <c r="J6218" s="28">
        <f>IFERROR(VLOOKUP(TEXT(B6218,"0"),STOCK!A:H,7,0),1)</f>
        <v>1</v>
      </c>
    </row>
    <row r="6219" spans="10:10" ht="35.450000000000003" hidden="1" customHeight="1">
      <c r="J6219" s="28">
        <f>IFERROR(VLOOKUP(TEXT(B6219,"0"),STOCK!A:H,7,0),1)</f>
        <v>1</v>
      </c>
    </row>
    <row r="6220" spans="10:10" ht="35.450000000000003" hidden="1" customHeight="1">
      <c r="J6220" s="28">
        <f>IFERROR(VLOOKUP(TEXT(B6220,"0"),STOCK!A:H,7,0),1)</f>
        <v>1</v>
      </c>
    </row>
    <row r="6221" spans="10:10" ht="35.450000000000003" hidden="1" customHeight="1">
      <c r="J6221" s="28">
        <f>IFERROR(VLOOKUP(TEXT(B6221,"0"),STOCK!A:H,7,0),1)</f>
        <v>1</v>
      </c>
    </row>
    <row r="6222" spans="10:10" ht="35.450000000000003" hidden="1" customHeight="1">
      <c r="J6222" s="28">
        <f>IFERROR(VLOOKUP(TEXT(B6222,"0"),STOCK!A:H,7,0),1)</f>
        <v>1</v>
      </c>
    </row>
    <row r="6223" spans="10:10" ht="35.450000000000003" hidden="1" customHeight="1">
      <c r="J6223" s="28">
        <f>IFERROR(VLOOKUP(TEXT(B6223,"0"),STOCK!A:H,7,0),1)</f>
        <v>1</v>
      </c>
    </row>
    <row r="6224" spans="10:10" ht="35.450000000000003" hidden="1" customHeight="1">
      <c r="J6224" s="28">
        <f>IFERROR(VLOOKUP(TEXT(B6224,"0"),STOCK!A:H,7,0),1)</f>
        <v>1</v>
      </c>
    </row>
    <row r="6225" spans="10:10" ht="35.450000000000003" hidden="1" customHeight="1">
      <c r="J6225" s="28">
        <f>IFERROR(VLOOKUP(TEXT(B6225,"0"),STOCK!A:H,7,0),1)</f>
        <v>1</v>
      </c>
    </row>
    <row r="6226" spans="10:10" ht="35.450000000000003" hidden="1" customHeight="1">
      <c r="J6226" s="28">
        <f>IFERROR(VLOOKUP(TEXT(B6226,"0"),STOCK!A:H,7,0),1)</f>
        <v>1</v>
      </c>
    </row>
    <row r="6227" spans="10:10" ht="35.450000000000003" hidden="1" customHeight="1">
      <c r="J6227" s="28">
        <f>IFERROR(VLOOKUP(TEXT(B6227,"0"),STOCK!A:H,7,0),1)</f>
        <v>1</v>
      </c>
    </row>
    <row r="6228" spans="10:10" ht="35.450000000000003" hidden="1" customHeight="1">
      <c r="J6228" s="28">
        <f>IFERROR(VLOOKUP(TEXT(B6228,"0"),STOCK!A:H,7,0),1)</f>
        <v>1</v>
      </c>
    </row>
    <row r="6229" spans="10:10" ht="35.450000000000003" hidden="1" customHeight="1">
      <c r="J6229" s="28">
        <f>IFERROR(VLOOKUP(TEXT(B6229,"0"),STOCK!A:H,7,0),1)</f>
        <v>1</v>
      </c>
    </row>
    <row r="6230" spans="10:10" ht="35.450000000000003" hidden="1" customHeight="1">
      <c r="J6230" s="28">
        <f>IFERROR(VLOOKUP(TEXT(B6230,"0"),STOCK!A:H,7,0),1)</f>
        <v>1</v>
      </c>
    </row>
    <row r="6231" spans="10:10" ht="35.450000000000003" hidden="1" customHeight="1">
      <c r="J6231" s="28">
        <f>IFERROR(VLOOKUP(TEXT(B6231,"0"),STOCK!A:H,7,0),1)</f>
        <v>1</v>
      </c>
    </row>
    <row r="6232" spans="10:10" ht="35.450000000000003" hidden="1" customHeight="1">
      <c r="J6232" s="28">
        <f>IFERROR(VLOOKUP(TEXT(B6232,"0"),STOCK!A:H,7,0),1)</f>
        <v>1</v>
      </c>
    </row>
    <row r="6233" spans="10:10" ht="35.450000000000003" hidden="1" customHeight="1">
      <c r="J6233" s="28">
        <f>IFERROR(VLOOKUP(TEXT(B6233,"0"),STOCK!A:H,7,0),1)</f>
        <v>1</v>
      </c>
    </row>
    <row r="6234" spans="10:10" ht="35.450000000000003" hidden="1" customHeight="1">
      <c r="J6234" s="28">
        <f>IFERROR(VLOOKUP(TEXT(B6234,"0"),STOCK!A:H,7,0),1)</f>
        <v>1</v>
      </c>
    </row>
    <row r="6235" spans="10:10" ht="35.450000000000003" hidden="1" customHeight="1">
      <c r="J6235" s="28">
        <f>IFERROR(VLOOKUP(TEXT(B6235,"0"),STOCK!A:H,7,0),1)</f>
        <v>1</v>
      </c>
    </row>
    <row r="6236" spans="10:10" ht="35.450000000000003" hidden="1" customHeight="1">
      <c r="J6236" s="28">
        <f>IFERROR(VLOOKUP(TEXT(B6236,"0"),STOCK!A:H,7,0),1)</f>
        <v>1</v>
      </c>
    </row>
    <row r="6237" spans="10:10" ht="35.450000000000003" hidden="1" customHeight="1">
      <c r="J6237" s="28">
        <f>IFERROR(VLOOKUP(TEXT(B6237,"0"),STOCK!A:H,7,0),1)</f>
        <v>1</v>
      </c>
    </row>
    <row r="6238" spans="10:10" ht="35.450000000000003" hidden="1" customHeight="1">
      <c r="J6238" s="28">
        <f>IFERROR(VLOOKUP(TEXT(B6238,"0"),STOCK!A:H,7,0),1)</f>
        <v>1</v>
      </c>
    </row>
    <row r="6239" spans="10:10" ht="35.450000000000003" hidden="1" customHeight="1">
      <c r="J6239" s="28">
        <f>IFERROR(VLOOKUP(TEXT(B6239,"0"),STOCK!A:H,7,0),1)</f>
        <v>1</v>
      </c>
    </row>
    <row r="6240" spans="10:10" ht="35.450000000000003" hidden="1" customHeight="1">
      <c r="J6240" s="28">
        <f>IFERROR(VLOOKUP(TEXT(B6240,"0"),STOCK!A:H,7,0),1)</f>
        <v>1</v>
      </c>
    </row>
    <row r="6241" spans="10:10" ht="35.450000000000003" hidden="1" customHeight="1">
      <c r="J6241" s="28">
        <f>IFERROR(VLOOKUP(TEXT(B6241,"0"),STOCK!A:H,7,0),1)</f>
        <v>1</v>
      </c>
    </row>
    <row r="6242" spans="10:10" ht="35.450000000000003" hidden="1" customHeight="1">
      <c r="J6242" s="28">
        <f>IFERROR(VLOOKUP(TEXT(B6242,"0"),STOCK!A:H,7,0),1)</f>
        <v>1</v>
      </c>
    </row>
    <row r="6243" spans="10:10" ht="35.450000000000003" hidden="1" customHeight="1">
      <c r="J6243" s="28">
        <f>IFERROR(VLOOKUP(TEXT(B6243,"0"),STOCK!A:H,7,0),1)</f>
        <v>1</v>
      </c>
    </row>
    <row r="6244" spans="10:10" ht="35.450000000000003" hidden="1" customHeight="1">
      <c r="J6244" s="28">
        <f>IFERROR(VLOOKUP(TEXT(B6244,"0"),STOCK!A:H,7,0),1)</f>
        <v>1</v>
      </c>
    </row>
    <row r="6245" spans="10:10" ht="35.450000000000003" hidden="1" customHeight="1">
      <c r="J6245" s="28">
        <f>IFERROR(VLOOKUP(TEXT(B6245,"0"),STOCK!A:H,7,0),1)</f>
        <v>1</v>
      </c>
    </row>
    <row r="6246" spans="10:10" ht="35.450000000000003" hidden="1" customHeight="1">
      <c r="J6246" s="28">
        <f>IFERROR(VLOOKUP(TEXT(B6246,"0"),STOCK!A:H,7,0),1)</f>
        <v>1</v>
      </c>
    </row>
    <row r="6247" spans="10:10" ht="35.450000000000003" hidden="1" customHeight="1">
      <c r="J6247" s="28">
        <f>IFERROR(VLOOKUP(TEXT(B6247,"0"),STOCK!A:H,7,0),1)</f>
        <v>1</v>
      </c>
    </row>
    <row r="6248" spans="10:10" ht="35.450000000000003" hidden="1" customHeight="1">
      <c r="J6248" s="28">
        <f>IFERROR(VLOOKUP(TEXT(B6248,"0"),STOCK!A:H,7,0),1)</f>
        <v>1</v>
      </c>
    </row>
    <row r="6249" spans="10:10" ht="35.450000000000003" hidden="1" customHeight="1">
      <c r="J6249" s="28">
        <f>IFERROR(VLOOKUP(TEXT(B6249,"0"),STOCK!A:H,7,0),1)</f>
        <v>1</v>
      </c>
    </row>
    <row r="6250" spans="10:10" ht="35.450000000000003" hidden="1" customHeight="1">
      <c r="J6250" s="28">
        <f>IFERROR(VLOOKUP(TEXT(B6250,"0"),STOCK!A:H,7,0),1)</f>
        <v>1</v>
      </c>
    </row>
    <row r="6251" spans="10:10" ht="35.450000000000003" hidden="1" customHeight="1">
      <c r="J6251" s="28">
        <f>IFERROR(VLOOKUP(TEXT(B6251,"0"),STOCK!A:H,7,0),1)</f>
        <v>1</v>
      </c>
    </row>
    <row r="6252" spans="10:10" ht="35.450000000000003" hidden="1" customHeight="1">
      <c r="J6252" s="28">
        <f>IFERROR(VLOOKUP(TEXT(B6252,"0"),STOCK!A:H,7,0),1)</f>
        <v>1</v>
      </c>
    </row>
    <row r="6253" spans="10:10" ht="35.450000000000003" hidden="1" customHeight="1">
      <c r="J6253" s="28">
        <f>IFERROR(VLOOKUP(TEXT(B6253,"0"),STOCK!A:H,7,0),1)</f>
        <v>1</v>
      </c>
    </row>
    <row r="6254" spans="10:10" ht="35.450000000000003" hidden="1" customHeight="1">
      <c r="J6254" s="28">
        <f>IFERROR(VLOOKUP(TEXT(B6254,"0"),STOCK!A:H,7,0),1)</f>
        <v>1</v>
      </c>
    </row>
    <row r="6255" spans="10:10" ht="35.450000000000003" hidden="1" customHeight="1">
      <c r="J6255" s="28">
        <f>IFERROR(VLOOKUP(TEXT(B6255,"0"),STOCK!A:H,7,0),1)</f>
        <v>1</v>
      </c>
    </row>
    <row r="6256" spans="10:10" ht="35.450000000000003" hidden="1" customHeight="1">
      <c r="J6256" s="28">
        <f>IFERROR(VLOOKUP(TEXT(B6256,"0"),STOCK!A:H,7,0),1)</f>
        <v>1</v>
      </c>
    </row>
    <row r="6257" spans="10:10" ht="35.450000000000003" hidden="1" customHeight="1">
      <c r="J6257" s="28">
        <f>IFERROR(VLOOKUP(TEXT(B6257,"0"),STOCK!A:H,7,0),1)</f>
        <v>1</v>
      </c>
    </row>
    <row r="6258" spans="10:10" ht="35.450000000000003" hidden="1" customHeight="1">
      <c r="J6258" s="28">
        <f>IFERROR(VLOOKUP(TEXT(B6258,"0"),STOCK!A:H,7,0),1)</f>
        <v>1</v>
      </c>
    </row>
    <row r="6259" spans="10:10" ht="35.450000000000003" hidden="1" customHeight="1">
      <c r="J6259" s="28">
        <f>IFERROR(VLOOKUP(TEXT(B6259,"0"),STOCK!A:H,7,0),1)</f>
        <v>1</v>
      </c>
    </row>
    <row r="6260" spans="10:10" ht="35.450000000000003" hidden="1" customHeight="1">
      <c r="J6260" s="28">
        <f>IFERROR(VLOOKUP(TEXT(B6260,"0"),STOCK!A:H,7,0),1)</f>
        <v>1</v>
      </c>
    </row>
    <row r="6261" spans="10:10" ht="35.450000000000003" hidden="1" customHeight="1">
      <c r="J6261" s="28">
        <f>IFERROR(VLOOKUP(TEXT(B6261,"0"),STOCK!A:H,7,0),1)</f>
        <v>1</v>
      </c>
    </row>
    <row r="6262" spans="10:10" ht="35.450000000000003" hidden="1" customHeight="1">
      <c r="J6262" s="28">
        <f>IFERROR(VLOOKUP(TEXT(B6262,"0"),STOCK!A:H,7,0),1)</f>
        <v>1</v>
      </c>
    </row>
    <row r="6263" spans="10:10" ht="35.450000000000003" hidden="1" customHeight="1">
      <c r="J6263" s="28">
        <f>IFERROR(VLOOKUP(TEXT(B6263,"0"),STOCK!A:H,7,0),1)</f>
        <v>1</v>
      </c>
    </row>
    <row r="6264" spans="10:10" ht="35.450000000000003" hidden="1" customHeight="1">
      <c r="J6264" s="28">
        <f>IFERROR(VLOOKUP(TEXT(B6264,"0"),STOCK!A:H,7,0),1)</f>
        <v>1</v>
      </c>
    </row>
    <row r="6265" spans="10:10" ht="35.450000000000003" hidden="1" customHeight="1">
      <c r="J6265" s="28">
        <f>IFERROR(VLOOKUP(TEXT(B6265,"0"),STOCK!A:H,7,0),1)</f>
        <v>1</v>
      </c>
    </row>
    <row r="6266" spans="10:10" ht="35.450000000000003" hidden="1" customHeight="1">
      <c r="J6266" s="28">
        <f>IFERROR(VLOOKUP(TEXT(B6266,"0"),STOCK!A:H,7,0),1)</f>
        <v>1</v>
      </c>
    </row>
    <row r="6267" spans="10:10" ht="35.450000000000003" hidden="1" customHeight="1">
      <c r="J6267" s="28">
        <f>IFERROR(VLOOKUP(TEXT(B6267,"0"),STOCK!A:H,7,0),1)</f>
        <v>1</v>
      </c>
    </row>
    <row r="6268" spans="10:10" ht="35.450000000000003" hidden="1" customHeight="1">
      <c r="J6268" s="28">
        <f>IFERROR(VLOOKUP(TEXT(B6268,"0"),STOCK!A:H,7,0),1)</f>
        <v>1</v>
      </c>
    </row>
    <row r="6269" spans="10:10" ht="35.450000000000003" hidden="1" customHeight="1">
      <c r="J6269" s="28">
        <f>IFERROR(VLOOKUP(TEXT(B6269,"0"),STOCK!A:H,7,0),1)</f>
        <v>1</v>
      </c>
    </row>
    <row r="6270" spans="10:10" ht="35.450000000000003" hidden="1" customHeight="1">
      <c r="J6270" s="28">
        <f>IFERROR(VLOOKUP(TEXT(B6270,"0"),STOCK!A:H,7,0),1)</f>
        <v>1</v>
      </c>
    </row>
    <row r="6271" spans="10:10" ht="35.450000000000003" hidden="1" customHeight="1">
      <c r="J6271" s="28">
        <f>IFERROR(VLOOKUP(TEXT(B6271,"0"),STOCK!A:H,7,0),1)</f>
        <v>1</v>
      </c>
    </row>
    <row r="6272" spans="10:10" ht="35.450000000000003" hidden="1" customHeight="1">
      <c r="J6272" s="28">
        <f>IFERROR(VLOOKUP(TEXT(B6272,"0"),STOCK!A:H,7,0),1)</f>
        <v>1</v>
      </c>
    </row>
    <row r="6273" spans="10:10" ht="35.450000000000003" hidden="1" customHeight="1">
      <c r="J6273" s="28">
        <f>IFERROR(VLOOKUP(TEXT(B6273,"0"),STOCK!A:H,7,0),1)</f>
        <v>1</v>
      </c>
    </row>
    <row r="6274" spans="10:10" ht="35.450000000000003" hidden="1" customHeight="1">
      <c r="J6274" s="28">
        <f>IFERROR(VLOOKUP(TEXT(B6274,"0"),STOCK!A:H,7,0),1)</f>
        <v>1</v>
      </c>
    </row>
    <row r="6275" spans="10:10" ht="35.450000000000003" hidden="1" customHeight="1">
      <c r="J6275" s="28">
        <f>IFERROR(VLOOKUP(TEXT(B6275,"0"),STOCK!A:H,7,0),1)</f>
        <v>1</v>
      </c>
    </row>
    <row r="6276" spans="10:10" ht="35.450000000000003" hidden="1" customHeight="1">
      <c r="J6276" s="28">
        <f>IFERROR(VLOOKUP(TEXT(B6276,"0"),STOCK!A:H,7,0),1)</f>
        <v>1</v>
      </c>
    </row>
    <row r="6277" spans="10:10" ht="35.450000000000003" hidden="1" customHeight="1">
      <c r="J6277" s="28">
        <f>IFERROR(VLOOKUP(TEXT(B6277,"0"),STOCK!A:H,7,0),1)</f>
        <v>1</v>
      </c>
    </row>
    <row r="6278" spans="10:10" ht="35.450000000000003" hidden="1" customHeight="1">
      <c r="J6278" s="28">
        <f>IFERROR(VLOOKUP(TEXT(B6278,"0"),STOCK!A:H,7,0),1)</f>
        <v>1</v>
      </c>
    </row>
    <row r="6279" spans="10:10" ht="35.450000000000003" hidden="1" customHeight="1">
      <c r="J6279" s="28">
        <f>IFERROR(VLOOKUP(TEXT(B6279,"0"),STOCK!A:H,7,0),1)</f>
        <v>1</v>
      </c>
    </row>
    <row r="6280" spans="10:10" ht="35.450000000000003" hidden="1" customHeight="1">
      <c r="J6280" s="28">
        <f>IFERROR(VLOOKUP(TEXT(B6280,"0"),STOCK!A:H,7,0),1)</f>
        <v>1</v>
      </c>
    </row>
    <row r="6281" spans="10:10" ht="35.450000000000003" hidden="1" customHeight="1">
      <c r="J6281" s="28">
        <f>IFERROR(VLOOKUP(TEXT(B6281,"0"),STOCK!A:H,7,0),1)</f>
        <v>1</v>
      </c>
    </row>
    <row r="6282" spans="10:10" ht="35.450000000000003" hidden="1" customHeight="1">
      <c r="J6282" s="28">
        <f>IFERROR(VLOOKUP(TEXT(B6282,"0"),STOCK!A:H,7,0),1)</f>
        <v>1</v>
      </c>
    </row>
    <row r="6283" spans="10:10" ht="35.450000000000003" hidden="1" customHeight="1">
      <c r="J6283" s="28">
        <f>IFERROR(VLOOKUP(TEXT(B6283,"0"),STOCK!A:H,7,0),1)</f>
        <v>1</v>
      </c>
    </row>
    <row r="6284" spans="10:10" ht="35.450000000000003" hidden="1" customHeight="1">
      <c r="J6284" s="28">
        <f>IFERROR(VLOOKUP(TEXT(B6284,"0"),STOCK!A:H,7,0),1)</f>
        <v>1</v>
      </c>
    </row>
    <row r="6285" spans="10:10" ht="35.450000000000003" hidden="1" customHeight="1">
      <c r="J6285" s="28">
        <f>IFERROR(VLOOKUP(TEXT(B6285,"0"),STOCK!A:H,7,0),1)</f>
        <v>1</v>
      </c>
    </row>
    <row r="6286" spans="10:10" ht="35.450000000000003" hidden="1" customHeight="1">
      <c r="J6286" s="28">
        <f>IFERROR(VLOOKUP(TEXT(B6286,"0"),STOCK!A:H,7,0),1)</f>
        <v>1</v>
      </c>
    </row>
    <row r="6287" spans="10:10" ht="35.450000000000003" hidden="1" customHeight="1">
      <c r="J6287" s="28">
        <f>IFERROR(VLOOKUP(TEXT(B6287,"0"),STOCK!A:H,7,0),1)</f>
        <v>1</v>
      </c>
    </row>
    <row r="6288" spans="10:10" ht="35.450000000000003" hidden="1" customHeight="1">
      <c r="J6288" s="28">
        <f>IFERROR(VLOOKUP(TEXT(B6288,"0"),STOCK!A:H,7,0),1)</f>
        <v>1</v>
      </c>
    </row>
    <row r="6289" spans="10:10" ht="35.450000000000003" hidden="1" customHeight="1">
      <c r="J6289" s="28">
        <f>IFERROR(VLOOKUP(TEXT(B6289,"0"),STOCK!A:H,7,0),1)</f>
        <v>1</v>
      </c>
    </row>
    <row r="6290" spans="10:10" ht="35.450000000000003" hidden="1" customHeight="1">
      <c r="J6290" s="28">
        <f>IFERROR(VLOOKUP(TEXT(B6290,"0"),STOCK!A:H,7,0),1)</f>
        <v>1</v>
      </c>
    </row>
    <row r="6291" spans="10:10" ht="35.450000000000003" hidden="1" customHeight="1">
      <c r="J6291" s="28">
        <f>IFERROR(VLOOKUP(TEXT(B6291,"0"),STOCK!A:H,7,0),1)</f>
        <v>1</v>
      </c>
    </row>
    <row r="6292" spans="10:10" ht="35.450000000000003" hidden="1" customHeight="1">
      <c r="J6292" s="28">
        <f>IFERROR(VLOOKUP(TEXT(B6292,"0"),STOCK!A:H,7,0),1)</f>
        <v>1</v>
      </c>
    </row>
    <row r="6293" spans="10:10" ht="35.450000000000003" hidden="1" customHeight="1">
      <c r="J6293" s="28">
        <f>IFERROR(VLOOKUP(TEXT(B6293,"0"),STOCK!A:H,7,0),1)</f>
        <v>1</v>
      </c>
    </row>
    <row r="6294" spans="10:10" ht="35.450000000000003" hidden="1" customHeight="1">
      <c r="J6294" s="28">
        <f>IFERROR(VLOOKUP(TEXT(B6294,"0"),STOCK!A:H,7,0),1)</f>
        <v>1</v>
      </c>
    </row>
    <row r="6295" spans="10:10" ht="35.450000000000003" hidden="1" customHeight="1">
      <c r="J6295" s="28">
        <f>IFERROR(VLOOKUP(TEXT(B6295,"0"),STOCK!A:H,7,0),1)</f>
        <v>1</v>
      </c>
    </row>
    <row r="6296" spans="10:10" ht="35.450000000000003" hidden="1" customHeight="1">
      <c r="J6296" s="28">
        <f>IFERROR(VLOOKUP(TEXT(B6296,"0"),STOCK!A:H,7,0),1)</f>
        <v>1</v>
      </c>
    </row>
    <row r="6297" spans="10:10" ht="35.450000000000003" hidden="1" customHeight="1">
      <c r="J6297" s="28">
        <f>IFERROR(VLOOKUP(TEXT(B6297,"0"),STOCK!A:H,7,0),1)</f>
        <v>1</v>
      </c>
    </row>
    <row r="6298" spans="10:10" ht="35.450000000000003" hidden="1" customHeight="1">
      <c r="J6298" s="28">
        <f>IFERROR(VLOOKUP(TEXT(B6298,"0"),STOCK!A:H,7,0),1)</f>
        <v>1</v>
      </c>
    </row>
    <row r="6299" spans="10:10" ht="35.450000000000003" hidden="1" customHeight="1">
      <c r="J6299" s="28">
        <f>IFERROR(VLOOKUP(TEXT(B6299,"0"),STOCK!A:H,7,0),1)</f>
        <v>1</v>
      </c>
    </row>
    <row r="6300" spans="10:10" ht="35.450000000000003" hidden="1" customHeight="1">
      <c r="J6300" s="28">
        <f>IFERROR(VLOOKUP(TEXT(B6300,"0"),STOCK!A:H,7,0),1)</f>
        <v>1</v>
      </c>
    </row>
    <row r="6301" spans="10:10" ht="35.450000000000003" hidden="1" customHeight="1">
      <c r="J6301" s="28">
        <f>IFERROR(VLOOKUP(TEXT(B6301,"0"),STOCK!A:H,7,0),1)</f>
        <v>1</v>
      </c>
    </row>
    <row r="6302" spans="10:10" ht="35.450000000000003" hidden="1" customHeight="1">
      <c r="J6302" s="28">
        <f>IFERROR(VLOOKUP(TEXT(B6302,"0"),STOCK!A:H,7,0),1)</f>
        <v>1</v>
      </c>
    </row>
    <row r="6303" spans="10:10" ht="35.450000000000003" hidden="1" customHeight="1">
      <c r="J6303" s="28">
        <f>IFERROR(VLOOKUP(TEXT(B6303,"0"),STOCK!A:H,7,0),1)</f>
        <v>1</v>
      </c>
    </row>
    <row r="6304" spans="10:10" ht="35.450000000000003" hidden="1" customHeight="1">
      <c r="J6304" s="28">
        <f>IFERROR(VLOOKUP(TEXT(B6304,"0"),STOCK!A:H,7,0),1)</f>
        <v>1</v>
      </c>
    </row>
    <row r="6305" spans="10:10" ht="35.450000000000003" hidden="1" customHeight="1">
      <c r="J6305" s="28">
        <f>IFERROR(VLOOKUP(TEXT(B6305,"0"),STOCK!A:H,7,0),1)</f>
        <v>1</v>
      </c>
    </row>
    <row r="6306" spans="10:10" ht="35.450000000000003" hidden="1" customHeight="1">
      <c r="J6306" s="28">
        <f>IFERROR(VLOOKUP(TEXT(B6306,"0"),STOCK!A:H,7,0),1)</f>
        <v>1</v>
      </c>
    </row>
    <row r="6307" spans="10:10" ht="35.450000000000003" hidden="1" customHeight="1">
      <c r="J6307" s="28">
        <f>IFERROR(VLOOKUP(TEXT(B6307,"0"),STOCK!A:H,7,0),1)</f>
        <v>1</v>
      </c>
    </row>
    <row r="6308" spans="10:10" ht="35.450000000000003" hidden="1" customHeight="1">
      <c r="J6308" s="28">
        <f>IFERROR(VLOOKUP(TEXT(B6308,"0"),STOCK!A:H,7,0),1)</f>
        <v>1</v>
      </c>
    </row>
    <row r="6309" spans="10:10" ht="35.450000000000003" hidden="1" customHeight="1">
      <c r="J6309" s="28">
        <f>IFERROR(VLOOKUP(TEXT(B6309,"0"),STOCK!A:H,7,0),1)</f>
        <v>1</v>
      </c>
    </row>
    <row r="6310" spans="10:10" ht="35.450000000000003" hidden="1" customHeight="1">
      <c r="J6310" s="28">
        <f>IFERROR(VLOOKUP(TEXT(B6310,"0"),STOCK!A:H,7,0),1)</f>
        <v>1</v>
      </c>
    </row>
    <row r="6311" spans="10:10" ht="35.450000000000003" hidden="1" customHeight="1">
      <c r="J6311" s="28">
        <f>IFERROR(VLOOKUP(TEXT(B6311,"0"),STOCK!A:H,7,0),1)</f>
        <v>1</v>
      </c>
    </row>
    <row r="6312" spans="10:10" ht="35.450000000000003" hidden="1" customHeight="1">
      <c r="J6312" s="28">
        <f>IFERROR(VLOOKUP(TEXT(B6312,"0"),STOCK!A:H,7,0),1)</f>
        <v>1</v>
      </c>
    </row>
    <row r="6313" spans="10:10" ht="35.450000000000003" hidden="1" customHeight="1">
      <c r="J6313" s="28">
        <f>IFERROR(VLOOKUP(TEXT(B6313,"0"),STOCK!A:H,7,0),1)</f>
        <v>1</v>
      </c>
    </row>
    <row r="6314" spans="10:10" ht="35.450000000000003" hidden="1" customHeight="1">
      <c r="J6314" s="28">
        <f>IFERROR(VLOOKUP(TEXT(B6314,"0"),STOCK!A:H,7,0),1)</f>
        <v>1</v>
      </c>
    </row>
    <row r="6315" spans="10:10" ht="35.450000000000003" hidden="1" customHeight="1">
      <c r="J6315" s="28">
        <f>IFERROR(VLOOKUP(TEXT(B6315,"0"),STOCK!A:H,7,0),1)</f>
        <v>1</v>
      </c>
    </row>
    <row r="6316" spans="10:10" ht="35.450000000000003" hidden="1" customHeight="1">
      <c r="J6316" s="28">
        <f>IFERROR(VLOOKUP(TEXT(B6316,"0"),STOCK!A:H,7,0),1)</f>
        <v>1</v>
      </c>
    </row>
    <row r="6317" spans="10:10" ht="35.450000000000003" hidden="1" customHeight="1">
      <c r="J6317" s="28">
        <f>IFERROR(VLOOKUP(TEXT(B6317,"0"),STOCK!A:H,7,0),1)</f>
        <v>1</v>
      </c>
    </row>
    <row r="6318" spans="10:10" ht="35.450000000000003" hidden="1" customHeight="1">
      <c r="J6318" s="28">
        <f>IFERROR(VLOOKUP(TEXT(B6318,"0"),STOCK!A:H,7,0),1)</f>
        <v>1</v>
      </c>
    </row>
    <row r="6319" spans="10:10" ht="35.450000000000003" hidden="1" customHeight="1">
      <c r="J6319" s="28">
        <f>IFERROR(VLOOKUP(TEXT(B6319,"0"),STOCK!A:H,7,0),1)</f>
        <v>1</v>
      </c>
    </row>
    <row r="6320" spans="10:10" ht="35.450000000000003" hidden="1" customHeight="1">
      <c r="J6320" s="28">
        <f>IFERROR(VLOOKUP(TEXT(B6320,"0"),STOCK!A:H,7,0),1)</f>
        <v>1</v>
      </c>
    </row>
    <row r="6321" spans="10:10" ht="35.450000000000003" hidden="1" customHeight="1">
      <c r="J6321" s="28">
        <f>IFERROR(VLOOKUP(TEXT(B6321,"0"),STOCK!A:H,7,0),1)</f>
        <v>1</v>
      </c>
    </row>
    <row r="6322" spans="10:10" ht="35.450000000000003" hidden="1" customHeight="1">
      <c r="J6322" s="28">
        <f>IFERROR(VLOOKUP(TEXT(B6322,"0"),STOCK!A:H,7,0),1)</f>
        <v>1</v>
      </c>
    </row>
    <row r="6323" spans="10:10" ht="35.450000000000003" hidden="1" customHeight="1">
      <c r="J6323" s="28">
        <f>IFERROR(VLOOKUP(TEXT(B6323,"0"),STOCK!A:H,7,0),1)</f>
        <v>1</v>
      </c>
    </row>
    <row r="6324" spans="10:10" ht="35.450000000000003" hidden="1" customHeight="1">
      <c r="J6324" s="28">
        <f>IFERROR(VLOOKUP(TEXT(B6324,"0"),STOCK!A:H,7,0),1)</f>
        <v>1</v>
      </c>
    </row>
    <row r="6325" spans="10:10" ht="35.450000000000003" hidden="1" customHeight="1">
      <c r="J6325" s="28">
        <f>IFERROR(VLOOKUP(TEXT(B6325,"0"),STOCK!A:H,7,0),1)</f>
        <v>1</v>
      </c>
    </row>
    <row r="6326" spans="10:10" ht="35.450000000000003" hidden="1" customHeight="1">
      <c r="J6326" s="28">
        <f>IFERROR(VLOOKUP(TEXT(B6326,"0"),STOCK!A:H,7,0),1)</f>
        <v>1</v>
      </c>
    </row>
    <row r="6327" spans="10:10" ht="35.450000000000003" hidden="1" customHeight="1">
      <c r="J6327" s="28">
        <f>IFERROR(VLOOKUP(TEXT(B6327,"0"),STOCK!A:H,7,0),1)</f>
        <v>1</v>
      </c>
    </row>
    <row r="6328" spans="10:10" ht="35.450000000000003" hidden="1" customHeight="1">
      <c r="J6328" s="28">
        <f>IFERROR(VLOOKUP(TEXT(B6328,"0"),STOCK!A:H,7,0),1)</f>
        <v>1</v>
      </c>
    </row>
    <row r="6329" spans="10:10" ht="35.450000000000003" hidden="1" customHeight="1">
      <c r="J6329" s="28">
        <f>IFERROR(VLOOKUP(TEXT(B6329,"0"),STOCK!A:H,7,0),1)</f>
        <v>1</v>
      </c>
    </row>
    <row r="6330" spans="10:10" ht="35.450000000000003" hidden="1" customHeight="1">
      <c r="J6330" s="28">
        <f>IFERROR(VLOOKUP(TEXT(B6330,"0"),STOCK!A:H,7,0),1)</f>
        <v>1</v>
      </c>
    </row>
    <row r="6331" spans="10:10" ht="35.450000000000003" hidden="1" customHeight="1">
      <c r="J6331" s="28">
        <f>IFERROR(VLOOKUP(TEXT(B6331,"0"),STOCK!A:H,7,0),1)</f>
        <v>1</v>
      </c>
    </row>
    <row r="6332" spans="10:10" ht="35.450000000000003" hidden="1" customHeight="1">
      <c r="J6332" s="28">
        <f>IFERROR(VLOOKUP(TEXT(B6332,"0"),STOCK!A:H,7,0),1)</f>
        <v>1</v>
      </c>
    </row>
    <row r="6333" spans="10:10" ht="35.450000000000003" hidden="1" customHeight="1">
      <c r="J6333" s="28">
        <f>IFERROR(VLOOKUP(TEXT(B6333,"0"),STOCK!A:H,7,0),1)</f>
        <v>1</v>
      </c>
    </row>
    <row r="6334" spans="10:10" ht="35.450000000000003" hidden="1" customHeight="1">
      <c r="J6334" s="28">
        <f>IFERROR(VLOOKUP(TEXT(B6334,"0"),STOCK!A:H,7,0),1)</f>
        <v>1</v>
      </c>
    </row>
    <row r="6335" spans="10:10" ht="35.450000000000003" hidden="1" customHeight="1">
      <c r="J6335" s="28">
        <f>IFERROR(VLOOKUP(TEXT(B6335,"0"),STOCK!A:H,7,0),1)</f>
        <v>1</v>
      </c>
    </row>
    <row r="6336" spans="10:10" ht="35.450000000000003" hidden="1" customHeight="1">
      <c r="J6336" s="28">
        <f>IFERROR(VLOOKUP(TEXT(B6336,"0"),STOCK!A:H,7,0),1)</f>
        <v>1</v>
      </c>
    </row>
    <row r="6337" spans="10:10" ht="35.450000000000003" hidden="1" customHeight="1">
      <c r="J6337" s="28">
        <f>IFERROR(VLOOKUP(TEXT(B6337,"0"),STOCK!A:H,7,0),1)</f>
        <v>1</v>
      </c>
    </row>
    <row r="6338" spans="10:10" ht="35.450000000000003" hidden="1" customHeight="1">
      <c r="J6338" s="28">
        <f>IFERROR(VLOOKUP(TEXT(B6338,"0"),STOCK!A:H,7,0),1)</f>
        <v>1</v>
      </c>
    </row>
    <row r="6339" spans="10:10" ht="35.450000000000003" hidden="1" customHeight="1">
      <c r="J6339" s="28">
        <f>IFERROR(VLOOKUP(TEXT(B6339,"0"),STOCK!A:H,7,0),1)</f>
        <v>1</v>
      </c>
    </row>
    <row r="6340" spans="10:10" ht="35.450000000000003" hidden="1" customHeight="1">
      <c r="J6340" s="28">
        <f>IFERROR(VLOOKUP(TEXT(B6340,"0"),STOCK!A:H,7,0),1)</f>
        <v>1</v>
      </c>
    </row>
    <row r="6341" spans="10:10" ht="35.450000000000003" hidden="1" customHeight="1">
      <c r="J6341" s="28">
        <f>IFERROR(VLOOKUP(TEXT(B6341,"0"),STOCK!A:H,7,0),1)</f>
        <v>1</v>
      </c>
    </row>
    <row r="6342" spans="10:10" ht="35.450000000000003" hidden="1" customHeight="1">
      <c r="J6342" s="28">
        <f>IFERROR(VLOOKUP(TEXT(B6342,"0"),STOCK!A:H,7,0),1)</f>
        <v>1</v>
      </c>
    </row>
    <row r="6343" spans="10:10" ht="35.450000000000003" hidden="1" customHeight="1">
      <c r="J6343" s="28">
        <f>IFERROR(VLOOKUP(TEXT(B6343,"0"),STOCK!A:H,7,0),1)</f>
        <v>1</v>
      </c>
    </row>
    <row r="6344" spans="10:10" ht="35.450000000000003" hidden="1" customHeight="1">
      <c r="J6344" s="28">
        <f>IFERROR(VLOOKUP(TEXT(B6344,"0"),STOCK!A:H,7,0),1)</f>
        <v>1</v>
      </c>
    </row>
    <row r="6345" spans="10:10" ht="35.450000000000003" hidden="1" customHeight="1">
      <c r="J6345" s="28">
        <f>IFERROR(VLOOKUP(TEXT(B6345,"0"),STOCK!A:H,7,0),1)</f>
        <v>1</v>
      </c>
    </row>
    <row r="6346" spans="10:10" ht="35.450000000000003" hidden="1" customHeight="1">
      <c r="J6346" s="28">
        <f>IFERROR(VLOOKUP(TEXT(B6346,"0"),STOCK!A:H,7,0),1)</f>
        <v>1</v>
      </c>
    </row>
    <row r="6347" spans="10:10" ht="35.450000000000003" hidden="1" customHeight="1">
      <c r="J6347" s="28">
        <f>IFERROR(VLOOKUP(TEXT(B6347,"0"),STOCK!A:H,7,0),1)</f>
        <v>1</v>
      </c>
    </row>
    <row r="6348" spans="10:10" ht="35.450000000000003" hidden="1" customHeight="1">
      <c r="J6348" s="28">
        <f>IFERROR(VLOOKUP(TEXT(B6348,"0"),STOCK!A:H,7,0),1)</f>
        <v>1</v>
      </c>
    </row>
    <row r="6349" spans="10:10" ht="35.450000000000003" hidden="1" customHeight="1">
      <c r="J6349" s="28">
        <f>IFERROR(VLOOKUP(TEXT(B6349,"0"),STOCK!A:H,7,0),1)</f>
        <v>1</v>
      </c>
    </row>
    <row r="6350" spans="10:10" ht="35.450000000000003" hidden="1" customHeight="1">
      <c r="J6350" s="28">
        <f>IFERROR(VLOOKUP(TEXT(B6350,"0"),STOCK!A:H,7,0),1)</f>
        <v>1</v>
      </c>
    </row>
    <row r="6351" spans="10:10" ht="35.450000000000003" hidden="1" customHeight="1">
      <c r="J6351" s="28">
        <f>IFERROR(VLOOKUP(TEXT(B6351,"0"),STOCK!A:H,7,0),1)</f>
        <v>1</v>
      </c>
    </row>
    <row r="6352" spans="10:10" ht="35.450000000000003" hidden="1" customHeight="1">
      <c r="J6352" s="28">
        <f>IFERROR(VLOOKUP(TEXT(B6352,"0"),STOCK!A:H,7,0),1)</f>
        <v>1</v>
      </c>
    </row>
    <row r="6353" spans="10:10" ht="35.450000000000003" hidden="1" customHeight="1">
      <c r="J6353" s="28">
        <f>IFERROR(VLOOKUP(TEXT(B6353,"0"),STOCK!A:H,7,0),1)</f>
        <v>1</v>
      </c>
    </row>
    <row r="6354" spans="10:10" ht="35.450000000000003" hidden="1" customHeight="1">
      <c r="J6354" s="28">
        <f>IFERROR(VLOOKUP(TEXT(B6354,"0"),STOCK!A:H,7,0),1)</f>
        <v>1</v>
      </c>
    </row>
    <row r="6355" spans="10:10" ht="35.450000000000003" hidden="1" customHeight="1">
      <c r="J6355" s="28">
        <f>IFERROR(VLOOKUP(TEXT(B6355,"0"),STOCK!A:H,7,0),1)</f>
        <v>1</v>
      </c>
    </row>
    <row r="6356" spans="10:10" ht="35.450000000000003" hidden="1" customHeight="1">
      <c r="J6356" s="28">
        <f>IFERROR(VLOOKUP(TEXT(B6356,"0"),STOCK!A:H,7,0),1)</f>
        <v>1</v>
      </c>
    </row>
    <row r="6357" spans="10:10" ht="35.450000000000003" hidden="1" customHeight="1">
      <c r="J6357" s="28">
        <f>IFERROR(VLOOKUP(TEXT(B6357,"0"),STOCK!A:H,7,0),1)</f>
        <v>1</v>
      </c>
    </row>
    <row r="6358" spans="10:10" ht="35.450000000000003" hidden="1" customHeight="1">
      <c r="J6358" s="28">
        <f>IFERROR(VLOOKUP(TEXT(B6358,"0"),STOCK!A:H,7,0),1)</f>
        <v>1</v>
      </c>
    </row>
    <row r="6359" spans="10:10" ht="35.450000000000003" hidden="1" customHeight="1">
      <c r="J6359" s="28">
        <f>IFERROR(VLOOKUP(TEXT(B6359,"0"),STOCK!A:H,7,0),1)</f>
        <v>1</v>
      </c>
    </row>
    <row r="6360" spans="10:10" ht="35.450000000000003" hidden="1" customHeight="1">
      <c r="J6360" s="28">
        <f>IFERROR(VLOOKUP(TEXT(B6360,"0"),STOCK!A:H,7,0),1)</f>
        <v>1</v>
      </c>
    </row>
    <row r="6361" spans="10:10" ht="35.450000000000003" hidden="1" customHeight="1">
      <c r="J6361" s="28">
        <f>IFERROR(VLOOKUP(TEXT(B6361,"0"),STOCK!A:H,7,0),1)</f>
        <v>1</v>
      </c>
    </row>
    <row r="6362" spans="10:10" ht="35.450000000000003" hidden="1" customHeight="1">
      <c r="J6362" s="28">
        <f>IFERROR(VLOOKUP(TEXT(B6362,"0"),STOCK!A:H,7,0),1)</f>
        <v>1</v>
      </c>
    </row>
    <row r="6363" spans="10:10" ht="35.450000000000003" hidden="1" customHeight="1">
      <c r="J6363" s="28">
        <f>IFERROR(VLOOKUP(TEXT(B6363,"0"),STOCK!A:H,7,0),1)</f>
        <v>1</v>
      </c>
    </row>
    <row r="6364" spans="10:10" ht="35.450000000000003" hidden="1" customHeight="1">
      <c r="J6364" s="28">
        <f>IFERROR(VLOOKUP(TEXT(B6364,"0"),STOCK!A:H,7,0),1)</f>
        <v>1</v>
      </c>
    </row>
    <row r="6365" spans="10:10" ht="35.450000000000003" hidden="1" customHeight="1">
      <c r="J6365" s="28">
        <f>IFERROR(VLOOKUP(TEXT(B6365,"0"),STOCK!A:H,7,0),1)</f>
        <v>1</v>
      </c>
    </row>
    <row r="6366" spans="10:10" ht="35.450000000000003" hidden="1" customHeight="1">
      <c r="J6366" s="28">
        <f>IFERROR(VLOOKUP(TEXT(B6366,"0"),STOCK!A:H,7,0),1)</f>
        <v>1</v>
      </c>
    </row>
    <row r="6367" spans="10:10" ht="35.450000000000003" hidden="1" customHeight="1">
      <c r="J6367" s="28">
        <f>IFERROR(VLOOKUP(TEXT(B6367,"0"),STOCK!A:H,7,0),1)</f>
        <v>1</v>
      </c>
    </row>
    <row r="6368" spans="10:10" ht="35.450000000000003" hidden="1" customHeight="1">
      <c r="J6368" s="28">
        <f>IFERROR(VLOOKUP(TEXT(B6368,"0"),STOCK!A:H,7,0),1)</f>
        <v>1</v>
      </c>
    </row>
    <row r="6369" spans="10:10" ht="35.450000000000003" hidden="1" customHeight="1">
      <c r="J6369" s="28">
        <f>IFERROR(VLOOKUP(TEXT(B6369,"0"),STOCK!A:H,7,0),1)</f>
        <v>1</v>
      </c>
    </row>
    <row r="6370" spans="10:10" ht="35.450000000000003" hidden="1" customHeight="1">
      <c r="J6370" s="28">
        <f>IFERROR(VLOOKUP(TEXT(B6370,"0"),STOCK!A:H,7,0),1)</f>
        <v>1</v>
      </c>
    </row>
    <row r="6371" spans="10:10" ht="35.450000000000003" hidden="1" customHeight="1">
      <c r="J6371" s="28">
        <f>IFERROR(VLOOKUP(TEXT(B6371,"0"),STOCK!A:H,7,0),1)</f>
        <v>1</v>
      </c>
    </row>
    <row r="6372" spans="10:10" ht="35.450000000000003" hidden="1" customHeight="1">
      <c r="J6372" s="28">
        <f>IFERROR(VLOOKUP(TEXT(B6372,"0"),STOCK!A:H,7,0),1)</f>
        <v>1</v>
      </c>
    </row>
    <row r="6373" spans="10:10" ht="35.450000000000003" hidden="1" customHeight="1">
      <c r="J6373" s="28">
        <f>IFERROR(VLOOKUP(TEXT(B6373,"0"),STOCK!A:H,7,0),1)</f>
        <v>1</v>
      </c>
    </row>
    <row r="6374" spans="10:10" ht="35.450000000000003" hidden="1" customHeight="1">
      <c r="J6374" s="28">
        <f>IFERROR(VLOOKUP(TEXT(B6374,"0"),STOCK!A:H,7,0),1)</f>
        <v>1</v>
      </c>
    </row>
    <row r="6375" spans="10:10" ht="35.450000000000003" hidden="1" customHeight="1">
      <c r="J6375" s="28">
        <f>IFERROR(VLOOKUP(TEXT(B6375,"0"),STOCK!A:H,7,0),1)</f>
        <v>1</v>
      </c>
    </row>
    <row r="6376" spans="10:10" ht="35.450000000000003" hidden="1" customHeight="1">
      <c r="J6376" s="28">
        <f>IFERROR(VLOOKUP(TEXT(B6376,"0"),STOCK!A:H,7,0),1)</f>
        <v>1</v>
      </c>
    </row>
    <row r="6377" spans="10:10" ht="35.450000000000003" hidden="1" customHeight="1">
      <c r="J6377" s="28">
        <f>IFERROR(VLOOKUP(TEXT(B6377,"0"),STOCK!A:H,7,0),1)</f>
        <v>1</v>
      </c>
    </row>
    <row r="6378" spans="10:10" ht="35.450000000000003" hidden="1" customHeight="1">
      <c r="J6378" s="28">
        <f>IFERROR(VLOOKUP(TEXT(B6378,"0"),STOCK!A:H,7,0),1)</f>
        <v>1</v>
      </c>
    </row>
    <row r="6379" spans="10:10" ht="35.450000000000003" hidden="1" customHeight="1">
      <c r="J6379" s="28">
        <f>IFERROR(VLOOKUP(TEXT(B6379,"0"),STOCK!A:H,7,0),1)</f>
        <v>1</v>
      </c>
    </row>
    <row r="6380" spans="10:10" ht="35.450000000000003" hidden="1" customHeight="1">
      <c r="J6380" s="28">
        <f>IFERROR(VLOOKUP(TEXT(B6380,"0"),STOCK!A:H,7,0),1)</f>
        <v>1</v>
      </c>
    </row>
    <row r="6381" spans="10:10" ht="35.450000000000003" hidden="1" customHeight="1">
      <c r="J6381" s="28">
        <f>IFERROR(VLOOKUP(TEXT(B6381,"0"),STOCK!A:H,7,0),1)</f>
        <v>1</v>
      </c>
    </row>
    <row r="6382" spans="10:10" ht="35.450000000000003" hidden="1" customHeight="1">
      <c r="J6382" s="28">
        <f>IFERROR(VLOOKUP(TEXT(B6382,"0"),STOCK!A:H,7,0),1)</f>
        <v>1</v>
      </c>
    </row>
    <row r="6383" spans="10:10" ht="35.450000000000003" hidden="1" customHeight="1">
      <c r="J6383" s="28">
        <f>IFERROR(VLOOKUP(TEXT(B6383,"0"),STOCK!A:H,7,0),1)</f>
        <v>1</v>
      </c>
    </row>
    <row r="6384" spans="10:10" ht="35.450000000000003" hidden="1" customHeight="1">
      <c r="J6384" s="28">
        <f>IFERROR(VLOOKUP(TEXT(B6384,"0"),STOCK!A:H,7,0),1)</f>
        <v>1</v>
      </c>
    </row>
    <row r="6385" spans="10:10" ht="35.450000000000003" hidden="1" customHeight="1">
      <c r="J6385" s="28">
        <f>IFERROR(VLOOKUP(TEXT(B6385,"0"),STOCK!A:H,7,0),1)</f>
        <v>1</v>
      </c>
    </row>
    <row r="6386" spans="10:10" ht="35.450000000000003" hidden="1" customHeight="1">
      <c r="J6386" s="28">
        <f>IFERROR(VLOOKUP(TEXT(B6386,"0"),STOCK!A:H,7,0),1)</f>
        <v>1</v>
      </c>
    </row>
    <row r="6387" spans="10:10" ht="35.450000000000003" hidden="1" customHeight="1">
      <c r="J6387" s="28">
        <f>IFERROR(VLOOKUP(TEXT(B6387,"0"),STOCK!A:H,7,0),1)</f>
        <v>1</v>
      </c>
    </row>
    <row r="6388" spans="10:10" ht="35.450000000000003" hidden="1" customHeight="1">
      <c r="J6388" s="28">
        <f>IFERROR(VLOOKUP(TEXT(B6388,"0"),STOCK!A:H,7,0),1)</f>
        <v>1</v>
      </c>
    </row>
    <row r="6389" spans="10:10" ht="35.450000000000003" hidden="1" customHeight="1">
      <c r="J6389" s="28">
        <f>IFERROR(VLOOKUP(TEXT(B6389,"0"),STOCK!A:H,7,0),1)</f>
        <v>1</v>
      </c>
    </row>
    <row r="6390" spans="10:10" ht="35.450000000000003" hidden="1" customHeight="1">
      <c r="J6390" s="28">
        <f>IFERROR(VLOOKUP(TEXT(B6390,"0"),STOCK!A:H,7,0),1)</f>
        <v>1</v>
      </c>
    </row>
    <row r="6391" spans="10:10" ht="35.450000000000003" hidden="1" customHeight="1">
      <c r="J6391" s="28">
        <f>IFERROR(VLOOKUP(TEXT(B6391,"0"),STOCK!A:H,7,0),1)</f>
        <v>1</v>
      </c>
    </row>
    <row r="6392" spans="10:10" ht="35.450000000000003" hidden="1" customHeight="1">
      <c r="J6392" s="28">
        <f>IFERROR(VLOOKUP(TEXT(B6392,"0"),STOCK!A:H,7,0),1)</f>
        <v>1</v>
      </c>
    </row>
    <row r="6393" spans="10:10" ht="35.450000000000003" hidden="1" customHeight="1">
      <c r="J6393" s="28">
        <f>IFERROR(VLOOKUP(TEXT(B6393,"0"),STOCK!A:H,7,0),1)</f>
        <v>1</v>
      </c>
    </row>
    <row r="6394" spans="10:10" ht="35.450000000000003" hidden="1" customHeight="1">
      <c r="J6394" s="28">
        <f>IFERROR(VLOOKUP(TEXT(B6394,"0"),STOCK!A:H,7,0),1)</f>
        <v>1</v>
      </c>
    </row>
    <row r="6395" spans="10:10" ht="35.450000000000003" hidden="1" customHeight="1">
      <c r="J6395" s="28">
        <f>IFERROR(VLOOKUP(TEXT(B6395,"0"),STOCK!A:H,7,0),1)</f>
        <v>1</v>
      </c>
    </row>
    <row r="6396" spans="10:10" ht="35.450000000000003" hidden="1" customHeight="1">
      <c r="J6396" s="28">
        <f>IFERROR(VLOOKUP(TEXT(B6396,"0"),STOCK!A:H,7,0),1)</f>
        <v>1</v>
      </c>
    </row>
    <row r="6397" spans="10:10" ht="35.450000000000003" hidden="1" customHeight="1">
      <c r="J6397" s="28">
        <f>IFERROR(VLOOKUP(TEXT(B6397,"0"),STOCK!A:H,7,0),1)</f>
        <v>1</v>
      </c>
    </row>
    <row r="6398" spans="10:10" ht="35.450000000000003" hidden="1" customHeight="1">
      <c r="J6398" s="28">
        <f>IFERROR(VLOOKUP(TEXT(B6398,"0"),STOCK!A:H,7,0),1)</f>
        <v>1</v>
      </c>
    </row>
    <row r="6399" spans="10:10" ht="35.450000000000003" hidden="1" customHeight="1">
      <c r="J6399" s="28">
        <f>IFERROR(VLOOKUP(TEXT(B6399,"0"),STOCK!A:H,7,0),1)</f>
        <v>1</v>
      </c>
    </row>
    <row r="6400" spans="10:10" ht="35.450000000000003" hidden="1" customHeight="1">
      <c r="J6400" s="28">
        <f>IFERROR(VLOOKUP(TEXT(B6400,"0"),STOCK!A:H,7,0),1)</f>
        <v>1</v>
      </c>
    </row>
    <row r="6401" spans="10:10" ht="35.450000000000003" hidden="1" customHeight="1">
      <c r="J6401" s="28">
        <f>IFERROR(VLOOKUP(TEXT(B6401,"0"),STOCK!A:H,7,0),1)</f>
        <v>1</v>
      </c>
    </row>
    <row r="6402" spans="10:10" ht="35.450000000000003" hidden="1" customHeight="1">
      <c r="J6402" s="28">
        <f>IFERROR(VLOOKUP(TEXT(B6402,"0"),STOCK!A:H,7,0),1)</f>
        <v>1</v>
      </c>
    </row>
    <row r="6403" spans="10:10" ht="35.450000000000003" hidden="1" customHeight="1">
      <c r="J6403" s="28">
        <f>IFERROR(VLOOKUP(TEXT(B6403,"0"),STOCK!A:H,7,0),1)</f>
        <v>1</v>
      </c>
    </row>
    <row r="6404" spans="10:10" ht="35.450000000000003" hidden="1" customHeight="1">
      <c r="J6404" s="28">
        <f>IFERROR(VLOOKUP(TEXT(B6404,"0"),STOCK!A:H,7,0),1)</f>
        <v>1</v>
      </c>
    </row>
    <row r="6405" spans="10:10" ht="35.450000000000003" hidden="1" customHeight="1">
      <c r="J6405" s="28">
        <f>IFERROR(VLOOKUP(TEXT(B6405,"0"),STOCK!A:H,7,0),1)</f>
        <v>1</v>
      </c>
    </row>
    <row r="6406" spans="10:10" ht="35.450000000000003" hidden="1" customHeight="1">
      <c r="J6406" s="28">
        <f>IFERROR(VLOOKUP(TEXT(B6406,"0"),STOCK!A:H,7,0),1)</f>
        <v>1</v>
      </c>
    </row>
    <row r="6407" spans="10:10" ht="35.450000000000003" hidden="1" customHeight="1">
      <c r="J6407" s="28">
        <f>IFERROR(VLOOKUP(TEXT(B6407,"0"),STOCK!A:H,7,0),1)</f>
        <v>1</v>
      </c>
    </row>
    <row r="6408" spans="10:10" ht="35.450000000000003" hidden="1" customHeight="1">
      <c r="J6408" s="28">
        <f>IFERROR(VLOOKUP(TEXT(B6408,"0"),STOCK!A:H,7,0),1)</f>
        <v>1</v>
      </c>
    </row>
    <row r="6409" spans="10:10" ht="35.450000000000003" hidden="1" customHeight="1">
      <c r="J6409" s="28">
        <f>IFERROR(VLOOKUP(TEXT(B6409,"0"),STOCK!A:H,7,0),1)</f>
        <v>1</v>
      </c>
    </row>
    <row r="6410" spans="10:10" ht="35.450000000000003" hidden="1" customHeight="1">
      <c r="J6410" s="28">
        <f>IFERROR(VLOOKUP(TEXT(B6410,"0"),STOCK!A:H,7,0),1)</f>
        <v>1</v>
      </c>
    </row>
    <row r="6411" spans="10:10" ht="35.450000000000003" hidden="1" customHeight="1">
      <c r="J6411" s="28">
        <f>IFERROR(VLOOKUP(TEXT(B6411,"0"),STOCK!A:H,7,0),1)</f>
        <v>1</v>
      </c>
    </row>
    <row r="6412" spans="10:10" ht="35.450000000000003" hidden="1" customHeight="1">
      <c r="J6412" s="28">
        <f>IFERROR(VLOOKUP(TEXT(B6412,"0"),STOCK!A:H,7,0),1)</f>
        <v>1</v>
      </c>
    </row>
    <row r="6413" spans="10:10" ht="35.450000000000003" hidden="1" customHeight="1">
      <c r="J6413" s="28">
        <f>IFERROR(VLOOKUP(TEXT(B6413,"0"),STOCK!A:H,7,0),1)</f>
        <v>1</v>
      </c>
    </row>
    <row r="6414" spans="10:10" ht="35.450000000000003" hidden="1" customHeight="1">
      <c r="J6414" s="28">
        <f>IFERROR(VLOOKUP(TEXT(B6414,"0"),STOCK!A:H,7,0),1)</f>
        <v>1</v>
      </c>
    </row>
    <row r="6415" spans="10:10" ht="35.450000000000003" hidden="1" customHeight="1">
      <c r="J6415" s="28">
        <f>IFERROR(VLOOKUP(TEXT(B6415,"0"),STOCK!A:H,7,0),1)</f>
        <v>1</v>
      </c>
    </row>
    <row r="6416" spans="10:10" ht="35.450000000000003" hidden="1" customHeight="1">
      <c r="J6416" s="28">
        <f>IFERROR(VLOOKUP(TEXT(B6416,"0"),STOCK!A:H,7,0),1)</f>
        <v>1</v>
      </c>
    </row>
    <row r="6417" spans="10:10" ht="35.450000000000003" hidden="1" customHeight="1">
      <c r="J6417" s="28">
        <f>IFERROR(VLOOKUP(TEXT(B6417,"0"),STOCK!A:H,7,0),1)</f>
        <v>1</v>
      </c>
    </row>
    <row r="6418" spans="10:10" ht="35.450000000000003" hidden="1" customHeight="1">
      <c r="J6418" s="28">
        <f>IFERROR(VLOOKUP(TEXT(B6418,"0"),STOCK!A:H,7,0),1)</f>
        <v>1</v>
      </c>
    </row>
    <row r="6419" spans="10:10" ht="35.450000000000003" hidden="1" customHeight="1">
      <c r="J6419" s="28">
        <f>IFERROR(VLOOKUP(TEXT(B6419,"0"),STOCK!A:H,7,0),1)</f>
        <v>1</v>
      </c>
    </row>
    <row r="6420" spans="10:10" ht="35.450000000000003" hidden="1" customHeight="1">
      <c r="J6420" s="28">
        <f>IFERROR(VLOOKUP(TEXT(B6420,"0"),STOCK!A:H,7,0),1)</f>
        <v>1</v>
      </c>
    </row>
    <row r="6421" spans="10:10" ht="35.450000000000003" hidden="1" customHeight="1">
      <c r="J6421" s="28">
        <f>IFERROR(VLOOKUP(TEXT(B6421,"0"),STOCK!A:H,7,0),1)</f>
        <v>1</v>
      </c>
    </row>
    <row r="6422" spans="10:10" ht="35.450000000000003" hidden="1" customHeight="1">
      <c r="J6422" s="28">
        <f>IFERROR(VLOOKUP(TEXT(B6422,"0"),STOCK!A:H,7,0),1)</f>
        <v>1</v>
      </c>
    </row>
    <row r="6423" spans="10:10" ht="35.450000000000003" hidden="1" customHeight="1">
      <c r="J6423" s="28">
        <f>IFERROR(VLOOKUP(TEXT(B6423,"0"),STOCK!A:H,7,0),1)</f>
        <v>1</v>
      </c>
    </row>
    <row r="6424" spans="10:10" ht="35.450000000000003" hidden="1" customHeight="1">
      <c r="J6424" s="28">
        <f>IFERROR(VLOOKUP(TEXT(B6424,"0"),STOCK!A:H,7,0),1)</f>
        <v>1</v>
      </c>
    </row>
    <row r="6425" spans="10:10" ht="35.450000000000003" hidden="1" customHeight="1">
      <c r="J6425" s="28">
        <f>IFERROR(VLOOKUP(TEXT(B6425,"0"),STOCK!A:H,7,0),1)</f>
        <v>1</v>
      </c>
    </row>
    <row r="6426" spans="10:10" ht="35.450000000000003" hidden="1" customHeight="1">
      <c r="J6426" s="28">
        <f>IFERROR(VLOOKUP(TEXT(B6426,"0"),STOCK!A:H,7,0),1)</f>
        <v>1</v>
      </c>
    </row>
    <row r="6427" spans="10:10" ht="35.450000000000003" hidden="1" customHeight="1">
      <c r="J6427" s="28">
        <f>IFERROR(VLOOKUP(TEXT(B6427,"0"),STOCK!A:H,7,0),1)</f>
        <v>1</v>
      </c>
    </row>
    <row r="6428" spans="10:10" ht="35.450000000000003" hidden="1" customHeight="1">
      <c r="J6428" s="28">
        <f>IFERROR(VLOOKUP(TEXT(B6428,"0"),STOCK!A:H,7,0),1)</f>
        <v>1</v>
      </c>
    </row>
    <row r="6429" spans="10:10" ht="35.450000000000003" hidden="1" customHeight="1">
      <c r="J6429" s="28">
        <f>IFERROR(VLOOKUP(TEXT(B6429,"0"),STOCK!A:H,7,0),1)</f>
        <v>1</v>
      </c>
    </row>
    <row r="6430" spans="10:10" ht="35.450000000000003" hidden="1" customHeight="1">
      <c r="J6430" s="28">
        <f>IFERROR(VLOOKUP(TEXT(B6430,"0"),STOCK!A:H,7,0),1)</f>
        <v>1</v>
      </c>
    </row>
    <row r="6431" spans="10:10" ht="35.450000000000003" hidden="1" customHeight="1">
      <c r="J6431" s="28">
        <f>IFERROR(VLOOKUP(TEXT(B6431,"0"),STOCK!A:H,7,0),1)</f>
        <v>1</v>
      </c>
    </row>
    <row r="6432" spans="10:10" ht="35.450000000000003" hidden="1" customHeight="1">
      <c r="J6432" s="28">
        <f>IFERROR(VLOOKUP(TEXT(B6432,"0"),STOCK!A:H,7,0),1)</f>
        <v>1</v>
      </c>
    </row>
    <row r="6433" spans="10:10" ht="35.450000000000003" hidden="1" customHeight="1">
      <c r="J6433" s="28">
        <f>IFERROR(VLOOKUP(TEXT(B6433,"0"),STOCK!A:H,7,0),1)</f>
        <v>1</v>
      </c>
    </row>
    <row r="6434" spans="10:10" ht="35.450000000000003" hidden="1" customHeight="1">
      <c r="J6434" s="28">
        <f>IFERROR(VLOOKUP(TEXT(B6434,"0"),STOCK!A:H,7,0),1)</f>
        <v>1</v>
      </c>
    </row>
    <row r="6435" spans="10:10" ht="35.450000000000003" hidden="1" customHeight="1">
      <c r="J6435" s="28">
        <f>IFERROR(VLOOKUP(TEXT(B6435,"0"),STOCK!A:H,7,0),1)</f>
        <v>1</v>
      </c>
    </row>
    <row r="6436" spans="10:10" ht="35.450000000000003" hidden="1" customHeight="1">
      <c r="J6436" s="28">
        <f>IFERROR(VLOOKUP(TEXT(B6436,"0"),STOCK!A:H,7,0),1)</f>
        <v>1</v>
      </c>
    </row>
    <row r="6437" spans="10:10" ht="35.450000000000003" hidden="1" customHeight="1">
      <c r="J6437" s="28">
        <f>IFERROR(VLOOKUP(TEXT(B6437,"0"),STOCK!A:H,7,0),1)</f>
        <v>1</v>
      </c>
    </row>
    <row r="6438" spans="10:10" ht="35.450000000000003" hidden="1" customHeight="1">
      <c r="J6438" s="28">
        <f>IFERROR(VLOOKUP(TEXT(B6438,"0"),STOCK!A:H,7,0),1)</f>
        <v>1</v>
      </c>
    </row>
    <row r="6439" spans="10:10" ht="35.450000000000003" hidden="1" customHeight="1">
      <c r="J6439" s="28">
        <f>IFERROR(VLOOKUP(TEXT(B6439,"0"),STOCK!A:H,7,0),1)</f>
        <v>1</v>
      </c>
    </row>
    <row r="6440" spans="10:10" ht="35.450000000000003" hidden="1" customHeight="1">
      <c r="J6440" s="28">
        <f>IFERROR(VLOOKUP(TEXT(B6440,"0"),STOCK!A:H,7,0),1)</f>
        <v>1</v>
      </c>
    </row>
    <row r="6441" spans="10:10" ht="35.450000000000003" hidden="1" customHeight="1">
      <c r="J6441" s="28">
        <f>IFERROR(VLOOKUP(TEXT(B6441,"0"),STOCK!A:H,7,0),1)</f>
        <v>1</v>
      </c>
    </row>
    <row r="6442" spans="10:10" ht="35.450000000000003" hidden="1" customHeight="1">
      <c r="J6442" s="28">
        <f>IFERROR(VLOOKUP(TEXT(B6442,"0"),STOCK!A:H,7,0),1)</f>
        <v>1</v>
      </c>
    </row>
    <row r="6443" spans="10:10" ht="35.450000000000003" hidden="1" customHeight="1">
      <c r="J6443" s="28">
        <f>IFERROR(VLOOKUP(TEXT(B6443,"0"),STOCK!A:H,7,0),1)</f>
        <v>1</v>
      </c>
    </row>
    <row r="6444" spans="10:10" ht="35.450000000000003" hidden="1" customHeight="1">
      <c r="J6444" s="28">
        <f>IFERROR(VLOOKUP(TEXT(B6444,"0"),STOCK!A:H,7,0),1)</f>
        <v>1</v>
      </c>
    </row>
    <row r="6445" spans="10:10" ht="35.450000000000003" hidden="1" customHeight="1">
      <c r="J6445" s="28">
        <f>IFERROR(VLOOKUP(TEXT(B6445,"0"),STOCK!A:H,7,0),1)</f>
        <v>1</v>
      </c>
    </row>
    <row r="6446" spans="10:10" ht="35.450000000000003" hidden="1" customHeight="1">
      <c r="J6446" s="28">
        <f>IFERROR(VLOOKUP(TEXT(B6446,"0"),STOCK!A:H,7,0),1)</f>
        <v>1</v>
      </c>
    </row>
    <row r="6447" spans="10:10" ht="35.450000000000003" hidden="1" customHeight="1">
      <c r="J6447" s="28">
        <f>IFERROR(VLOOKUP(TEXT(B6447,"0"),STOCK!A:H,7,0),1)</f>
        <v>1</v>
      </c>
    </row>
    <row r="6448" spans="10:10" ht="35.450000000000003" hidden="1" customHeight="1">
      <c r="J6448" s="28">
        <f>IFERROR(VLOOKUP(TEXT(B6448,"0"),STOCK!A:H,7,0),1)</f>
        <v>1</v>
      </c>
    </row>
    <row r="6449" spans="10:10" ht="35.450000000000003" hidden="1" customHeight="1">
      <c r="J6449" s="28">
        <f>IFERROR(VLOOKUP(TEXT(B6449,"0"),STOCK!A:H,7,0),1)</f>
        <v>1</v>
      </c>
    </row>
    <row r="6450" spans="10:10" ht="35.450000000000003" hidden="1" customHeight="1">
      <c r="J6450" s="28">
        <f>IFERROR(VLOOKUP(TEXT(B6450,"0"),STOCK!A:H,7,0),1)</f>
        <v>1</v>
      </c>
    </row>
    <row r="6451" spans="10:10" ht="35.450000000000003" hidden="1" customHeight="1">
      <c r="J6451" s="28">
        <f>IFERROR(VLOOKUP(TEXT(B6451,"0"),STOCK!A:H,7,0),1)</f>
        <v>1</v>
      </c>
    </row>
    <row r="6452" spans="10:10" ht="35.450000000000003" hidden="1" customHeight="1">
      <c r="J6452" s="28">
        <f>IFERROR(VLOOKUP(TEXT(B6452,"0"),STOCK!A:H,7,0),1)</f>
        <v>1</v>
      </c>
    </row>
    <row r="6453" spans="10:10" ht="35.450000000000003" hidden="1" customHeight="1">
      <c r="J6453" s="28">
        <f>IFERROR(VLOOKUP(TEXT(B6453,"0"),STOCK!A:H,7,0),1)</f>
        <v>1</v>
      </c>
    </row>
    <row r="6454" spans="10:10" ht="35.450000000000003" hidden="1" customHeight="1">
      <c r="J6454" s="28">
        <f>IFERROR(VLOOKUP(TEXT(B6454,"0"),STOCK!A:H,7,0),1)</f>
        <v>1</v>
      </c>
    </row>
    <row r="6455" spans="10:10" ht="35.450000000000003" hidden="1" customHeight="1">
      <c r="J6455" s="28">
        <f>IFERROR(VLOOKUP(TEXT(B6455,"0"),STOCK!A:H,7,0),1)</f>
        <v>1</v>
      </c>
    </row>
    <row r="6456" spans="10:10" ht="35.450000000000003" hidden="1" customHeight="1">
      <c r="J6456" s="28">
        <f>IFERROR(VLOOKUP(TEXT(B6456,"0"),STOCK!A:H,7,0),1)</f>
        <v>1</v>
      </c>
    </row>
    <row r="6457" spans="10:10" ht="35.450000000000003" hidden="1" customHeight="1">
      <c r="J6457" s="28">
        <f>IFERROR(VLOOKUP(TEXT(B6457,"0"),STOCK!A:H,7,0),1)</f>
        <v>1</v>
      </c>
    </row>
    <row r="6458" spans="10:10" ht="35.450000000000003" hidden="1" customHeight="1">
      <c r="J6458" s="28">
        <f>IFERROR(VLOOKUP(TEXT(B6458,"0"),STOCK!A:H,7,0),1)</f>
        <v>1</v>
      </c>
    </row>
    <row r="6459" spans="10:10" ht="35.450000000000003" hidden="1" customHeight="1">
      <c r="J6459" s="28">
        <f>IFERROR(VLOOKUP(TEXT(B6459,"0"),STOCK!A:H,7,0),1)</f>
        <v>1</v>
      </c>
    </row>
    <row r="6460" spans="10:10" ht="35.450000000000003" hidden="1" customHeight="1">
      <c r="J6460" s="28">
        <f>IFERROR(VLOOKUP(TEXT(B6460,"0"),STOCK!A:H,7,0),1)</f>
        <v>1</v>
      </c>
    </row>
    <row r="6461" spans="10:10" ht="35.450000000000003" hidden="1" customHeight="1">
      <c r="J6461" s="28">
        <f>IFERROR(VLOOKUP(TEXT(B6461,"0"),STOCK!A:H,7,0),1)</f>
        <v>1</v>
      </c>
    </row>
    <row r="6462" spans="10:10" ht="35.450000000000003" hidden="1" customHeight="1">
      <c r="J6462" s="28">
        <f>IFERROR(VLOOKUP(TEXT(B6462,"0"),STOCK!A:H,7,0),1)</f>
        <v>1</v>
      </c>
    </row>
    <row r="6463" spans="10:10" ht="35.450000000000003" hidden="1" customHeight="1">
      <c r="J6463" s="28">
        <f>IFERROR(VLOOKUP(TEXT(B6463,"0"),STOCK!A:H,7,0),1)</f>
        <v>1</v>
      </c>
    </row>
    <row r="6464" spans="10:10" ht="35.450000000000003" hidden="1" customHeight="1">
      <c r="J6464" s="28">
        <f>IFERROR(VLOOKUP(TEXT(B6464,"0"),STOCK!A:H,7,0),1)</f>
        <v>1</v>
      </c>
    </row>
    <row r="6465" spans="10:10" ht="35.450000000000003" hidden="1" customHeight="1">
      <c r="J6465" s="28">
        <f>IFERROR(VLOOKUP(TEXT(B6465,"0"),STOCK!A:H,7,0),1)</f>
        <v>1</v>
      </c>
    </row>
    <row r="6466" spans="10:10" ht="35.450000000000003" hidden="1" customHeight="1">
      <c r="J6466" s="28">
        <f>IFERROR(VLOOKUP(TEXT(B6466,"0"),STOCK!A:H,7,0),1)</f>
        <v>1</v>
      </c>
    </row>
    <row r="6467" spans="10:10" ht="35.450000000000003" hidden="1" customHeight="1">
      <c r="J6467" s="28">
        <f>IFERROR(VLOOKUP(TEXT(B6467,"0"),STOCK!A:H,7,0),1)</f>
        <v>1</v>
      </c>
    </row>
    <row r="6468" spans="10:10" ht="35.450000000000003" hidden="1" customHeight="1">
      <c r="J6468" s="28">
        <f>IFERROR(VLOOKUP(TEXT(B6468,"0"),STOCK!A:H,7,0),1)</f>
        <v>1</v>
      </c>
    </row>
    <row r="6469" spans="10:10" ht="35.450000000000003" hidden="1" customHeight="1">
      <c r="J6469" s="28">
        <f>IFERROR(VLOOKUP(TEXT(B6469,"0"),STOCK!A:H,7,0),1)</f>
        <v>1</v>
      </c>
    </row>
    <row r="6470" spans="10:10" ht="35.450000000000003" hidden="1" customHeight="1">
      <c r="J6470" s="28">
        <f>IFERROR(VLOOKUP(TEXT(B6470,"0"),STOCK!A:H,7,0),1)</f>
        <v>1</v>
      </c>
    </row>
    <row r="6471" spans="10:10" ht="35.450000000000003" hidden="1" customHeight="1">
      <c r="J6471" s="28">
        <f>IFERROR(VLOOKUP(TEXT(B6471,"0"),STOCK!A:H,7,0),1)</f>
        <v>1</v>
      </c>
    </row>
    <row r="6472" spans="10:10" ht="35.450000000000003" hidden="1" customHeight="1">
      <c r="J6472" s="28">
        <f>IFERROR(VLOOKUP(TEXT(B6472,"0"),STOCK!A:H,7,0),1)</f>
        <v>1</v>
      </c>
    </row>
    <row r="6473" spans="10:10" ht="35.450000000000003" hidden="1" customHeight="1">
      <c r="J6473" s="28">
        <f>IFERROR(VLOOKUP(TEXT(B6473,"0"),STOCK!A:H,7,0),1)</f>
        <v>1</v>
      </c>
    </row>
    <row r="6474" spans="10:10" ht="35.450000000000003" hidden="1" customHeight="1">
      <c r="J6474" s="28">
        <f>IFERROR(VLOOKUP(TEXT(B6474,"0"),STOCK!A:H,7,0),1)</f>
        <v>1</v>
      </c>
    </row>
    <row r="6475" spans="10:10" ht="35.450000000000003" hidden="1" customHeight="1">
      <c r="J6475" s="28">
        <f>IFERROR(VLOOKUP(TEXT(B6475,"0"),STOCK!A:H,7,0),1)</f>
        <v>1</v>
      </c>
    </row>
    <row r="6476" spans="10:10" ht="35.450000000000003" hidden="1" customHeight="1">
      <c r="J6476" s="28">
        <f>IFERROR(VLOOKUP(TEXT(B6476,"0"),STOCK!A:H,7,0),1)</f>
        <v>1</v>
      </c>
    </row>
    <row r="6477" spans="10:10" ht="35.450000000000003" hidden="1" customHeight="1">
      <c r="J6477" s="28">
        <f>IFERROR(VLOOKUP(TEXT(B6477,"0"),STOCK!A:H,7,0),1)</f>
        <v>1</v>
      </c>
    </row>
    <row r="6478" spans="10:10" ht="35.450000000000003" hidden="1" customHeight="1">
      <c r="J6478" s="28">
        <f>IFERROR(VLOOKUP(TEXT(B6478,"0"),STOCK!A:H,7,0),1)</f>
        <v>1</v>
      </c>
    </row>
    <row r="6479" spans="10:10" ht="35.450000000000003" hidden="1" customHeight="1">
      <c r="J6479" s="28">
        <f>IFERROR(VLOOKUP(TEXT(B6479,"0"),STOCK!A:H,7,0),1)</f>
        <v>1</v>
      </c>
    </row>
    <row r="6480" spans="10:10" ht="35.450000000000003" hidden="1" customHeight="1">
      <c r="J6480" s="28">
        <f>IFERROR(VLOOKUP(TEXT(B6480,"0"),STOCK!A:H,7,0),1)</f>
        <v>1</v>
      </c>
    </row>
    <row r="6481" spans="10:10" ht="35.450000000000003" hidden="1" customHeight="1">
      <c r="J6481" s="28">
        <f>IFERROR(VLOOKUP(TEXT(B6481,"0"),STOCK!A:H,7,0),1)</f>
        <v>1</v>
      </c>
    </row>
    <row r="6482" spans="10:10" ht="35.450000000000003" hidden="1" customHeight="1">
      <c r="J6482" s="28">
        <f>IFERROR(VLOOKUP(TEXT(B6482,"0"),STOCK!A:H,7,0),1)</f>
        <v>1</v>
      </c>
    </row>
    <row r="6483" spans="10:10" ht="35.450000000000003" hidden="1" customHeight="1">
      <c r="J6483" s="28">
        <f>IFERROR(VLOOKUP(TEXT(B6483,"0"),STOCK!A:H,7,0),1)</f>
        <v>1</v>
      </c>
    </row>
    <row r="6484" spans="10:10" ht="35.450000000000003" hidden="1" customHeight="1">
      <c r="J6484" s="28">
        <f>IFERROR(VLOOKUP(TEXT(B6484,"0"),STOCK!A:H,7,0),1)</f>
        <v>1</v>
      </c>
    </row>
    <row r="6485" spans="10:10" ht="35.450000000000003" hidden="1" customHeight="1">
      <c r="J6485" s="28">
        <f>IFERROR(VLOOKUP(TEXT(B6485,"0"),STOCK!A:H,7,0),1)</f>
        <v>1</v>
      </c>
    </row>
    <row r="6486" spans="10:10" ht="35.450000000000003" hidden="1" customHeight="1">
      <c r="J6486" s="28">
        <f>IFERROR(VLOOKUP(TEXT(B6486,"0"),STOCK!A:H,7,0),1)</f>
        <v>1</v>
      </c>
    </row>
    <row r="6487" spans="10:10" ht="35.450000000000003" hidden="1" customHeight="1">
      <c r="J6487" s="28">
        <f>IFERROR(VLOOKUP(TEXT(B6487,"0"),STOCK!A:H,7,0),1)</f>
        <v>1</v>
      </c>
    </row>
    <row r="6488" spans="10:10" ht="35.450000000000003" hidden="1" customHeight="1">
      <c r="J6488" s="28">
        <f>IFERROR(VLOOKUP(TEXT(B6488,"0"),STOCK!A:H,7,0),1)</f>
        <v>1</v>
      </c>
    </row>
    <row r="6489" spans="10:10" ht="35.450000000000003" hidden="1" customHeight="1">
      <c r="J6489" s="28">
        <f>IFERROR(VLOOKUP(TEXT(B6489,"0"),STOCK!A:H,7,0),1)</f>
        <v>1</v>
      </c>
    </row>
    <row r="6490" spans="10:10" ht="35.450000000000003" hidden="1" customHeight="1">
      <c r="J6490" s="28">
        <f>IFERROR(VLOOKUP(TEXT(B6490,"0"),STOCK!A:H,7,0),1)</f>
        <v>1</v>
      </c>
    </row>
    <row r="6491" spans="10:10" ht="35.450000000000003" hidden="1" customHeight="1">
      <c r="J6491" s="28">
        <f>IFERROR(VLOOKUP(TEXT(B6491,"0"),STOCK!A:H,7,0),1)</f>
        <v>1</v>
      </c>
    </row>
    <row r="6492" spans="10:10" ht="35.450000000000003" hidden="1" customHeight="1">
      <c r="J6492" s="28">
        <f>IFERROR(VLOOKUP(TEXT(B6492,"0"),STOCK!A:H,7,0),1)</f>
        <v>1</v>
      </c>
    </row>
    <row r="6493" spans="10:10" ht="35.450000000000003" hidden="1" customHeight="1">
      <c r="J6493" s="28">
        <f>IFERROR(VLOOKUP(TEXT(B6493,"0"),STOCK!A:H,7,0),1)</f>
        <v>1</v>
      </c>
    </row>
    <row r="6494" spans="10:10" ht="35.450000000000003" hidden="1" customHeight="1">
      <c r="J6494" s="28">
        <f>IFERROR(VLOOKUP(TEXT(B6494,"0"),STOCK!A:H,7,0),1)</f>
        <v>1</v>
      </c>
    </row>
    <row r="6495" spans="10:10" ht="35.450000000000003" hidden="1" customHeight="1">
      <c r="J6495" s="28">
        <f>IFERROR(VLOOKUP(TEXT(B6495,"0"),STOCK!A:H,7,0),1)</f>
        <v>1</v>
      </c>
    </row>
    <row r="6496" spans="10:10" ht="35.450000000000003" hidden="1" customHeight="1">
      <c r="J6496" s="28">
        <f>IFERROR(VLOOKUP(TEXT(B6496,"0"),STOCK!A:H,7,0),1)</f>
        <v>1</v>
      </c>
    </row>
    <row r="6497" spans="10:10" ht="35.450000000000003" hidden="1" customHeight="1">
      <c r="J6497" s="28">
        <f>IFERROR(VLOOKUP(TEXT(B6497,"0"),STOCK!A:H,7,0),1)</f>
        <v>1</v>
      </c>
    </row>
    <row r="6498" spans="10:10" ht="35.450000000000003" hidden="1" customHeight="1">
      <c r="J6498" s="28">
        <f>IFERROR(VLOOKUP(TEXT(B6498,"0"),STOCK!A:H,7,0),1)</f>
        <v>1</v>
      </c>
    </row>
    <row r="6499" spans="10:10" ht="35.450000000000003" hidden="1" customHeight="1">
      <c r="J6499" s="28">
        <f>IFERROR(VLOOKUP(TEXT(B6499,"0"),STOCK!A:H,7,0),1)</f>
        <v>1</v>
      </c>
    </row>
    <row r="6500" spans="10:10" ht="35.450000000000003" hidden="1" customHeight="1">
      <c r="J6500" s="28">
        <f>IFERROR(VLOOKUP(TEXT(B6500,"0"),STOCK!A:H,7,0),1)</f>
        <v>1</v>
      </c>
    </row>
    <row r="6501" spans="10:10" ht="35.450000000000003" hidden="1" customHeight="1">
      <c r="J6501" s="28">
        <f>IFERROR(VLOOKUP(TEXT(B6501,"0"),STOCK!A:H,7,0),1)</f>
        <v>1</v>
      </c>
    </row>
    <row r="6502" spans="10:10" ht="35.450000000000003" hidden="1" customHeight="1">
      <c r="J6502" s="28">
        <f>IFERROR(VLOOKUP(TEXT(B6502,"0"),STOCK!A:H,7,0),1)</f>
        <v>1</v>
      </c>
    </row>
    <row r="6503" spans="10:10" ht="35.450000000000003" hidden="1" customHeight="1">
      <c r="J6503" s="28">
        <f>IFERROR(VLOOKUP(TEXT(B6503,"0"),STOCK!A:H,7,0),1)</f>
        <v>1</v>
      </c>
    </row>
    <row r="6504" spans="10:10" ht="35.450000000000003" hidden="1" customHeight="1">
      <c r="J6504" s="28">
        <f>IFERROR(VLOOKUP(TEXT(B6504,"0"),STOCK!A:H,7,0),1)</f>
        <v>1</v>
      </c>
    </row>
    <row r="6505" spans="10:10" ht="35.450000000000003" hidden="1" customHeight="1">
      <c r="J6505" s="28">
        <f>IFERROR(VLOOKUP(TEXT(B6505,"0"),STOCK!A:H,7,0),1)</f>
        <v>1</v>
      </c>
    </row>
    <row r="6506" spans="10:10" ht="35.450000000000003" hidden="1" customHeight="1">
      <c r="J6506" s="28">
        <f>IFERROR(VLOOKUP(TEXT(B6506,"0"),STOCK!A:H,7,0),1)</f>
        <v>1</v>
      </c>
    </row>
    <row r="6507" spans="10:10" ht="35.450000000000003" hidden="1" customHeight="1">
      <c r="J6507" s="28">
        <f>IFERROR(VLOOKUP(TEXT(B6507,"0"),STOCK!A:H,7,0),1)</f>
        <v>1</v>
      </c>
    </row>
    <row r="6508" spans="10:10" ht="35.450000000000003" hidden="1" customHeight="1">
      <c r="J6508" s="28">
        <f>IFERROR(VLOOKUP(TEXT(B6508,"0"),STOCK!A:H,7,0),1)</f>
        <v>1</v>
      </c>
    </row>
    <row r="6509" spans="10:10" ht="35.450000000000003" hidden="1" customHeight="1">
      <c r="J6509" s="28">
        <f>IFERROR(VLOOKUP(TEXT(B6509,"0"),STOCK!A:H,7,0),1)</f>
        <v>1</v>
      </c>
    </row>
    <row r="6510" spans="10:10" ht="35.450000000000003" hidden="1" customHeight="1">
      <c r="J6510" s="28">
        <f>IFERROR(VLOOKUP(TEXT(B6510,"0"),STOCK!A:H,7,0),1)</f>
        <v>1</v>
      </c>
    </row>
    <row r="6511" spans="10:10" ht="35.450000000000003" hidden="1" customHeight="1">
      <c r="J6511" s="28">
        <f>IFERROR(VLOOKUP(TEXT(B6511,"0"),STOCK!A:H,7,0),1)</f>
        <v>1</v>
      </c>
    </row>
    <row r="6512" spans="10:10" ht="35.450000000000003" hidden="1" customHeight="1">
      <c r="J6512" s="28">
        <f>IFERROR(VLOOKUP(TEXT(B6512,"0"),STOCK!A:H,7,0),1)</f>
        <v>1</v>
      </c>
    </row>
    <row r="6513" spans="10:10" ht="35.450000000000003" hidden="1" customHeight="1">
      <c r="J6513" s="28">
        <f>IFERROR(VLOOKUP(TEXT(B6513,"0"),STOCK!A:H,7,0),1)</f>
        <v>1</v>
      </c>
    </row>
    <row r="6514" spans="10:10" ht="35.450000000000003" hidden="1" customHeight="1">
      <c r="J6514" s="28">
        <f>IFERROR(VLOOKUP(TEXT(B6514,"0"),STOCK!A:H,7,0),1)</f>
        <v>1</v>
      </c>
    </row>
    <row r="6515" spans="10:10" ht="35.450000000000003" hidden="1" customHeight="1">
      <c r="J6515" s="28">
        <f>IFERROR(VLOOKUP(TEXT(B6515,"0"),STOCK!A:H,7,0),1)</f>
        <v>1</v>
      </c>
    </row>
    <row r="6516" spans="10:10" ht="35.450000000000003" hidden="1" customHeight="1">
      <c r="J6516" s="28">
        <f>IFERROR(VLOOKUP(TEXT(B6516,"0"),STOCK!A:H,7,0),1)</f>
        <v>1</v>
      </c>
    </row>
    <row r="6517" spans="10:10" ht="35.450000000000003" hidden="1" customHeight="1">
      <c r="J6517" s="28">
        <f>IFERROR(VLOOKUP(TEXT(B6517,"0"),STOCK!A:H,7,0),1)</f>
        <v>1</v>
      </c>
    </row>
    <row r="6518" spans="10:10" ht="35.450000000000003" hidden="1" customHeight="1">
      <c r="J6518" s="28">
        <f>IFERROR(VLOOKUP(TEXT(B6518,"0"),STOCK!A:H,7,0),1)</f>
        <v>1</v>
      </c>
    </row>
    <row r="6519" spans="10:10" ht="35.450000000000003" hidden="1" customHeight="1">
      <c r="J6519" s="28">
        <f>IFERROR(VLOOKUP(TEXT(B6519,"0"),STOCK!A:H,7,0),1)</f>
        <v>1</v>
      </c>
    </row>
    <row r="6520" spans="10:10" ht="35.450000000000003" hidden="1" customHeight="1">
      <c r="J6520" s="28">
        <f>IFERROR(VLOOKUP(TEXT(B6520,"0"),STOCK!A:H,7,0),1)</f>
        <v>1</v>
      </c>
    </row>
    <row r="6521" spans="10:10" ht="35.450000000000003" hidden="1" customHeight="1">
      <c r="J6521" s="28">
        <f>IFERROR(VLOOKUP(TEXT(B6521,"0"),STOCK!A:H,7,0),1)</f>
        <v>1</v>
      </c>
    </row>
    <row r="6522" spans="10:10" ht="35.450000000000003" hidden="1" customHeight="1">
      <c r="J6522" s="28">
        <f>IFERROR(VLOOKUP(TEXT(B6522,"0"),STOCK!A:H,7,0),1)</f>
        <v>1</v>
      </c>
    </row>
    <row r="6523" spans="10:10" ht="35.450000000000003" hidden="1" customHeight="1">
      <c r="J6523" s="28">
        <f>IFERROR(VLOOKUP(TEXT(B6523,"0"),STOCK!A:H,7,0),1)</f>
        <v>1</v>
      </c>
    </row>
    <row r="6524" spans="10:10" ht="35.450000000000003" hidden="1" customHeight="1">
      <c r="J6524" s="28">
        <f>IFERROR(VLOOKUP(TEXT(B6524,"0"),STOCK!A:H,7,0),1)</f>
        <v>1</v>
      </c>
    </row>
    <row r="6525" spans="10:10" ht="35.450000000000003" hidden="1" customHeight="1">
      <c r="J6525" s="28">
        <f>IFERROR(VLOOKUP(TEXT(B6525,"0"),STOCK!A:H,7,0),1)</f>
        <v>1</v>
      </c>
    </row>
    <row r="6526" spans="10:10" ht="35.450000000000003" hidden="1" customHeight="1">
      <c r="J6526" s="28">
        <f>IFERROR(VLOOKUP(TEXT(B6526,"0"),STOCK!A:H,7,0),1)</f>
        <v>1</v>
      </c>
    </row>
    <row r="6527" spans="10:10" ht="35.450000000000003" hidden="1" customHeight="1">
      <c r="J6527" s="28">
        <f>IFERROR(VLOOKUP(TEXT(B6527,"0"),STOCK!A:H,7,0),1)</f>
        <v>1</v>
      </c>
    </row>
    <row r="6528" spans="10:10" ht="35.450000000000003" hidden="1" customHeight="1">
      <c r="J6528" s="28">
        <f>IFERROR(VLOOKUP(TEXT(B6528,"0"),STOCK!A:H,7,0),1)</f>
        <v>1</v>
      </c>
    </row>
    <row r="6529" spans="10:10" ht="35.450000000000003" hidden="1" customHeight="1">
      <c r="J6529" s="28">
        <f>IFERROR(VLOOKUP(TEXT(B6529,"0"),STOCK!A:H,7,0),1)</f>
        <v>1</v>
      </c>
    </row>
    <row r="6530" spans="10:10" ht="35.450000000000003" hidden="1" customHeight="1">
      <c r="J6530" s="28">
        <f>IFERROR(VLOOKUP(TEXT(B6530,"0"),STOCK!A:H,7,0),1)</f>
        <v>1</v>
      </c>
    </row>
    <row r="6531" spans="10:10" ht="35.450000000000003" hidden="1" customHeight="1">
      <c r="J6531" s="28">
        <f>IFERROR(VLOOKUP(TEXT(B6531,"0"),STOCK!A:H,7,0),1)</f>
        <v>1</v>
      </c>
    </row>
    <row r="6532" spans="10:10" ht="35.450000000000003" hidden="1" customHeight="1">
      <c r="J6532" s="28">
        <f>IFERROR(VLOOKUP(TEXT(B6532,"0"),STOCK!A:H,7,0),1)</f>
        <v>1</v>
      </c>
    </row>
    <row r="6533" spans="10:10" ht="35.450000000000003" hidden="1" customHeight="1">
      <c r="J6533" s="28">
        <f>IFERROR(VLOOKUP(TEXT(B6533,"0"),STOCK!A:H,7,0),1)</f>
        <v>1</v>
      </c>
    </row>
    <row r="6534" spans="10:10" ht="35.450000000000003" hidden="1" customHeight="1">
      <c r="J6534" s="28">
        <f>IFERROR(VLOOKUP(TEXT(B6534,"0"),STOCK!A:H,7,0),1)</f>
        <v>1</v>
      </c>
    </row>
    <row r="6535" spans="10:10" ht="35.450000000000003" hidden="1" customHeight="1">
      <c r="J6535" s="28">
        <f>IFERROR(VLOOKUP(TEXT(B6535,"0"),STOCK!A:H,7,0),1)</f>
        <v>1</v>
      </c>
    </row>
    <row r="6536" spans="10:10" ht="35.450000000000003" hidden="1" customHeight="1">
      <c r="J6536" s="28">
        <f>IFERROR(VLOOKUP(TEXT(B6536,"0"),STOCK!A:H,7,0),1)</f>
        <v>1</v>
      </c>
    </row>
    <row r="6537" spans="10:10" ht="35.450000000000003" hidden="1" customHeight="1">
      <c r="J6537" s="28">
        <f>IFERROR(VLOOKUP(TEXT(B6537,"0"),STOCK!A:H,7,0),1)</f>
        <v>1</v>
      </c>
    </row>
    <row r="6538" spans="10:10" ht="35.450000000000003" hidden="1" customHeight="1">
      <c r="J6538" s="28">
        <f>IFERROR(VLOOKUP(TEXT(B6538,"0"),STOCK!A:H,7,0),1)</f>
        <v>1</v>
      </c>
    </row>
    <row r="6539" spans="10:10" ht="35.450000000000003" hidden="1" customHeight="1">
      <c r="J6539" s="28">
        <f>IFERROR(VLOOKUP(TEXT(B6539,"0"),STOCK!A:H,7,0),1)</f>
        <v>1</v>
      </c>
    </row>
    <row r="6540" spans="10:10" ht="35.450000000000003" hidden="1" customHeight="1">
      <c r="J6540" s="28">
        <f>IFERROR(VLOOKUP(TEXT(B6540,"0"),STOCK!A:H,7,0),1)</f>
        <v>1</v>
      </c>
    </row>
    <row r="6541" spans="10:10" ht="35.450000000000003" hidden="1" customHeight="1">
      <c r="J6541" s="28">
        <f>IFERROR(VLOOKUP(TEXT(B6541,"0"),STOCK!A:H,7,0),1)</f>
        <v>1</v>
      </c>
    </row>
    <row r="6542" spans="10:10" ht="35.450000000000003" hidden="1" customHeight="1">
      <c r="J6542" s="28">
        <f>IFERROR(VLOOKUP(TEXT(B6542,"0"),STOCK!A:H,7,0),1)</f>
        <v>1</v>
      </c>
    </row>
    <row r="6543" spans="10:10" ht="35.450000000000003" hidden="1" customHeight="1">
      <c r="J6543" s="28">
        <f>IFERROR(VLOOKUP(TEXT(B6543,"0"),STOCK!A:H,7,0),1)</f>
        <v>1</v>
      </c>
    </row>
    <row r="6544" spans="10:10" ht="35.450000000000003" hidden="1" customHeight="1">
      <c r="J6544" s="28">
        <f>IFERROR(VLOOKUP(TEXT(B6544,"0"),STOCK!A:H,7,0),1)</f>
        <v>1</v>
      </c>
    </row>
    <row r="6545" spans="10:10" ht="35.450000000000003" hidden="1" customHeight="1">
      <c r="J6545" s="28">
        <f>IFERROR(VLOOKUP(TEXT(B6545,"0"),STOCK!A:H,7,0),1)</f>
        <v>1</v>
      </c>
    </row>
    <row r="6546" spans="10:10" ht="35.450000000000003" hidden="1" customHeight="1">
      <c r="J6546" s="28">
        <f>IFERROR(VLOOKUP(TEXT(B6546,"0"),STOCK!A:H,7,0),1)</f>
        <v>1</v>
      </c>
    </row>
    <row r="6547" spans="10:10" ht="35.450000000000003" hidden="1" customHeight="1">
      <c r="J6547" s="28">
        <f>IFERROR(VLOOKUP(TEXT(B6547,"0"),STOCK!A:H,7,0),1)</f>
        <v>1</v>
      </c>
    </row>
    <row r="6548" spans="10:10" ht="35.450000000000003" hidden="1" customHeight="1">
      <c r="J6548" s="28">
        <f>IFERROR(VLOOKUP(TEXT(B6548,"0"),STOCK!A:H,7,0),1)</f>
        <v>1</v>
      </c>
    </row>
    <row r="6549" spans="10:10" ht="35.450000000000003" hidden="1" customHeight="1">
      <c r="J6549" s="28">
        <f>IFERROR(VLOOKUP(TEXT(B6549,"0"),STOCK!A:H,7,0),1)</f>
        <v>1</v>
      </c>
    </row>
    <row r="6550" spans="10:10" ht="35.450000000000003" hidden="1" customHeight="1">
      <c r="J6550" s="28">
        <f>IFERROR(VLOOKUP(TEXT(B6550,"0"),STOCK!A:H,7,0),1)</f>
        <v>1</v>
      </c>
    </row>
    <row r="6551" spans="10:10" ht="35.450000000000003" hidden="1" customHeight="1">
      <c r="J6551" s="28">
        <f>IFERROR(VLOOKUP(TEXT(B6551,"0"),STOCK!A:H,7,0),1)</f>
        <v>1</v>
      </c>
    </row>
    <row r="6552" spans="10:10" ht="35.450000000000003" hidden="1" customHeight="1">
      <c r="J6552" s="28">
        <f>IFERROR(VLOOKUP(TEXT(B6552,"0"),STOCK!A:H,7,0),1)</f>
        <v>1</v>
      </c>
    </row>
    <row r="6553" spans="10:10" ht="35.450000000000003" hidden="1" customHeight="1">
      <c r="J6553" s="28">
        <f>IFERROR(VLOOKUP(TEXT(B6553,"0"),STOCK!A:H,7,0),1)</f>
        <v>1</v>
      </c>
    </row>
    <row r="6554" spans="10:10" ht="35.450000000000003" hidden="1" customHeight="1">
      <c r="J6554" s="28">
        <f>IFERROR(VLOOKUP(TEXT(B6554,"0"),STOCK!A:H,7,0),1)</f>
        <v>1</v>
      </c>
    </row>
    <row r="6555" spans="10:10" ht="35.450000000000003" hidden="1" customHeight="1">
      <c r="J6555" s="28">
        <f>IFERROR(VLOOKUP(TEXT(B6555,"0"),STOCK!A:H,7,0),1)</f>
        <v>1</v>
      </c>
    </row>
    <row r="6556" spans="10:10" ht="35.450000000000003" hidden="1" customHeight="1">
      <c r="J6556" s="28">
        <f>IFERROR(VLOOKUP(TEXT(B6556,"0"),STOCK!A:H,7,0),1)</f>
        <v>1</v>
      </c>
    </row>
    <row r="6557" spans="10:10" ht="35.450000000000003" hidden="1" customHeight="1">
      <c r="J6557" s="28">
        <f>IFERROR(VLOOKUP(TEXT(B6557,"0"),STOCK!A:H,7,0),1)</f>
        <v>1</v>
      </c>
    </row>
    <row r="6558" spans="10:10" ht="35.450000000000003" hidden="1" customHeight="1">
      <c r="J6558" s="28">
        <f>IFERROR(VLOOKUP(TEXT(B6558,"0"),STOCK!A:H,7,0),1)</f>
        <v>1</v>
      </c>
    </row>
    <row r="6559" spans="10:10" ht="35.450000000000003" hidden="1" customHeight="1">
      <c r="J6559" s="28">
        <f>IFERROR(VLOOKUP(TEXT(B6559,"0"),STOCK!A:H,7,0),1)</f>
        <v>1</v>
      </c>
    </row>
    <row r="6560" spans="10:10" ht="35.450000000000003" hidden="1" customHeight="1">
      <c r="J6560" s="28">
        <f>IFERROR(VLOOKUP(TEXT(B6560,"0"),STOCK!A:H,7,0),1)</f>
        <v>1</v>
      </c>
    </row>
    <row r="6561" spans="10:10" ht="35.450000000000003" hidden="1" customHeight="1">
      <c r="J6561" s="28">
        <f>IFERROR(VLOOKUP(TEXT(B6561,"0"),STOCK!A:H,7,0),1)</f>
        <v>1</v>
      </c>
    </row>
    <row r="6562" spans="10:10" ht="35.450000000000003" hidden="1" customHeight="1">
      <c r="J6562" s="28">
        <f>IFERROR(VLOOKUP(TEXT(B6562,"0"),STOCK!A:H,7,0),1)</f>
        <v>1</v>
      </c>
    </row>
    <row r="6563" spans="10:10" ht="35.450000000000003" hidden="1" customHeight="1">
      <c r="J6563" s="28">
        <f>IFERROR(VLOOKUP(TEXT(B6563,"0"),STOCK!A:H,7,0),1)</f>
        <v>1</v>
      </c>
    </row>
    <row r="6564" spans="10:10" ht="35.450000000000003" hidden="1" customHeight="1">
      <c r="J6564" s="28">
        <f>IFERROR(VLOOKUP(TEXT(B6564,"0"),STOCK!A:H,7,0),1)</f>
        <v>1</v>
      </c>
    </row>
    <row r="6565" spans="10:10" ht="35.450000000000003" hidden="1" customHeight="1">
      <c r="J6565" s="28">
        <f>IFERROR(VLOOKUP(TEXT(B6565,"0"),STOCK!A:H,7,0),1)</f>
        <v>1</v>
      </c>
    </row>
    <row r="6566" spans="10:10" ht="35.450000000000003" hidden="1" customHeight="1">
      <c r="J6566" s="28">
        <f>IFERROR(VLOOKUP(TEXT(B6566,"0"),STOCK!A:H,7,0),1)</f>
        <v>1</v>
      </c>
    </row>
    <row r="6567" spans="10:10" ht="35.450000000000003" hidden="1" customHeight="1">
      <c r="J6567" s="28">
        <f>IFERROR(VLOOKUP(TEXT(B6567,"0"),STOCK!A:H,7,0),1)</f>
        <v>1</v>
      </c>
    </row>
    <row r="6568" spans="10:10" ht="35.450000000000003" hidden="1" customHeight="1">
      <c r="J6568" s="28">
        <f>IFERROR(VLOOKUP(TEXT(B6568,"0"),STOCK!A:H,7,0),1)</f>
        <v>1</v>
      </c>
    </row>
    <row r="6569" spans="10:10" ht="35.450000000000003" hidden="1" customHeight="1">
      <c r="J6569" s="28">
        <f>IFERROR(VLOOKUP(TEXT(B6569,"0"),STOCK!A:H,7,0),1)</f>
        <v>1</v>
      </c>
    </row>
    <row r="6570" spans="10:10" ht="35.450000000000003" hidden="1" customHeight="1">
      <c r="J6570" s="28">
        <f>IFERROR(VLOOKUP(TEXT(B6570,"0"),STOCK!A:H,7,0),1)</f>
        <v>1</v>
      </c>
    </row>
    <row r="6571" spans="10:10" ht="35.450000000000003" hidden="1" customHeight="1">
      <c r="J6571" s="28">
        <f>IFERROR(VLOOKUP(TEXT(B6571,"0"),STOCK!A:H,7,0),1)</f>
        <v>1</v>
      </c>
    </row>
    <row r="6572" spans="10:10" ht="35.450000000000003" hidden="1" customHeight="1">
      <c r="J6572" s="28">
        <f>IFERROR(VLOOKUP(TEXT(B6572,"0"),STOCK!A:H,7,0),1)</f>
        <v>1</v>
      </c>
    </row>
    <row r="6573" spans="10:10" ht="35.450000000000003" hidden="1" customHeight="1">
      <c r="J6573" s="28">
        <f>IFERROR(VLOOKUP(TEXT(B6573,"0"),STOCK!A:H,7,0),1)</f>
        <v>1</v>
      </c>
    </row>
    <row r="6574" spans="10:10" ht="35.450000000000003" hidden="1" customHeight="1">
      <c r="J6574" s="28">
        <f>IFERROR(VLOOKUP(TEXT(B6574,"0"),STOCK!A:H,7,0),1)</f>
        <v>1</v>
      </c>
    </row>
    <row r="6575" spans="10:10" ht="35.450000000000003" hidden="1" customHeight="1">
      <c r="J6575" s="28">
        <f>IFERROR(VLOOKUP(TEXT(B6575,"0"),STOCK!A:H,7,0),1)</f>
        <v>1</v>
      </c>
    </row>
    <row r="6576" spans="10:10" ht="35.450000000000003" hidden="1" customHeight="1">
      <c r="J6576" s="28">
        <f>IFERROR(VLOOKUP(TEXT(B6576,"0"),STOCK!A:H,7,0),1)</f>
        <v>1</v>
      </c>
    </row>
    <row r="6577" spans="10:10" ht="35.450000000000003" hidden="1" customHeight="1">
      <c r="J6577" s="28">
        <f>IFERROR(VLOOKUP(TEXT(B6577,"0"),STOCK!A:H,7,0),1)</f>
        <v>1</v>
      </c>
    </row>
    <row r="6578" spans="10:10" ht="35.450000000000003" hidden="1" customHeight="1">
      <c r="J6578" s="28">
        <f>IFERROR(VLOOKUP(TEXT(B6578,"0"),STOCK!A:H,7,0),1)</f>
        <v>1</v>
      </c>
    </row>
    <row r="6579" spans="10:10" ht="35.450000000000003" hidden="1" customHeight="1">
      <c r="J6579" s="28">
        <f>IFERROR(VLOOKUP(TEXT(B6579,"0"),STOCK!A:H,7,0),1)</f>
        <v>1</v>
      </c>
    </row>
    <row r="6580" spans="10:10" ht="35.450000000000003" hidden="1" customHeight="1">
      <c r="J6580" s="28">
        <f>IFERROR(VLOOKUP(TEXT(B6580,"0"),STOCK!A:H,7,0),1)</f>
        <v>1</v>
      </c>
    </row>
    <row r="6581" spans="10:10" ht="35.450000000000003" hidden="1" customHeight="1">
      <c r="J6581" s="28">
        <f>IFERROR(VLOOKUP(TEXT(B6581,"0"),STOCK!A:H,7,0),1)</f>
        <v>1</v>
      </c>
    </row>
    <row r="6582" spans="10:10" ht="35.450000000000003" hidden="1" customHeight="1">
      <c r="J6582" s="28">
        <f>IFERROR(VLOOKUP(TEXT(B6582,"0"),STOCK!A:H,7,0),1)</f>
        <v>1</v>
      </c>
    </row>
    <row r="6583" spans="10:10" ht="35.450000000000003" hidden="1" customHeight="1">
      <c r="J6583" s="28">
        <f>IFERROR(VLOOKUP(TEXT(B6583,"0"),STOCK!A:H,7,0),1)</f>
        <v>1</v>
      </c>
    </row>
    <row r="6584" spans="10:10" ht="35.450000000000003" hidden="1" customHeight="1">
      <c r="J6584" s="28">
        <f>IFERROR(VLOOKUP(TEXT(B6584,"0"),STOCK!A:H,7,0),1)</f>
        <v>1</v>
      </c>
    </row>
    <row r="6585" spans="10:10" ht="35.450000000000003" hidden="1" customHeight="1">
      <c r="J6585" s="28">
        <f>IFERROR(VLOOKUP(TEXT(B6585,"0"),STOCK!A:H,7,0),1)</f>
        <v>1</v>
      </c>
    </row>
    <row r="6586" spans="10:10" ht="35.450000000000003" hidden="1" customHeight="1">
      <c r="J6586" s="28">
        <f>IFERROR(VLOOKUP(TEXT(B6586,"0"),STOCK!A:H,7,0),1)</f>
        <v>1</v>
      </c>
    </row>
    <row r="6587" spans="10:10" ht="35.450000000000003" hidden="1" customHeight="1">
      <c r="J6587" s="28">
        <f>IFERROR(VLOOKUP(TEXT(B6587,"0"),STOCK!A:H,7,0),1)</f>
        <v>1</v>
      </c>
    </row>
    <row r="6588" spans="10:10" ht="35.450000000000003" hidden="1" customHeight="1">
      <c r="J6588" s="28">
        <f>IFERROR(VLOOKUP(TEXT(B6588,"0"),STOCK!A:H,7,0),1)</f>
        <v>1</v>
      </c>
    </row>
    <row r="6589" spans="10:10" ht="35.450000000000003" hidden="1" customHeight="1">
      <c r="J6589" s="28">
        <f>IFERROR(VLOOKUP(TEXT(B6589,"0"),STOCK!A:H,7,0),1)</f>
        <v>1</v>
      </c>
    </row>
    <row r="6590" spans="10:10" ht="35.450000000000003" hidden="1" customHeight="1">
      <c r="J6590" s="28">
        <f>IFERROR(VLOOKUP(TEXT(B6590,"0"),STOCK!A:H,7,0),1)</f>
        <v>1</v>
      </c>
    </row>
    <row r="6591" spans="10:10" ht="35.450000000000003" hidden="1" customHeight="1">
      <c r="J6591" s="28">
        <f>IFERROR(VLOOKUP(TEXT(B6591,"0"),STOCK!A:H,7,0),1)</f>
        <v>1</v>
      </c>
    </row>
    <row r="6592" spans="10:10" ht="35.450000000000003" hidden="1" customHeight="1">
      <c r="J6592" s="28">
        <f>IFERROR(VLOOKUP(TEXT(B6592,"0"),STOCK!A:H,7,0),1)</f>
        <v>1</v>
      </c>
    </row>
    <row r="6593" spans="10:10" ht="35.450000000000003" hidden="1" customHeight="1">
      <c r="J6593" s="28">
        <f>IFERROR(VLOOKUP(TEXT(B6593,"0"),STOCK!A:H,7,0),1)</f>
        <v>1</v>
      </c>
    </row>
    <row r="6594" spans="10:10" ht="35.450000000000003" hidden="1" customHeight="1">
      <c r="J6594" s="28">
        <f>IFERROR(VLOOKUP(TEXT(B6594,"0"),STOCK!A:H,7,0),1)</f>
        <v>1</v>
      </c>
    </row>
    <row r="6595" spans="10:10" ht="35.450000000000003" hidden="1" customHeight="1">
      <c r="J6595" s="28">
        <f>IFERROR(VLOOKUP(TEXT(B6595,"0"),STOCK!A:H,7,0),1)</f>
        <v>1</v>
      </c>
    </row>
    <row r="6596" spans="10:10" ht="35.450000000000003" hidden="1" customHeight="1">
      <c r="J6596" s="28">
        <f>IFERROR(VLOOKUP(TEXT(B6596,"0"),STOCK!A:H,7,0),1)</f>
        <v>1</v>
      </c>
    </row>
    <row r="6597" spans="10:10" ht="35.450000000000003" hidden="1" customHeight="1">
      <c r="J6597" s="28">
        <f>IFERROR(VLOOKUP(TEXT(B6597,"0"),STOCK!A:H,7,0),1)</f>
        <v>1</v>
      </c>
    </row>
    <row r="6598" spans="10:10" ht="35.450000000000003" hidden="1" customHeight="1">
      <c r="J6598" s="28">
        <f>IFERROR(VLOOKUP(TEXT(B6598,"0"),STOCK!A:H,7,0),1)</f>
        <v>1</v>
      </c>
    </row>
    <row r="6599" spans="10:10" ht="35.450000000000003" hidden="1" customHeight="1">
      <c r="J6599" s="28">
        <f>IFERROR(VLOOKUP(TEXT(B6599,"0"),STOCK!A:H,7,0),1)</f>
        <v>1</v>
      </c>
    </row>
    <row r="6600" spans="10:10" ht="35.450000000000003" hidden="1" customHeight="1">
      <c r="J6600" s="28">
        <f>IFERROR(VLOOKUP(TEXT(B6600,"0"),STOCK!A:H,7,0),1)</f>
        <v>1</v>
      </c>
    </row>
    <row r="6601" spans="10:10" ht="35.450000000000003" hidden="1" customHeight="1">
      <c r="J6601" s="28">
        <f>IFERROR(VLOOKUP(TEXT(B6601,"0"),STOCK!A:H,7,0),1)</f>
        <v>1</v>
      </c>
    </row>
    <row r="6602" spans="10:10" ht="35.450000000000003" hidden="1" customHeight="1">
      <c r="J6602" s="28">
        <f>IFERROR(VLOOKUP(TEXT(B6602,"0"),STOCK!A:H,7,0),1)</f>
        <v>1</v>
      </c>
    </row>
    <row r="6603" spans="10:10" ht="35.450000000000003" hidden="1" customHeight="1">
      <c r="J6603" s="28">
        <f>IFERROR(VLOOKUP(TEXT(B6603,"0"),STOCK!A:H,7,0),1)</f>
        <v>1</v>
      </c>
    </row>
    <row r="6604" spans="10:10" ht="35.450000000000003" hidden="1" customHeight="1">
      <c r="J6604" s="28">
        <f>IFERROR(VLOOKUP(TEXT(B6604,"0"),STOCK!A:H,7,0),1)</f>
        <v>1</v>
      </c>
    </row>
    <row r="6605" spans="10:10" ht="35.450000000000003" hidden="1" customHeight="1">
      <c r="J6605" s="28">
        <f>IFERROR(VLOOKUP(TEXT(B6605,"0"),STOCK!A:H,7,0),1)</f>
        <v>1</v>
      </c>
    </row>
    <row r="6606" spans="10:10" ht="35.450000000000003" hidden="1" customHeight="1">
      <c r="J6606" s="28">
        <f>IFERROR(VLOOKUP(TEXT(B6606,"0"),STOCK!A:H,7,0),1)</f>
        <v>1</v>
      </c>
    </row>
    <row r="6607" spans="10:10" ht="35.450000000000003" hidden="1" customHeight="1">
      <c r="J6607" s="28">
        <f>IFERROR(VLOOKUP(TEXT(B6607,"0"),STOCK!A:H,7,0),1)</f>
        <v>1</v>
      </c>
    </row>
    <row r="6608" spans="10:10" ht="35.450000000000003" hidden="1" customHeight="1">
      <c r="J6608" s="28">
        <f>IFERROR(VLOOKUP(TEXT(B6608,"0"),STOCK!A:H,7,0),1)</f>
        <v>1</v>
      </c>
    </row>
    <row r="6609" spans="10:10" ht="35.450000000000003" hidden="1" customHeight="1">
      <c r="J6609" s="28">
        <f>IFERROR(VLOOKUP(TEXT(B6609,"0"),STOCK!A:H,7,0),1)</f>
        <v>1</v>
      </c>
    </row>
    <row r="6610" spans="10:10" ht="35.450000000000003" hidden="1" customHeight="1">
      <c r="J6610" s="28">
        <f>IFERROR(VLOOKUP(TEXT(B6610,"0"),STOCK!A:H,7,0),1)</f>
        <v>1</v>
      </c>
    </row>
    <row r="6611" spans="10:10" ht="35.450000000000003" hidden="1" customHeight="1">
      <c r="J6611" s="28">
        <f>IFERROR(VLOOKUP(TEXT(B6611,"0"),STOCK!A:H,7,0),1)</f>
        <v>1</v>
      </c>
    </row>
    <row r="6612" spans="10:10" ht="35.450000000000003" hidden="1" customHeight="1">
      <c r="J6612" s="28">
        <f>IFERROR(VLOOKUP(TEXT(B6612,"0"),STOCK!A:H,7,0),1)</f>
        <v>1</v>
      </c>
    </row>
    <row r="6613" spans="10:10" ht="35.450000000000003" hidden="1" customHeight="1">
      <c r="J6613" s="28">
        <f>IFERROR(VLOOKUP(TEXT(B6613,"0"),STOCK!A:H,7,0),1)</f>
        <v>1</v>
      </c>
    </row>
    <row r="6614" spans="10:10" ht="35.450000000000003" hidden="1" customHeight="1">
      <c r="J6614" s="28">
        <f>IFERROR(VLOOKUP(TEXT(B6614,"0"),STOCK!A:H,7,0),1)</f>
        <v>1</v>
      </c>
    </row>
    <row r="6615" spans="10:10" ht="35.450000000000003" hidden="1" customHeight="1">
      <c r="J6615" s="28">
        <f>IFERROR(VLOOKUP(TEXT(B6615,"0"),STOCK!A:H,7,0),1)</f>
        <v>1</v>
      </c>
    </row>
    <row r="6616" spans="10:10" ht="35.450000000000003" hidden="1" customHeight="1">
      <c r="J6616" s="28">
        <f>IFERROR(VLOOKUP(TEXT(B6616,"0"),STOCK!A:H,7,0),1)</f>
        <v>1</v>
      </c>
    </row>
    <row r="6617" spans="10:10" ht="35.450000000000003" hidden="1" customHeight="1">
      <c r="J6617" s="28">
        <f>IFERROR(VLOOKUP(TEXT(B6617,"0"),STOCK!A:H,7,0),1)</f>
        <v>1</v>
      </c>
    </row>
    <row r="6618" spans="10:10" ht="35.450000000000003" hidden="1" customHeight="1">
      <c r="J6618" s="28">
        <f>IFERROR(VLOOKUP(TEXT(B6618,"0"),STOCK!A:H,7,0),1)</f>
        <v>1</v>
      </c>
    </row>
    <row r="6619" spans="10:10" ht="35.450000000000003" hidden="1" customHeight="1">
      <c r="J6619" s="28">
        <f>IFERROR(VLOOKUP(TEXT(B6619,"0"),STOCK!A:H,7,0),1)</f>
        <v>1</v>
      </c>
    </row>
    <row r="6620" spans="10:10" ht="35.450000000000003" hidden="1" customHeight="1">
      <c r="J6620" s="28">
        <f>IFERROR(VLOOKUP(TEXT(B6620,"0"),STOCK!A:H,7,0),1)</f>
        <v>1</v>
      </c>
    </row>
    <row r="6621" spans="10:10" ht="35.450000000000003" hidden="1" customHeight="1">
      <c r="J6621" s="28">
        <f>IFERROR(VLOOKUP(TEXT(B6621,"0"),STOCK!A:H,7,0),1)</f>
        <v>1</v>
      </c>
    </row>
    <row r="6622" spans="10:10" ht="35.450000000000003" hidden="1" customHeight="1">
      <c r="J6622" s="28">
        <f>IFERROR(VLOOKUP(TEXT(B6622,"0"),STOCK!A:H,7,0),1)</f>
        <v>1</v>
      </c>
    </row>
    <row r="6623" spans="10:10" ht="35.450000000000003" hidden="1" customHeight="1">
      <c r="J6623" s="28">
        <f>IFERROR(VLOOKUP(TEXT(B6623,"0"),STOCK!A:H,7,0),1)</f>
        <v>1</v>
      </c>
    </row>
    <row r="6624" spans="10:10" ht="35.450000000000003" hidden="1" customHeight="1">
      <c r="J6624" s="28">
        <f>IFERROR(VLOOKUP(TEXT(B6624,"0"),STOCK!A:H,7,0),1)</f>
        <v>1</v>
      </c>
    </row>
    <row r="6625" spans="10:10" ht="35.450000000000003" hidden="1" customHeight="1">
      <c r="J6625" s="28">
        <f>IFERROR(VLOOKUP(TEXT(B6625,"0"),STOCK!A:H,7,0),1)</f>
        <v>1</v>
      </c>
    </row>
    <row r="6626" spans="10:10" ht="35.450000000000003" hidden="1" customHeight="1">
      <c r="J6626" s="28">
        <f>IFERROR(VLOOKUP(TEXT(B6626,"0"),STOCK!A:H,7,0),1)</f>
        <v>1</v>
      </c>
    </row>
    <row r="6627" spans="10:10" ht="35.450000000000003" hidden="1" customHeight="1">
      <c r="J6627" s="28">
        <f>IFERROR(VLOOKUP(TEXT(B6627,"0"),STOCK!A:H,7,0),1)</f>
        <v>1</v>
      </c>
    </row>
    <row r="6628" spans="10:10" ht="35.450000000000003" hidden="1" customHeight="1">
      <c r="J6628" s="28">
        <f>IFERROR(VLOOKUP(TEXT(B6628,"0"),STOCK!A:H,7,0),1)</f>
        <v>1</v>
      </c>
    </row>
    <row r="6629" spans="10:10" ht="35.450000000000003" hidden="1" customHeight="1">
      <c r="J6629" s="28">
        <f>IFERROR(VLOOKUP(TEXT(B6629,"0"),STOCK!A:H,7,0),1)</f>
        <v>1</v>
      </c>
    </row>
    <row r="6630" spans="10:10" ht="35.450000000000003" hidden="1" customHeight="1">
      <c r="J6630" s="28">
        <f>IFERROR(VLOOKUP(TEXT(B6630,"0"),STOCK!A:H,7,0),1)</f>
        <v>1</v>
      </c>
    </row>
    <row r="6631" spans="10:10" ht="35.450000000000003" hidden="1" customHeight="1">
      <c r="J6631" s="28">
        <f>IFERROR(VLOOKUP(TEXT(B6631,"0"),STOCK!A:H,7,0),1)</f>
        <v>1</v>
      </c>
    </row>
    <row r="6632" spans="10:10" ht="35.450000000000003" hidden="1" customHeight="1">
      <c r="J6632" s="28">
        <f>IFERROR(VLOOKUP(TEXT(B6632,"0"),STOCK!A:H,7,0),1)</f>
        <v>1</v>
      </c>
    </row>
    <row r="6633" spans="10:10" ht="35.450000000000003" hidden="1" customHeight="1">
      <c r="J6633" s="28">
        <f>IFERROR(VLOOKUP(TEXT(B6633,"0"),STOCK!A:H,7,0),1)</f>
        <v>1</v>
      </c>
    </row>
    <row r="6634" spans="10:10" ht="35.450000000000003" hidden="1" customHeight="1">
      <c r="J6634" s="28">
        <f>IFERROR(VLOOKUP(TEXT(B6634,"0"),STOCK!A:H,7,0),1)</f>
        <v>1</v>
      </c>
    </row>
    <row r="6635" spans="10:10" ht="35.450000000000003" hidden="1" customHeight="1">
      <c r="J6635" s="28">
        <f>IFERROR(VLOOKUP(TEXT(B6635,"0"),STOCK!A:H,7,0),1)</f>
        <v>1</v>
      </c>
    </row>
    <row r="6636" spans="10:10" ht="35.450000000000003" hidden="1" customHeight="1">
      <c r="J6636" s="28">
        <f>IFERROR(VLOOKUP(TEXT(B6636,"0"),STOCK!A:H,7,0),1)</f>
        <v>1</v>
      </c>
    </row>
    <row r="6637" spans="10:10" ht="35.450000000000003" hidden="1" customHeight="1">
      <c r="J6637" s="28">
        <f>IFERROR(VLOOKUP(TEXT(B6637,"0"),STOCK!A:H,7,0),1)</f>
        <v>1</v>
      </c>
    </row>
    <row r="6638" spans="10:10" ht="35.450000000000003" hidden="1" customHeight="1">
      <c r="J6638" s="28">
        <f>IFERROR(VLOOKUP(TEXT(B6638,"0"),STOCK!A:H,7,0),1)</f>
        <v>1</v>
      </c>
    </row>
    <row r="6639" spans="10:10" ht="35.450000000000003" hidden="1" customHeight="1">
      <c r="J6639" s="28">
        <f>IFERROR(VLOOKUP(TEXT(B6639,"0"),STOCK!A:H,7,0),1)</f>
        <v>1</v>
      </c>
    </row>
    <row r="6640" spans="10:10" ht="35.450000000000003" hidden="1" customHeight="1">
      <c r="J6640" s="28">
        <f>IFERROR(VLOOKUP(TEXT(B6640,"0"),STOCK!A:H,7,0),1)</f>
        <v>1</v>
      </c>
    </row>
    <row r="6641" spans="10:10" ht="35.450000000000003" hidden="1" customHeight="1">
      <c r="J6641" s="28">
        <f>IFERROR(VLOOKUP(TEXT(B6641,"0"),STOCK!A:H,7,0),1)</f>
        <v>1</v>
      </c>
    </row>
    <row r="6642" spans="10:10" ht="35.450000000000003" hidden="1" customHeight="1">
      <c r="J6642" s="28">
        <f>IFERROR(VLOOKUP(TEXT(B6642,"0"),STOCK!A:H,7,0),1)</f>
        <v>1</v>
      </c>
    </row>
    <row r="6643" spans="10:10" ht="35.450000000000003" hidden="1" customHeight="1">
      <c r="J6643" s="28">
        <f>IFERROR(VLOOKUP(TEXT(B6643,"0"),STOCK!A:H,7,0),1)</f>
        <v>1</v>
      </c>
    </row>
    <row r="6644" spans="10:10" ht="35.450000000000003" hidden="1" customHeight="1">
      <c r="J6644" s="28">
        <f>IFERROR(VLOOKUP(TEXT(B6644,"0"),STOCK!A:H,7,0),1)</f>
        <v>1</v>
      </c>
    </row>
    <row r="6645" spans="10:10" ht="35.450000000000003" hidden="1" customHeight="1">
      <c r="J6645" s="28">
        <f>IFERROR(VLOOKUP(TEXT(B6645,"0"),STOCK!A:H,7,0),1)</f>
        <v>1</v>
      </c>
    </row>
    <row r="6646" spans="10:10" ht="35.450000000000003" hidden="1" customHeight="1">
      <c r="J6646" s="28">
        <f>IFERROR(VLOOKUP(TEXT(B6646,"0"),STOCK!A:H,7,0),1)</f>
        <v>1</v>
      </c>
    </row>
    <row r="6647" spans="10:10" ht="35.450000000000003" hidden="1" customHeight="1">
      <c r="J6647" s="28">
        <f>IFERROR(VLOOKUP(TEXT(B6647,"0"),STOCK!A:H,7,0),1)</f>
        <v>1</v>
      </c>
    </row>
    <row r="6648" spans="10:10" ht="35.450000000000003" hidden="1" customHeight="1">
      <c r="J6648" s="28">
        <f>IFERROR(VLOOKUP(TEXT(B6648,"0"),STOCK!A:H,7,0),1)</f>
        <v>1</v>
      </c>
    </row>
    <row r="6649" spans="10:10" ht="35.450000000000003" hidden="1" customHeight="1">
      <c r="J6649" s="28">
        <f>IFERROR(VLOOKUP(TEXT(B6649,"0"),STOCK!A:H,7,0),1)</f>
        <v>1</v>
      </c>
    </row>
    <row r="6650" spans="10:10" ht="35.450000000000003" hidden="1" customHeight="1">
      <c r="J6650" s="28">
        <f>IFERROR(VLOOKUP(TEXT(B6650,"0"),STOCK!A:H,7,0),1)</f>
        <v>1</v>
      </c>
    </row>
    <row r="6651" spans="10:10" ht="35.450000000000003" hidden="1" customHeight="1">
      <c r="J6651" s="28">
        <f>IFERROR(VLOOKUP(TEXT(B6651,"0"),STOCK!A:H,7,0),1)</f>
        <v>1</v>
      </c>
    </row>
    <row r="6652" spans="10:10" ht="35.450000000000003" hidden="1" customHeight="1">
      <c r="J6652" s="28">
        <f>IFERROR(VLOOKUP(TEXT(B6652,"0"),STOCK!A:H,7,0),1)</f>
        <v>1</v>
      </c>
    </row>
    <row r="6653" spans="10:10" ht="35.450000000000003" hidden="1" customHeight="1">
      <c r="J6653" s="28">
        <f>IFERROR(VLOOKUP(TEXT(B6653,"0"),STOCK!A:H,7,0),1)</f>
        <v>1</v>
      </c>
    </row>
    <row r="6654" spans="10:10" ht="35.450000000000003" hidden="1" customHeight="1">
      <c r="J6654" s="28">
        <f>IFERROR(VLOOKUP(TEXT(B6654,"0"),STOCK!A:H,7,0),1)</f>
        <v>1</v>
      </c>
    </row>
    <row r="6655" spans="10:10" ht="35.450000000000003" hidden="1" customHeight="1">
      <c r="J6655" s="28">
        <f>IFERROR(VLOOKUP(TEXT(B6655,"0"),STOCK!A:H,7,0),1)</f>
        <v>1</v>
      </c>
    </row>
    <row r="6656" spans="10:10" ht="35.450000000000003" hidden="1" customHeight="1">
      <c r="J6656" s="28">
        <f>IFERROR(VLOOKUP(TEXT(B6656,"0"),STOCK!A:H,7,0),1)</f>
        <v>1</v>
      </c>
    </row>
    <row r="6657" spans="10:10" ht="35.450000000000003" hidden="1" customHeight="1">
      <c r="J6657" s="28">
        <f>IFERROR(VLOOKUP(TEXT(B6657,"0"),STOCK!A:H,7,0),1)</f>
        <v>1</v>
      </c>
    </row>
    <row r="6658" spans="10:10" ht="35.450000000000003" hidden="1" customHeight="1">
      <c r="J6658" s="28">
        <f>IFERROR(VLOOKUP(TEXT(B6658,"0"),STOCK!A:H,7,0),1)</f>
        <v>1</v>
      </c>
    </row>
    <row r="6659" spans="10:10" ht="35.450000000000003" hidden="1" customHeight="1">
      <c r="J6659" s="28">
        <f>IFERROR(VLOOKUP(TEXT(B6659,"0"),STOCK!A:H,7,0),1)</f>
        <v>1</v>
      </c>
    </row>
    <row r="6660" spans="10:10" ht="35.450000000000003" hidden="1" customHeight="1">
      <c r="J6660" s="28">
        <f>IFERROR(VLOOKUP(TEXT(B6660,"0"),STOCK!A:H,7,0),1)</f>
        <v>1</v>
      </c>
    </row>
    <row r="6661" spans="10:10" ht="35.450000000000003" hidden="1" customHeight="1">
      <c r="J6661" s="28">
        <f>IFERROR(VLOOKUP(TEXT(B6661,"0"),STOCK!A:H,7,0),1)</f>
        <v>1</v>
      </c>
    </row>
    <row r="6662" spans="10:10" ht="35.450000000000003" hidden="1" customHeight="1">
      <c r="J6662" s="28">
        <f>IFERROR(VLOOKUP(TEXT(B6662,"0"),STOCK!A:H,7,0),1)</f>
        <v>1</v>
      </c>
    </row>
    <row r="6663" spans="10:10" ht="35.450000000000003" hidden="1" customHeight="1">
      <c r="J6663" s="28">
        <f>IFERROR(VLOOKUP(TEXT(B6663,"0"),STOCK!A:H,7,0),1)</f>
        <v>1</v>
      </c>
    </row>
    <row r="6664" spans="10:10" ht="35.450000000000003" hidden="1" customHeight="1">
      <c r="J6664" s="28">
        <f>IFERROR(VLOOKUP(TEXT(B6664,"0"),STOCK!A:H,7,0),1)</f>
        <v>1</v>
      </c>
    </row>
    <row r="6665" spans="10:10" ht="35.450000000000003" hidden="1" customHeight="1">
      <c r="J6665" s="28">
        <f>IFERROR(VLOOKUP(TEXT(B6665,"0"),STOCK!A:H,7,0),1)</f>
        <v>1</v>
      </c>
    </row>
    <row r="6666" spans="10:10" ht="35.450000000000003" hidden="1" customHeight="1">
      <c r="J6666" s="28">
        <f>IFERROR(VLOOKUP(TEXT(B6666,"0"),STOCK!A:H,7,0),1)</f>
        <v>1</v>
      </c>
    </row>
    <row r="6667" spans="10:10" ht="35.450000000000003" hidden="1" customHeight="1">
      <c r="J6667" s="28">
        <f>IFERROR(VLOOKUP(TEXT(B6667,"0"),STOCK!A:H,7,0),1)</f>
        <v>1</v>
      </c>
    </row>
    <row r="6668" spans="10:10" ht="35.450000000000003" hidden="1" customHeight="1">
      <c r="J6668" s="28">
        <f>IFERROR(VLOOKUP(TEXT(B6668,"0"),STOCK!A:H,7,0),1)</f>
        <v>1</v>
      </c>
    </row>
    <row r="6669" spans="10:10" ht="35.450000000000003" hidden="1" customHeight="1">
      <c r="J6669" s="28">
        <f>IFERROR(VLOOKUP(TEXT(B6669,"0"),STOCK!A:H,7,0),1)</f>
        <v>1</v>
      </c>
    </row>
    <row r="6670" spans="10:10" ht="35.450000000000003" hidden="1" customHeight="1">
      <c r="J6670" s="28">
        <f>IFERROR(VLOOKUP(TEXT(B6670,"0"),STOCK!A:H,7,0),1)</f>
        <v>1</v>
      </c>
    </row>
    <row r="6671" spans="10:10" ht="35.450000000000003" hidden="1" customHeight="1">
      <c r="J6671" s="28">
        <f>IFERROR(VLOOKUP(TEXT(B6671,"0"),STOCK!A:H,7,0),1)</f>
        <v>1</v>
      </c>
    </row>
    <row r="6672" spans="10:10" ht="35.450000000000003" hidden="1" customHeight="1">
      <c r="J6672" s="28">
        <f>IFERROR(VLOOKUP(TEXT(B6672,"0"),STOCK!A:H,7,0),1)</f>
        <v>1</v>
      </c>
    </row>
    <row r="6673" spans="10:10" ht="35.450000000000003" hidden="1" customHeight="1">
      <c r="J6673" s="28">
        <f>IFERROR(VLOOKUP(TEXT(B6673,"0"),STOCK!A:H,7,0),1)</f>
        <v>1</v>
      </c>
    </row>
    <row r="6674" spans="10:10" ht="35.450000000000003" hidden="1" customHeight="1">
      <c r="J6674" s="28">
        <f>IFERROR(VLOOKUP(TEXT(B6674,"0"),STOCK!A:H,7,0),1)</f>
        <v>1</v>
      </c>
    </row>
    <row r="6675" spans="10:10" ht="35.450000000000003" hidden="1" customHeight="1">
      <c r="J6675" s="28">
        <f>IFERROR(VLOOKUP(TEXT(B6675,"0"),STOCK!A:H,7,0),1)</f>
        <v>1</v>
      </c>
    </row>
    <row r="6676" spans="10:10" ht="35.450000000000003" hidden="1" customHeight="1">
      <c r="J6676" s="28">
        <f>IFERROR(VLOOKUP(TEXT(B6676,"0"),STOCK!A:H,7,0),1)</f>
        <v>1</v>
      </c>
    </row>
    <row r="6677" spans="10:10" ht="35.450000000000003" hidden="1" customHeight="1">
      <c r="J6677" s="28">
        <f>IFERROR(VLOOKUP(TEXT(B6677,"0"),STOCK!A:H,7,0),1)</f>
        <v>1</v>
      </c>
    </row>
    <row r="6678" spans="10:10" ht="35.450000000000003" hidden="1" customHeight="1">
      <c r="J6678" s="28">
        <f>IFERROR(VLOOKUP(TEXT(B6678,"0"),STOCK!A:H,7,0),1)</f>
        <v>1</v>
      </c>
    </row>
    <row r="6679" spans="10:10" ht="35.450000000000003" hidden="1" customHeight="1">
      <c r="J6679" s="28">
        <f>IFERROR(VLOOKUP(TEXT(B6679,"0"),STOCK!A:H,7,0),1)</f>
        <v>1</v>
      </c>
    </row>
    <row r="6680" spans="10:10" ht="35.450000000000003" hidden="1" customHeight="1">
      <c r="J6680" s="28">
        <f>IFERROR(VLOOKUP(TEXT(B6680,"0"),STOCK!A:H,7,0),1)</f>
        <v>1</v>
      </c>
    </row>
    <row r="6681" spans="10:10" ht="35.450000000000003" hidden="1" customHeight="1">
      <c r="J6681" s="28">
        <f>IFERROR(VLOOKUP(TEXT(B6681,"0"),STOCK!A:H,7,0),1)</f>
        <v>1</v>
      </c>
    </row>
    <row r="6682" spans="10:10" ht="35.450000000000003" hidden="1" customHeight="1">
      <c r="J6682" s="28">
        <f>IFERROR(VLOOKUP(TEXT(B6682,"0"),STOCK!A:H,7,0),1)</f>
        <v>1</v>
      </c>
    </row>
    <row r="6683" spans="10:10" ht="35.450000000000003" hidden="1" customHeight="1">
      <c r="J6683" s="28">
        <f>IFERROR(VLOOKUP(TEXT(B6683,"0"),STOCK!A:H,7,0),1)</f>
        <v>1</v>
      </c>
    </row>
    <row r="6684" spans="10:10" ht="35.450000000000003" hidden="1" customHeight="1">
      <c r="J6684" s="28">
        <f>IFERROR(VLOOKUP(TEXT(B6684,"0"),STOCK!A:H,7,0),1)</f>
        <v>1</v>
      </c>
    </row>
    <row r="6685" spans="10:10" ht="35.450000000000003" hidden="1" customHeight="1">
      <c r="J6685" s="28">
        <f>IFERROR(VLOOKUP(TEXT(B6685,"0"),STOCK!A:H,7,0),1)</f>
        <v>1</v>
      </c>
    </row>
    <row r="6686" spans="10:10" ht="35.450000000000003" hidden="1" customHeight="1">
      <c r="J6686" s="28">
        <f>IFERROR(VLOOKUP(TEXT(B6686,"0"),STOCK!A:H,7,0),1)</f>
        <v>1</v>
      </c>
    </row>
    <row r="6687" spans="10:10" ht="35.450000000000003" hidden="1" customHeight="1">
      <c r="J6687" s="28">
        <f>IFERROR(VLOOKUP(TEXT(B6687,"0"),STOCK!A:H,7,0),1)</f>
        <v>1</v>
      </c>
    </row>
    <row r="6688" spans="10:10" ht="35.450000000000003" hidden="1" customHeight="1">
      <c r="J6688" s="28">
        <f>IFERROR(VLOOKUP(TEXT(B6688,"0"),STOCK!A:H,7,0),1)</f>
        <v>1</v>
      </c>
    </row>
    <row r="6689" spans="10:10" ht="35.450000000000003" hidden="1" customHeight="1">
      <c r="J6689" s="28">
        <f>IFERROR(VLOOKUP(TEXT(B6689,"0"),STOCK!A:H,7,0),1)</f>
        <v>1</v>
      </c>
    </row>
    <row r="6690" spans="10:10" ht="35.450000000000003" hidden="1" customHeight="1">
      <c r="J6690" s="28">
        <f>IFERROR(VLOOKUP(TEXT(B6690,"0"),STOCK!A:H,7,0),1)</f>
        <v>1</v>
      </c>
    </row>
    <row r="6691" spans="10:10" ht="35.450000000000003" hidden="1" customHeight="1">
      <c r="J6691" s="28">
        <f>IFERROR(VLOOKUP(TEXT(B6691,"0"),STOCK!A:H,7,0),1)</f>
        <v>1</v>
      </c>
    </row>
    <row r="6692" spans="10:10" ht="35.450000000000003" hidden="1" customHeight="1">
      <c r="J6692" s="28">
        <f>IFERROR(VLOOKUP(TEXT(B6692,"0"),STOCK!A:H,7,0),1)</f>
        <v>1</v>
      </c>
    </row>
    <row r="6693" spans="10:10" ht="35.450000000000003" hidden="1" customHeight="1">
      <c r="J6693" s="28">
        <f>IFERROR(VLOOKUP(TEXT(B6693,"0"),STOCK!A:H,7,0),1)</f>
        <v>1</v>
      </c>
    </row>
    <row r="6694" spans="10:10" ht="35.450000000000003" hidden="1" customHeight="1">
      <c r="J6694" s="28">
        <f>IFERROR(VLOOKUP(TEXT(B6694,"0"),STOCK!A:H,7,0),1)</f>
        <v>1</v>
      </c>
    </row>
    <row r="6695" spans="10:10" ht="35.450000000000003" hidden="1" customHeight="1">
      <c r="J6695" s="28">
        <f>IFERROR(VLOOKUP(TEXT(B6695,"0"),STOCK!A:H,7,0),1)</f>
        <v>1</v>
      </c>
    </row>
    <row r="6696" spans="10:10" ht="35.450000000000003" hidden="1" customHeight="1">
      <c r="J6696" s="28">
        <f>IFERROR(VLOOKUP(TEXT(B6696,"0"),STOCK!A:H,7,0),1)</f>
        <v>1</v>
      </c>
    </row>
    <row r="6697" spans="10:10" ht="35.450000000000003" hidden="1" customHeight="1">
      <c r="J6697" s="28">
        <f>IFERROR(VLOOKUP(TEXT(B6697,"0"),STOCK!A:H,7,0),1)</f>
        <v>1</v>
      </c>
    </row>
    <row r="6698" spans="10:10" ht="35.450000000000003" hidden="1" customHeight="1">
      <c r="J6698" s="28">
        <f>IFERROR(VLOOKUP(TEXT(B6698,"0"),STOCK!A:H,7,0),1)</f>
        <v>1</v>
      </c>
    </row>
    <row r="6699" spans="10:10" ht="35.450000000000003" hidden="1" customHeight="1">
      <c r="J6699" s="28">
        <f>IFERROR(VLOOKUP(TEXT(B6699,"0"),STOCK!A:H,7,0),1)</f>
        <v>1</v>
      </c>
    </row>
    <row r="6700" spans="10:10" ht="35.450000000000003" hidden="1" customHeight="1">
      <c r="J6700" s="28">
        <f>IFERROR(VLOOKUP(TEXT(B6700,"0"),STOCK!A:H,7,0),1)</f>
        <v>1</v>
      </c>
    </row>
    <row r="6701" spans="10:10" ht="35.450000000000003" hidden="1" customHeight="1">
      <c r="J6701" s="28">
        <f>IFERROR(VLOOKUP(TEXT(B6701,"0"),STOCK!A:H,7,0),1)</f>
        <v>1</v>
      </c>
    </row>
    <row r="6702" spans="10:10" ht="35.450000000000003" hidden="1" customHeight="1">
      <c r="J6702" s="28">
        <f>IFERROR(VLOOKUP(TEXT(B6702,"0"),STOCK!A:H,7,0),1)</f>
        <v>1</v>
      </c>
    </row>
    <row r="6703" spans="10:10" ht="35.450000000000003" hidden="1" customHeight="1">
      <c r="J6703" s="28">
        <f>IFERROR(VLOOKUP(TEXT(B6703,"0"),STOCK!A:H,7,0),1)</f>
        <v>1</v>
      </c>
    </row>
    <row r="6704" spans="10:10" ht="35.450000000000003" hidden="1" customHeight="1">
      <c r="J6704" s="28">
        <f>IFERROR(VLOOKUP(TEXT(B6704,"0"),STOCK!A:H,7,0),1)</f>
        <v>1</v>
      </c>
    </row>
    <row r="6705" spans="10:10" ht="35.450000000000003" hidden="1" customHeight="1">
      <c r="J6705" s="28">
        <f>IFERROR(VLOOKUP(TEXT(B6705,"0"),STOCK!A:H,7,0),1)</f>
        <v>1</v>
      </c>
    </row>
    <row r="6706" spans="10:10" ht="35.450000000000003" hidden="1" customHeight="1">
      <c r="J6706" s="28">
        <f>IFERROR(VLOOKUP(TEXT(B6706,"0"),STOCK!A:H,7,0),1)</f>
        <v>1</v>
      </c>
    </row>
    <row r="6707" spans="10:10" ht="35.450000000000003" hidden="1" customHeight="1">
      <c r="J6707" s="28">
        <f>IFERROR(VLOOKUP(TEXT(B6707,"0"),STOCK!A:H,7,0),1)</f>
        <v>1</v>
      </c>
    </row>
    <row r="6708" spans="10:10" ht="35.450000000000003" hidden="1" customHeight="1">
      <c r="J6708" s="28">
        <f>IFERROR(VLOOKUP(TEXT(B6708,"0"),STOCK!A:H,7,0),1)</f>
        <v>1</v>
      </c>
    </row>
    <row r="6709" spans="10:10" ht="35.450000000000003" hidden="1" customHeight="1">
      <c r="J6709" s="28">
        <f>IFERROR(VLOOKUP(TEXT(B6709,"0"),STOCK!A:H,7,0),1)</f>
        <v>1</v>
      </c>
    </row>
    <row r="6710" spans="10:10" ht="35.450000000000003" hidden="1" customHeight="1">
      <c r="J6710" s="28">
        <f>IFERROR(VLOOKUP(TEXT(B6710,"0"),STOCK!A:H,7,0),1)</f>
        <v>1</v>
      </c>
    </row>
    <row r="6711" spans="10:10" ht="35.450000000000003" hidden="1" customHeight="1">
      <c r="J6711" s="28">
        <f>IFERROR(VLOOKUP(TEXT(B6711,"0"),STOCK!A:H,7,0),1)</f>
        <v>1</v>
      </c>
    </row>
    <row r="6712" spans="10:10" ht="35.450000000000003" hidden="1" customHeight="1">
      <c r="J6712" s="28">
        <f>IFERROR(VLOOKUP(TEXT(B6712,"0"),STOCK!A:H,7,0),1)</f>
        <v>1</v>
      </c>
    </row>
    <row r="6713" spans="10:10" ht="35.450000000000003" hidden="1" customHeight="1">
      <c r="J6713" s="28">
        <f>IFERROR(VLOOKUP(TEXT(B6713,"0"),STOCK!A:H,7,0),1)</f>
        <v>1</v>
      </c>
    </row>
    <row r="6714" spans="10:10" ht="35.450000000000003" hidden="1" customHeight="1">
      <c r="J6714" s="28">
        <f>IFERROR(VLOOKUP(TEXT(B6714,"0"),STOCK!A:H,7,0),1)</f>
        <v>1</v>
      </c>
    </row>
    <row r="6715" spans="10:10" ht="35.450000000000003" hidden="1" customHeight="1">
      <c r="J6715" s="28">
        <f>IFERROR(VLOOKUP(TEXT(B6715,"0"),STOCK!A:H,7,0),1)</f>
        <v>1</v>
      </c>
    </row>
    <row r="6716" spans="10:10" ht="35.450000000000003" hidden="1" customHeight="1">
      <c r="J6716" s="28">
        <f>IFERROR(VLOOKUP(TEXT(B6716,"0"),STOCK!A:H,7,0),1)</f>
        <v>1</v>
      </c>
    </row>
    <row r="6717" spans="10:10" ht="35.450000000000003" hidden="1" customHeight="1">
      <c r="J6717" s="28">
        <f>IFERROR(VLOOKUP(TEXT(B6717,"0"),STOCK!A:H,7,0),1)</f>
        <v>1</v>
      </c>
    </row>
    <row r="6718" spans="10:10" ht="35.450000000000003" hidden="1" customHeight="1">
      <c r="J6718" s="28">
        <f>IFERROR(VLOOKUP(TEXT(B6718,"0"),STOCK!A:H,7,0),1)</f>
        <v>1</v>
      </c>
    </row>
    <row r="6719" spans="10:10" ht="35.450000000000003" hidden="1" customHeight="1">
      <c r="J6719" s="28">
        <f>IFERROR(VLOOKUP(TEXT(B6719,"0"),STOCK!A:H,7,0),1)</f>
        <v>1</v>
      </c>
    </row>
    <row r="6720" spans="10:10" ht="35.450000000000003" hidden="1" customHeight="1">
      <c r="J6720" s="28">
        <f>IFERROR(VLOOKUP(TEXT(B6720,"0"),STOCK!A:H,7,0),1)</f>
        <v>1</v>
      </c>
    </row>
    <row r="6721" spans="10:10" ht="35.450000000000003" hidden="1" customHeight="1">
      <c r="J6721" s="28">
        <f>IFERROR(VLOOKUP(TEXT(B6721,"0"),STOCK!A:H,7,0),1)</f>
        <v>1</v>
      </c>
    </row>
    <row r="6722" spans="10:10" ht="35.450000000000003" hidden="1" customHeight="1">
      <c r="J6722" s="28">
        <f>IFERROR(VLOOKUP(TEXT(B6722,"0"),STOCK!A:H,7,0),1)</f>
        <v>1</v>
      </c>
    </row>
    <row r="6723" spans="10:10" ht="35.450000000000003" hidden="1" customHeight="1">
      <c r="J6723" s="28">
        <f>IFERROR(VLOOKUP(TEXT(B6723,"0"),STOCK!A:H,7,0),1)</f>
        <v>1</v>
      </c>
    </row>
    <row r="6724" spans="10:10" ht="35.450000000000003" hidden="1" customHeight="1">
      <c r="J6724" s="28">
        <f>IFERROR(VLOOKUP(TEXT(B6724,"0"),STOCK!A:H,7,0),1)</f>
        <v>1</v>
      </c>
    </row>
    <row r="6725" spans="10:10" ht="35.450000000000003" hidden="1" customHeight="1">
      <c r="J6725" s="28">
        <f>IFERROR(VLOOKUP(TEXT(B6725,"0"),STOCK!A:H,7,0),1)</f>
        <v>1</v>
      </c>
    </row>
    <row r="6726" spans="10:10" ht="35.450000000000003" hidden="1" customHeight="1">
      <c r="J6726" s="28">
        <f>IFERROR(VLOOKUP(TEXT(B6726,"0"),STOCK!A:H,7,0),1)</f>
        <v>1</v>
      </c>
    </row>
    <row r="6727" spans="10:10" ht="35.450000000000003" hidden="1" customHeight="1">
      <c r="J6727" s="28">
        <f>IFERROR(VLOOKUP(TEXT(B6727,"0"),STOCK!A:H,7,0),1)</f>
        <v>1</v>
      </c>
    </row>
    <row r="6728" spans="10:10" ht="35.450000000000003" hidden="1" customHeight="1">
      <c r="J6728" s="28">
        <f>IFERROR(VLOOKUP(TEXT(B6728,"0"),STOCK!A:H,7,0),1)</f>
        <v>1</v>
      </c>
    </row>
    <row r="6729" spans="10:10" ht="35.450000000000003" hidden="1" customHeight="1">
      <c r="J6729" s="28">
        <f>IFERROR(VLOOKUP(TEXT(B6729,"0"),STOCK!A:H,7,0),1)</f>
        <v>1</v>
      </c>
    </row>
    <row r="6730" spans="10:10" ht="35.450000000000003" hidden="1" customHeight="1">
      <c r="J6730" s="28">
        <f>IFERROR(VLOOKUP(TEXT(B6730,"0"),STOCK!A:H,7,0),1)</f>
        <v>1</v>
      </c>
    </row>
    <row r="6731" spans="10:10" ht="35.450000000000003" hidden="1" customHeight="1">
      <c r="J6731" s="28">
        <f>IFERROR(VLOOKUP(TEXT(B6731,"0"),STOCK!A:H,7,0),1)</f>
        <v>1</v>
      </c>
    </row>
    <row r="6732" spans="10:10" ht="35.450000000000003" hidden="1" customHeight="1">
      <c r="J6732" s="28">
        <f>IFERROR(VLOOKUP(TEXT(B6732,"0"),STOCK!A:H,7,0),1)</f>
        <v>1</v>
      </c>
    </row>
    <row r="6733" spans="10:10" ht="35.450000000000003" hidden="1" customHeight="1">
      <c r="J6733" s="28">
        <f>IFERROR(VLOOKUP(TEXT(B6733,"0"),STOCK!A:H,7,0),1)</f>
        <v>1</v>
      </c>
    </row>
    <row r="6734" spans="10:10" ht="35.450000000000003" hidden="1" customHeight="1">
      <c r="J6734" s="28">
        <f>IFERROR(VLOOKUP(TEXT(B6734,"0"),STOCK!A:H,7,0),1)</f>
        <v>1</v>
      </c>
    </row>
    <row r="6735" spans="10:10" ht="35.450000000000003" hidden="1" customHeight="1">
      <c r="J6735" s="28">
        <f>IFERROR(VLOOKUP(TEXT(B6735,"0"),STOCK!A:H,7,0),1)</f>
        <v>1</v>
      </c>
    </row>
    <row r="6736" spans="10:10" ht="35.450000000000003" hidden="1" customHeight="1">
      <c r="J6736" s="28">
        <f>IFERROR(VLOOKUP(TEXT(B6736,"0"),STOCK!A:H,7,0),1)</f>
        <v>1</v>
      </c>
    </row>
    <row r="6737" spans="10:10" ht="35.450000000000003" hidden="1" customHeight="1">
      <c r="J6737" s="28">
        <f>IFERROR(VLOOKUP(TEXT(B6737,"0"),STOCK!A:H,7,0),1)</f>
        <v>1</v>
      </c>
    </row>
    <row r="6738" spans="10:10" ht="35.450000000000003" hidden="1" customHeight="1">
      <c r="J6738" s="28">
        <f>IFERROR(VLOOKUP(TEXT(B6738,"0"),STOCK!A:H,7,0),1)</f>
        <v>1</v>
      </c>
    </row>
    <row r="6739" spans="10:10" ht="35.450000000000003" hidden="1" customHeight="1">
      <c r="J6739" s="28">
        <f>IFERROR(VLOOKUP(TEXT(B6739,"0"),STOCK!A:H,7,0),1)</f>
        <v>1</v>
      </c>
    </row>
    <row r="6740" spans="10:10" ht="35.450000000000003" hidden="1" customHeight="1">
      <c r="J6740" s="28">
        <f>IFERROR(VLOOKUP(TEXT(B6740,"0"),STOCK!A:H,7,0),1)</f>
        <v>1</v>
      </c>
    </row>
    <row r="6741" spans="10:10" ht="35.450000000000003" hidden="1" customHeight="1">
      <c r="J6741" s="28">
        <f>IFERROR(VLOOKUP(TEXT(B6741,"0"),STOCK!A:H,7,0),1)</f>
        <v>1</v>
      </c>
    </row>
    <row r="6742" spans="10:10" ht="35.450000000000003" hidden="1" customHeight="1">
      <c r="J6742" s="28">
        <f>IFERROR(VLOOKUP(TEXT(B6742,"0"),STOCK!A:H,7,0),1)</f>
        <v>1</v>
      </c>
    </row>
    <row r="6743" spans="10:10" ht="35.450000000000003" hidden="1" customHeight="1">
      <c r="J6743" s="28">
        <f>IFERROR(VLOOKUP(TEXT(B6743,"0"),STOCK!A:H,7,0),1)</f>
        <v>1</v>
      </c>
    </row>
    <row r="6744" spans="10:10" ht="35.450000000000003" hidden="1" customHeight="1">
      <c r="J6744" s="28">
        <f>IFERROR(VLOOKUP(TEXT(B6744,"0"),STOCK!A:H,7,0),1)</f>
        <v>1</v>
      </c>
    </row>
    <row r="6745" spans="10:10" ht="35.450000000000003" hidden="1" customHeight="1">
      <c r="J6745" s="28">
        <f>IFERROR(VLOOKUP(TEXT(B6745,"0"),STOCK!A:H,7,0),1)</f>
        <v>1</v>
      </c>
    </row>
    <row r="6746" spans="10:10" ht="35.450000000000003" hidden="1" customHeight="1">
      <c r="J6746" s="28">
        <f>IFERROR(VLOOKUP(TEXT(B6746,"0"),STOCK!A:H,7,0),1)</f>
        <v>1</v>
      </c>
    </row>
    <row r="6747" spans="10:10" ht="35.450000000000003" hidden="1" customHeight="1">
      <c r="J6747" s="28">
        <f>IFERROR(VLOOKUP(TEXT(B6747,"0"),STOCK!A:H,7,0),1)</f>
        <v>1</v>
      </c>
    </row>
    <row r="6748" spans="10:10" ht="35.450000000000003" hidden="1" customHeight="1">
      <c r="J6748" s="28">
        <f>IFERROR(VLOOKUP(TEXT(B6748,"0"),STOCK!A:H,7,0),1)</f>
        <v>1</v>
      </c>
    </row>
    <row r="6749" spans="10:10" ht="35.450000000000003" hidden="1" customHeight="1">
      <c r="J6749" s="28">
        <f>IFERROR(VLOOKUP(TEXT(B6749,"0"),STOCK!A:H,7,0),1)</f>
        <v>1</v>
      </c>
    </row>
    <row r="6750" spans="10:10" ht="35.450000000000003" hidden="1" customHeight="1">
      <c r="J6750" s="28">
        <f>IFERROR(VLOOKUP(TEXT(B6750,"0"),STOCK!A:H,7,0),1)</f>
        <v>1</v>
      </c>
    </row>
    <row r="6751" spans="10:10" ht="35.450000000000003" hidden="1" customHeight="1">
      <c r="J6751" s="28">
        <f>IFERROR(VLOOKUP(TEXT(B6751,"0"),STOCK!A:H,7,0),1)</f>
        <v>1</v>
      </c>
    </row>
    <row r="6752" spans="10:10" ht="35.450000000000003" hidden="1" customHeight="1">
      <c r="J6752" s="28">
        <f>IFERROR(VLOOKUP(TEXT(B6752,"0"),STOCK!A:H,7,0),1)</f>
        <v>1</v>
      </c>
    </row>
    <row r="6753" spans="10:10" ht="35.450000000000003" hidden="1" customHeight="1">
      <c r="J6753" s="28">
        <f>IFERROR(VLOOKUP(TEXT(B6753,"0"),STOCK!A:H,7,0),1)</f>
        <v>1</v>
      </c>
    </row>
    <row r="6754" spans="10:10" ht="35.450000000000003" hidden="1" customHeight="1">
      <c r="J6754" s="28">
        <f>IFERROR(VLOOKUP(TEXT(B6754,"0"),STOCK!A:H,7,0),1)</f>
        <v>1</v>
      </c>
    </row>
    <row r="6755" spans="10:10" ht="35.450000000000003" hidden="1" customHeight="1">
      <c r="J6755" s="28">
        <f>IFERROR(VLOOKUP(TEXT(B6755,"0"),STOCK!A:H,7,0),1)</f>
        <v>1</v>
      </c>
    </row>
    <row r="6756" spans="10:10" ht="35.450000000000003" hidden="1" customHeight="1">
      <c r="J6756" s="28">
        <f>IFERROR(VLOOKUP(TEXT(B6756,"0"),STOCK!A:H,7,0),1)</f>
        <v>1</v>
      </c>
    </row>
    <row r="6757" spans="10:10" ht="35.450000000000003" hidden="1" customHeight="1">
      <c r="J6757" s="28">
        <f>IFERROR(VLOOKUP(TEXT(B6757,"0"),STOCK!A:H,7,0),1)</f>
        <v>1</v>
      </c>
    </row>
    <row r="6758" spans="10:10" ht="35.450000000000003" hidden="1" customHeight="1">
      <c r="J6758" s="28">
        <f>IFERROR(VLOOKUP(TEXT(B6758,"0"),STOCK!A:H,7,0),1)</f>
        <v>1</v>
      </c>
    </row>
    <row r="6759" spans="10:10" ht="35.450000000000003" hidden="1" customHeight="1">
      <c r="J6759" s="28">
        <f>IFERROR(VLOOKUP(TEXT(B6759,"0"),STOCK!A:H,7,0),1)</f>
        <v>1</v>
      </c>
    </row>
    <row r="6760" spans="10:10" ht="35.450000000000003" hidden="1" customHeight="1">
      <c r="J6760" s="28">
        <f>IFERROR(VLOOKUP(TEXT(B6760,"0"),STOCK!A:H,7,0),1)</f>
        <v>1</v>
      </c>
    </row>
    <row r="6761" spans="10:10" ht="35.450000000000003" hidden="1" customHeight="1">
      <c r="J6761" s="28">
        <f>IFERROR(VLOOKUP(TEXT(B6761,"0"),STOCK!A:H,7,0),1)</f>
        <v>1</v>
      </c>
    </row>
    <row r="6762" spans="10:10" ht="35.450000000000003" hidden="1" customHeight="1">
      <c r="J6762" s="28">
        <f>IFERROR(VLOOKUP(TEXT(B6762,"0"),STOCK!A:H,7,0),1)</f>
        <v>1</v>
      </c>
    </row>
    <row r="6763" spans="10:10" ht="35.450000000000003" hidden="1" customHeight="1">
      <c r="J6763" s="28">
        <f>IFERROR(VLOOKUP(TEXT(B6763,"0"),STOCK!A:H,7,0),1)</f>
        <v>1</v>
      </c>
    </row>
    <row r="6764" spans="10:10" ht="35.450000000000003" hidden="1" customHeight="1">
      <c r="J6764" s="28">
        <f>IFERROR(VLOOKUP(TEXT(B6764,"0"),STOCK!A:H,7,0),1)</f>
        <v>1</v>
      </c>
    </row>
    <row r="6765" spans="10:10" ht="35.450000000000003" hidden="1" customHeight="1">
      <c r="J6765" s="28">
        <f>IFERROR(VLOOKUP(TEXT(B6765,"0"),STOCK!A:H,7,0),1)</f>
        <v>1</v>
      </c>
    </row>
    <row r="6766" spans="10:10" ht="35.450000000000003" hidden="1" customHeight="1">
      <c r="J6766" s="28">
        <f>IFERROR(VLOOKUP(TEXT(B6766,"0"),STOCK!A:H,7,0),1)</f>
        <v>1</v>
      </c>
    </row>
    <row r="6767" spans="10:10" ht="35.450000000000003" hidden="1" customHeight="1">
      <c r="J6767" s="28">
        <f>IFERROR(VLOOKUP(TEXT(B6767,"0"),STOCK!A:H,7,0),1)</f>
        <v>1</v>
      </c>
    </row>
    <row r="6768" spans="10:10" ht="35.450000000000003" hidden="1" customHeight="1">
      <c r="J6768" s="28">
        <f>IFERROR(VLOOKUP(TEXT(B6768,"0"),STOCK!A:H,7,0),1)</f>
        <v>1</v>
      </c>
    </row>
    <row r="6769" spans="10:10" ht="35.450000000000003" hidden="1" customHeight="1">
      <c r="J6769" s="28">
        <f>IFERROR(VLOOKUP(TEXT(B6769,"0"),STOCK!A:H,7,0),1)</f>
        <v>1</v>
      </c>
    </row>
    <row r="6770" spans="10:10" ht="35.450000000000003" hidden="1" customHeight="1">
      <c r="J6770" s="28">
        <f>IFERROR(VLOOKUP(TEXT(B6770,"0"),STOCK!A:H,7,0),1)</f>
        <v>1</v>
      </c>
    </row>
    <row r="6771" spans="10:10" ht="35.450000000000003" hidden="1" customHeight="1">
      <c r="J6771" s="28">
        <f>IFERROR(VLOOKUP(TEXT(B6771,"0"),STOCK!A:H,7,0),1)</f>
        <v>1</v>
      </c>
    </row>
    <row r="6772" spans="10:10" ht="35.450000000000003" hidden="1" customHeight="1">
      <c r="J6772" s="28">
        <f>IFERROR(VLOOKUP(TEXT(B6772,"0"),STOCK!A:H,7,0),1)</f>
        <v>1</v>
      </c>
    </row>
    <row r="6773" spans="10:10" ht="35.450000000000003" hidden="1" customHeight="1">
      <c r="J6773" s="28">
        <f>IFERROR(VLOOKUP(TEXT(B6773,"0"),STOCK!A:H,7,0),1)</f>
        <v>1</v>
      </c>
    </row>
    <row r="6774" spans="10:10" ht="35.450000000000003" hidden="1" customHeight="1">
      <c r="J6774" s="28">
        <f>IFERROR(VLOOKUP(TEXT(B6774,"0"),STOCK!A:H,7,0),1)</f>
        <v>1</v>
      </c>
    </row>
    <row r="6775" spans="10:10" ht="35.450000000000003" hidden="1" customHeight="1">
      <c r="J6775" s="28">
        <f>IFERROR(VLOOKUP(TEXT(B6775,"0"),STOCK!A:H,7,0),1)</f>
        <v>1</v>
      </c>
    </row>
    <row r="6776" spans="10:10" ht="35.450000000000003" hidden="1" customHeight="1">
      <c r="J6776" s="28">
        <f>IFERROR(VLOOKUP(TEXT(B6776,"0"),STOCK!A:H,7,0),1)</f>
        <v>1</v>
      </c>
    </row>
    <row r="6777" spans="10:10" ht="35.450000000000003" hidden="1" customHeight="1">
      <c r="J6777" s="28">
        <f>IFERROR(VLOOKUP(TEXT(B6777,"0"),STOCK!A:H,7,0),1)</f>
        <v>1</v>
      </c>
    </row>
    <row r="6778" spans="10:10" ht="35.450000000000003" hidden="1" customHeight="1">
      <c r="J6778" s="28">
        <f>IFERROR(VLOOKUP(TEXT(B6778,"0"),STOCK!A:H,7,0),1)</f>
        <v>1</v>
      </c>
    </row>
    <row r="6779" spans="10:10" ht="35.450000000000003" hidden="1" customHeight="1">
      <c r="J6779" s="28">
        <f>IFERROR(VLOOKUP(TEXT(B6779,"0"),STOCK!A:H,7,0),1)</f>
        <v>1</v>
      </c>
    </row>
    <row r="6780" spans="10:10" ht="35.450000000000003" hidden="1" customHeight="1">
      <c r="J6780" s="28">
        <f>IFERROR(VLOOKUP(TEXT(B6780,"0"),STOCK!A:H,7,0),1)</f>
        <v>1</v>
      </c>
    </row>
    <row r="6781" spans="10:10" ht="35.450000000000003" hidden="1" customHeight="1">
      <c r="J6781" s="28">
        <f>IFERROR(VLOOKUP(TEXT(B6781,"0"),STOCK!A:H,7,0),1)</f>
        <v>1</v>
      </c>
    </row>
    <row r="6782" spans="10:10" ht="35.450000000000003" hidden="1" customHeight="1">
      <c r="J6782" s="28">
        <f>IFERROR(VLOOKUP(TEXT(B6782,"0"),STOCK!A:H,7,0),1)</f>
        <v>1</v>
      </c>
    </row>
    <row r="6783" spans="10:10" ht="35.450000000000003" hidden="1" customHeight="1">
      <c r="J6783" s="28">
        <f>IFERROR(VLOOKUP(TEXT(B6783,"0"),STOCK!A:H,7,0),1)</f>
        <v>1</v>
      </c>
    </row>
    <row r="6784" spans="10:10" ht="35.450000000000003" hidden="1" customHeight="1">
      <c r="J6784" s="28">
        <f>IFERROR(VLOOKUP(TEXT(B6784,"0"),STOCK!A:H,7,0),1)</f>
        <v>1</v>
      </c>
    </row>
    <row r="6785" spans="10:10" ht="35.450000000000003" hidden="1" customHeight="1">
      <c r="J6785" s="28">
        <f>IFERROR(VLOOKUP(TEXT(B6785,"0"),STOCK!A:H,7,0),1)</f>
        <v>1</v>
      </c>
    </row>
    <row r="6786" spans="10:10" ht="35.450000000000003" hidden="1" customHeight="1">
      <c r="J6786" s="28">
        <f>IFERROR(VLOOKUP(TEXT(B6786,"0"),STOCK!A:H,7,0),1)</f>
        <v>1</v>
      </c>
    </row>
    <row r="6787" spans="10:10" ht="35.450000000000003" hidden="1" customHeight="1">
      <c r="J6787" s="28">
        <f>IFERROR(VLOOKUP(TEXT(B6787,"0"),STOCK!A:H,7,0),1)</f>
        <v>1</v>
      </c>
    </row>
    <row r="6788" spans="10:10" ht="35.450000000000003" hidden="1" customHeight="1">
      <c r="J6788" s="28">
        <f>IFERROR(VLOOKUP(TEXT(B6788,"0"),STOCK!A:H,7,0),1)</f>
        <v>1</v>
      </c>
    </row>
    <row r="6789" spans="10:10" ht="35.450000000000003" hidden="1" customHeight="1">
      <c r="J6789" s="28">
        <f>IFERROR(VLOOKUP(TEXT(B6789,"0"),STOCK!A:H,7,0),1)</f>
        <v>1</v>
      </c>
    </row>
    <row r="6790" spans="10:10" ht="35.450000000000003" hidden="1" customHeight="1">
      <c r="J6790" s="28">
        <f>IFERROR(VLOOKUP(TEXT(B6790,"0"),STOCK!A:H,7,0),1)</f>
        <v>1</v>
      </c>
    </row>
    <row r="6791" spans="10:10" ht="35.450000000000003" hidden="1" customHeight="1">
      <c r="J6791" s="28">
        <f>IFERROR(VLOOKUP(TEXT(B6791,"0"),STOCK!A:H,7,0),1)</f>
        <v>1</v>
      </c>
    </row>
    <row r="6792" spans="10:10" ht="35.450000000000003" hidden="1" customHeight="1">
      <c r="J6792" s="28">
        <f>IFERROR(VLOOKUP(TEXT(B6792,"0"),STOCK!A:H,7,0),1)</f>
        <v>1</v>
      </c>
    </row>
    <row r="6793" spans="10:10" ht="35.450000000000003" hidden="1" customHeight="1">
      <c r="J6793" s="28">
        <f>IFERROR(VLOOKUP(TEXT(B6793,"0"),STOCK!A:H,7,0),1)</f>
        <v>1</v>
      </c>
    </row>
    <row r="6794" spans="10:10" ht="35.450000000000003" hidden="1" customHeight="1">
      <c r="J6794" s="28">
        <f>IFERROR(VLOOKUP(TEXT(B6794,"0"),STOCK!A:H,7,0),1)</f>
        <v>1</v>
      </c>
    </row>
    <row r="6795" spans="10:10" ht="35.450000000000003" hidden="1" customHeight="1">
      <c r="J6795" s="28">
        <f>IFERROR(VLOOKUP(TEXT(B6795,"0"),STOCK!A:H,7,0),1)</f>
        <v>1</v>
      </c>
    </row>
    <row r="6796" spans="10:10" ht="35.450000000000003" hidden="1" customHeight="1">
      <c r="J6796" s="28">
        <f>IFERROR(VLOOKUP(TEXT(B6796,"0"),STOCK!A:H,7,0),1)</f>
        <v>1</v>
      </c>
    </row>
    <row r="6797" spans="10:10" ht="35.450000000000003" hidden="1" customHeight="1">
      <c r="J6797" s="28">
        <f>IFERROR(VLOOKUP(TEXT(B6797,"0"),STOCK!A:H,7,0),1)</f>
        <v>1</v>
      </c>
    </row>
    <row r="6798" spans="10:10" ht="35.450000000000003" hidden="1" customHeight="1">
      <c r="J6798" s="28">
        <f>IFERROR(VLOOKUP(TEXT(B6798,"0"),STOCK!A:H,7,0),1)</f>
        <v>1</v>
      </c>
    </row>
    <row r="6799" spans="10:10" ht="35.450000000000003" hidden="1" customHeight="1">
      <c r="J6799" s="28">
        <f>IFERROR(VLOOKUP(TEXT(B6799,"0"),STOCK!A:H,7,0),1)</f>
        <v>1</v>
      </c>
    </row>
    <row r="6800" spans="10:10" ht="35.450000000000003" hidden="1" customHeight="1">
      <c r="J6800" s="28">
        <f>IFERROR(VLOOKUP(TEXT(B6800,"0"),STOCK!A:H,7,0),1)</f>
        <v>1</v>
      </c>
    </row>
    <row r="6801" spans="10:10" ht="35.450000000000003" hidden="1" customHeight="1">
      <c r="J6801" s="28">
        <f>IFERROR(VLOOKUP(TEXT(B6801,"0"),STOCK!A:H,7,0),1)</f>
        <v>1</v>
      </c>
    </row>
    <row r="6802" spans="10:10" ht="35.450000000000003" hidden="1" customHeight="1">
      <c r="J6802" s="28">
        <f>IFERROR(VLOOKUP(TEXT(B6802,"0"),STOCK!A:H,7,0),1)</f>
        <v>1</v>
      </c>
    </row>
    <row r="6803" spans="10:10" ht="35.450000000000003" hidden="1" customHeight="1">
      <c r="J6803" s="28">
        <f>IFERROR(VLOOKUP(TEXT(B6803,"0"),STOCK!A:H,7,0),1)</f>
        <v>1</v>
      </c>
    </row>
    <row r="6804" spans="10:10" ht="35.450000000000003" hidden="1" customHeight="1">
      <c r="J6804" s="28">
        <f>IFERROR(VLOOKUP(TEXT(B6804,"0"),STOCK!A:H,7,0),1)</f>
        <v>1</v>
      </c>
    </row>
    <row r="6805" spans="10:10" ht="35.450000000000003" hidden="1" customHeight="1">
      <c r="J6805" s="28">
        <f>IFERROR(VLOOKUP(TEXT(B6805,"0"),STOCK!A:H,7,0),1)</f>
        <v>1</v>
      </c>
    </row>
    <row r="6806" spans="10:10" ht="35.450000000000003" hidden="1" customHeight="1">
      <c r="J6806" s="28">
        <f>IFERROR(VLOOKUP(TEXT(B6806,"0"),STOCK!A:H,7,0),1)</f>
        <v>1</v>
      </c>
    </row>
    <row r="6807" spans="10:10" ht="35.450000000000003" hidden="1" customHeight="1">
      <c r="J6807" s="28">
        <f>IFERROR(VLOOKUP(TEXT(B6807,"0"),STOCK!A:H,7,0),1)</f>
        <v>1</v>
      </c>
    </row>
    <row r="6808" spans="10:10" ht="35.450000000000003" hidden="1" customHeight="1">
      <c r="J6808" s="28">
        <f>IFERROR(VLOOKUP(TEXT(B6808,"0"),STOCK!A:H,7,0),1)</f>
        <v>1</v>
      </c>
    </row>
    <row r="6809" spans="10:10" ht="35.450000000000003" hidden="1" customHeight="1">
      <c r="J6809" s="28">
        <f>IFERROR(VLOOKUP(TEXT(B6809,"0"),STOCK!A:H,7,0),1)</f>
        <v>1</v>
      </c>
    </row>
    <row r="6810" spans="10:10" ht="35.450000000000003" hidden="1" customHeight="1">
      <c r="J6810" s="28">
        <f>IFERROR(VLOOKUP(TEXT(B6810,"0"),STOCK!A:H,7,0),1)</f>
        <v>1</v>
      </c>
    </row>
    <row r="6811" spans="10:10" ht="35.450000000000003" hidden="1" customHeight="1">
      <c r="J6811" s="28">
        <f>IFERROR(VLOOKUP(TEXT(B6811,"0"),STOCK!A:H,7,0),1)</f>
        <v>1</v>
      </c>
    </row>
    <row r="6812" spans="10:10" ht="35.450000000000003" hidden="1" customHeight="1">
      <c r="J6812" s="28">
        <f>IFERROR(VLOOKUP(TEXT(B6812,"0"),STOCK!A:H,7,0),1)</f>
        <v>1</v>
      </c>
    </row>
    <row r="6813" spans="10:10" ht="35.450000000000003" hidden="1" customHeight="1">
      <c r="J6813" s="28">
        <f>IFERROR(VLOOKUP(TEXT(B6813,"0"),STOCK!A:H,7,0),1)</f>
        <v>1</v>
      </c>
    </row>
    <row r="6814" spans="10:10" ht="35.450000000000003" hidden="1" customHeight="1">
      <c r="J6814" s="28">
        <f>IFERROR(VLOOKUP(TEXT(B6814,"0"),STOCK!A:H,7,0),1)</f>
        <v>1</v>
      </c>
    </row>
    <row r="6815" spans="10:10" ht="35.450000000000003" hidden="1" customHeight="1">
      <c r="J6815" s="28">
        <f>IFERROR(VLOOKUP(TEXT(B6815,"0"),STOCK!A:H,7,0),1)</f>
        <v>1</v>
      </c>
    </row>
    <row r="6816" spans="10:10" ht="35.450000000000003" hidden="1" customHeight="1">
      <c r="J6816" s="28">
        <f>IFERROR(VLOOKUP(TEXT(B6816,"0"),STOCK!A:H,7,0),1)</f>
        <v>1</v>
      </c>
    </row>
    <row r="6817" spans="10:10" ht="35.450000000000003" hidden="1" customHeight="1">
      <c r="J6817" s="28">
        <f>IFERROR(VLOOKUP(TEXT(B6817,"0"),STOCK!A:H,7,0),1)</f>
        <v>1</v>
      </c>
    </row>
    <row r="6818" spans="10:10" ht="35.450000000000003" hidden="1" customHeight="1">
      <c r="J6818" s="28">
        <f>IFERROR(VLOOKUP(TEXT(B6818,"0"),STOCK!A:H,7,0),1)</f>
        <v>1</v>
      </c>
    </row>
    <row r="6819" spans="10:10" ht="35.450000000000003" hidden="1" customHeight="1">
      <c r="J6819" s="28">
        <f>IFERROR(VLOOKUP(TEXT(B6819,"0"),STOCK!A:H,7,0),1)</f>
        <v>1</v>
      </c>
    </row>
    <row r="6820" spans="10:10" ht="35.450000000000003" hidden="1" customHeight="1">
      <c r="J6820" s="28">
        <f>IFERROR(VLOOKUP(TEXT(B6820,"0"),STOCK!A:H,7,0),1)</f>
        <v>1</v>
      </c>
    </row>
    <row r="6821" spans="10:10" ht="35.450000000000003" hidden="1" customHeight="1">
      <c r="J6821" s="28">
        <f>IFERROR(VLOOKUP(TEXT(B6821,"0"),STOCK!A:H,7,0),1)</f>
        <v>1</v>
      </c>
    </row>
    <row r="6822" spans="10:10" ht="35.450000000000003" hidden="1" customHeight="1">
      <c r="J6822" s="28">
        <f>IFERROR(VLOOKUP(TEXT(B6822,"0"),STOCK!A:H,7,0),1)</f>
        <v>1</v>
      </c>
    </row>
    <row r="6823" spans="10:10" ht="35.450000000000003" hidden="1" customHeight="1">
      <c r="J6823" s="28">
        <f>IFERROR(VLOOKUP(TEXT(B6823,"0"),STOCK!A:H,7,0),1)</f>
        <v>1</v>
      </c>
    </row>
    <row r="6824" spans="10:10" ht="35.450000000000003" hidden="1" customHeight="1">
      <c r="J6824" s="28">
        <f>IFERROR(VLOOKUP(TEXT(B6824,"0"),STOCK!A:H,7,0),1)</f>
        <v>1</v>
      </c>
    </row>
    <row r="6825" spans="10:10" ht="35.450000000000003" hidden="1" customHeight="1">
      <c r="J6825" s="28">
        <f>IFERROR(VLOOKUP(TEXT(B6825,"0"),STOCK!A:H,7,0),1)</f>
        <v>1</v>
      </c>
    </row>
    <row r="6826" spans="10:10" ht="35.450000000000003" hidden="1" customHeight="1">
      <c r="J6826" s="28">
        <f>IFERROR(VLOOKUP(TEXT(B6826,"0"),STOCK!A:H,7,0),1)</f>
        <v>1</v>
      </c>
    </row>
    <row r="6827" spans="10:10" ht="35.450000000000003" hidden="1" customHeight="1">
      <c r="J6827" s="28">
        <f>IFERROR(VLOOKUP(TEXT(B6827,"0"),STOCK!A:H,7,0),1)</f>
        <v>1</v>
      </c>
    </row>
    <row r="6828" spans="10:10" ht="35.450000000000003" hidden="1" customHeight="1">
      <c r="J6828" s="28">
        <f>IFERROR(VLOOKUP(TEXT(B6828,"0"),STOCK!A:H,7,0),1)</f>
        <v>1</v>
      </c>
    </row>
    <row r="6829" spans="10:10" ht="35.450000000000003" hidden="1" customHeight="1">
      <c r="J6829" s="28">
        <f>IFERROR(VLOOKUP(TEXT(B6829,"0"),STOCK!A:H,7,0),1)</f>
        <v>1</v>
      </c>
    </row>
    <row r="6830" spans="10:10" ht="35.450000000000003" hidden="1" customHeight="1">
      <c r="J6830" s="28">
        <f>IFERROR(VLOOKUP(TEXT(B6830,"0"),STOCK!A:H,7,0),1)</f>
        <v>1</v>
      </c>
    </row>
    <row r="6831" spans="10:10" ht="35.450000000000003" hidden="1" customHeight="1">
      <c r="J6831" s="28">
        <f>IFERROR(VLOOKUP(TEXT(B6831,"0"),STOCK!A:H,7,0),1)</f>
        <v>1</v>
      </c>
    </row>
    <row r="6832" spans="10:10" ht="35.450000000000003" hidden="1" customHeight="1">
      <c r="J6832" s="28">
        <f>IFERROR(VLOOKUP(TEXT(B6832,"0"),STOCK!A:H,7,0),1)</f>
        <v>1</v>
      </c>
    </row>
    <row r="6833" spans="10:10" ht="35.450000000000003" hidden="1" customHeight="1">
      <c r="J6833" s="28">
        <f>IFERROR(VLOOKUP(TEXT(B6833,"0"),STOCK!A:H,7,0),1)</f>
        <v>1</v>
      </c>
    </row>
    <row r="6834" spans="10:10" ht="35.450000000000003" hidden="1" customHeight="1">
      <c r="J6834" s="28">
        <f>IFERROR(VLOOKUP(TEXT(B6834,"0"),STOCK!A:H,7,0),1)</f>
        <v>1</v>
      </c>
    </row>
    <row r="6835" spans="10:10" ht="35.450000000000003" hidden="1" customHeight="1">
      <c r="J6835" s="28">
        <f>IFERROR(VLOOKUP(TEXT(B6835,"0"),STOCK!A:H,7,0),1)</f>
        <v>1</v>
      </c>
    </row>
    <row r="6836" spans="10:10" ht="35.450000000000003" hidden="1" customHeight="1">
      <c r="J6836" s="28">
        <f>IFERROR(VLOOKUP(TEXT(B6836,"0"),STOCK!A:H,7,0),1)</f>
        <v>1</v>
      </c>
    </row>
    <row r="6837" spans="10:10" ht="35.450000000000003" hidden="1" customHeight="1">
      <c r="J6837" s="28">
        <f>IFERROR(VLOOKUP(TEXT(B6837,"0"),STOCK!A:H,7,0),1)</f>
        <v>1</v>
      </c>
    </row>
    <row r="6838" spans="10:10" ht="35.450000000000003" hidden="1" customHeight="1">
      <c r="J6838" s="28">
        <f>IFERROR(VLOOKUP(TEXT(B6838,"0"),STOCK!A:H,7,0),1)</f>
        <v>1</v>
      </c>
    </row>
    <row r="6839" spans="10:10" ht="35.450000000000003" hidden="1" customHeight="1">
      <c r="J6839" s="28">
        <f>IFERROR(VLOOKUP(TEXT(B6839,"0"),STOCK!A:H,7,0),1)</f>
        <v>1</v>
      </c>
    </row>
    <row r="6840" spans="10:10" ht="35.450000000000003" hidden="1" customHeight="1">
      <c r="J6840" s="28">
        <f>IFERROR(VLOOKUP(TEXT(B6840,"0"),STOCK!A:H,7,0),1)</f>
        <v>1</v>
      </c>
    </row>
    <row r="6841" spans="10:10" ht="35.450000000000003" hidden="1" customHeight="1">
      <c r="J6841" s="28">
        <f>IFERROR(VLOOKUP(TEXT(B6841,"0"),STOCK!A:H,7,0),1)</f>
        <v>1</v>
      </c>
    </row>
    <row r="6842" spans="10:10" ht="35.450000000000003" hidden="1" customHeight="1">
      <c r="J6842" s="28">
        <f>IFERROR(VLOOKUP(TEXT(B6842,"0"),STOCK!A:H,7,0),1)</f>
        <v>1</v>
      </c>
    </row>
    <row r="6843" spans="10:10" ht="35.450000000000003" hidden="1" customHeight="1">
      <c r="J6843" s="28">
        <f>IFERROR(VLOOKUP(TEXT(B6843,"0"),STOCK!A:H,7,0),1)</f>
        <v>1</v>
      </c>
    </row>
    <row r="6844" spans="10:10" ht="35.450000000000003" hidden="1" customHeight="1">
      <c r="J6844" s="28">
        <f>IFERROR(VLOOKUP(TEXT(B6844,"0"),STOCK!A:H,7,0),1)</f>
        <v>1</v>
      </c>
    </row>
    <row r="6845" spans="10:10" ht="35.450000000000003" hidden="1" customHeight="1">
      <c r="J6845" s="28">
        <f>IFERROR(VLOOKUP(TEXT(B6845,"0"),STOCK!A:H,7,0),1)</f>
        <v>1</v>
      </c>
    </row>
    <row r="6846" spans="10:10" ht="35.450000000000003" hidden="1" customHeight="1">
      <c r="J6846" s="28">
        <f>IFERROR(VLOOKUP(TEXT(B6846,"0"),STOCK!A:H,7,0),1)</f>
        <v>1</v>
      </c>
    </row>
    <row r="6847" spans="10:10" ht="35.450000000000003" hidden="1" customHeight="1">
      <c r="J6847" s="28">
        <f>IFERROR(VLOOKUP(TEXT(B6847,"0"),STOCK!A:H,7,0),1)</f>
        <v>1</v>
      </c>
    </row>
    <row r="6848" spans="10:10" ht="35.450000000000003" hidden="1" customHeight="1">
      <c r="J6848" s="28">
        <f>IFERROR(VLOOKUP(TEXT(B6848,"0"),STOCK!A:H,7,0),1)</f>
        <v>1</v>
      </c>
    </row>
    <row r="6849" spans="10:10" ht="35.450000000000003" hidden="1" customHeight="1">
      <c r="J6849" s="28">
        <f>IFERROR(VLOOKUP(TEXT(B6849,"0"),STOCK!A:H,7,0),1)</f>
        <v>1</v>
      </c>
    </row>
    <row r="6850" spans="10:10" ht="35.450000000000003" hidden="1" customHeight="1">
      <c r="J6850" s="28">
        <f>IFERROR(VLOOKUP(TEXT(B6850,"0"),STOCK!A:H,7,0),1)</f>
        <v>1</v>
      </c>
    </row>
    <row r="6851" spans="10:10" ht="35.450000000000003" hidden="1" customHeight="1">
      <c r="J6851" s="28">
        <f>IFERROR(VLOOKUP(TEXT(B6851,"0"),STOCK!A:H,7,0),1)</f>
        <v>1</v>
      </c>
    </row>
    <row r="6852" spans="10:10" ht="35.450000000000003" hidden="1" customHeight="1">
      <c r="J6852" s="28">
        <f>IFERROR(VLOOKUP(TEXT(B6852,"0"),STOCK!A:H,7,0),1)</f>
        <v>1</v>
      </c>
    </row>
    <row r="6853" spans="10:10" ht="35.450000000000003" hidden="1" customHeight="1">
      <c r="J6853" s="28">
        <f>IFERROR(VLOOKUP(TEXT(B6853,"0"),STOCK!A:H,7,0),1)</f>
        <v>1</v>
      </c>
    </row>
    <row r="6854" spans="10:10" ht="35.450000000000003" hidden="1" customHeight="1">
      <c r="J6854" s="28">
        <f>IFERROR(VLOOKUP(TEXT(B6854,"0"),STOCK!A:H,7,0),1)</f>
        <v>1</v>
      </c>
    </row>
    <row r="6855" spans="10:10" ht="35.450000000000003" hidden="1" customHeight="1">
      <c r="J6855" s="28">
        <f>IFERROR(VLOOKUP(TEXT(B6855,"0"),STOCK!A:H,7,0),1)</f>
        <v>1</v>
      </c>
    </row>
    <row r="6856" spans="10:10" ht="35.450000000000003" hidden="1" customHeight="1">
      <c r="J6856" s="28">
        <f>IFERROR(VLOOKUP(TEXT(B6856,"0"),STOCK!A:H,7,0),1)</f>
        <v>1</v>
      </c>
    </row>
    <row r="6857" spans="10:10" ht="35.450000000000003" hidden="1" customHeight="1">
      <c r="J6857" s="28">
        <f>IFERROR(VLOOKUP(TEXT(B6857,"0"),STOCK!A:H,7,0),1)</f>
        <v>1</v>
      </c>
    </row>
    <row r="6858" spans="10:10" ht="35.450000000000003" hidden="1" customHeight="1">
      <c r="J6858" s="28">
        <f>IFERROR(VLOOKUP(TEXT(B6858,"0"),STOCK!A:H,7,0),1)</f>
        <v>1</v>
      </c>
    </row>
    <row r="6859" spans="10:10" ht="35.450000000000003" hidden="1" customHeight="1">
      <c r="J6859" s="28">
        <f>IFERROR(VLOOKUP(TEXT(B6859,"0"),STOCK!A:H,7,0),1)</f>
        <v>1</v>
      </c>
    </row>
    <row r="6860" spans="10:10" ht="35.450000000000003" hidden="1" customHeight="1">
      <c r="J6860" s="28">
        <f>IFERROR(VLOOKUP(TEXT(B6860,"0"),STOCK!A:H,7,0),1)</f>
        <v>1</v>
      </c>
    </row>
    <row r="6861" spans="10:10" ht="35.450000000000003" hidden="1" customHeight="1">
      <c r="J6861" s="28">
        <f>IFERROR(VLOOKUP(TEXT(B6861,"0"),STOCK!A:H,7,0),1)</f>
        <v>1</v>
      </c>
    </row>
    <row r="6862" spans="10:10" ht="35.450000000000003" hidden="1" customHeight="1">
      <c r="J6862" s="28">
        <f>IFERROR(VLOOKUP(TEXT(B6862,"0"),STOCK!A:H,7,0),1)</f>
        <v>1</v>
      </c>
    </row>
    <row r="6863" spans="10:10" ht="35.450000000000003" hidden="1" customHeight="1">
      <c r="J6863" s="28">
        <f>IFERROR(VLOOKUP(TEXT(B6863,"0"),STOCK!A:H,7,0),1)</f>
        <v>1</v>
      </c>
    </row>
    <row r="6864" spans="10:10" ht="35.450000000000003" hidden="1" customHeight="1">
      <c r="J6864" s="28">
        <f>IFERROR(VLOOKUP(TEXT(B6864,"0"),STOCK!A:H,7,0),1)</f>
        <v>1</v>
      </c>
    </row>
    <row r="6865" spans="10:10" ht="35.450000000000003" hidden="1" customHeight="1">
      <c r="J6865" s="28">
        <f>IFERROR(VLOOKUP(TEXT(B6865,"0"),STOCK!A:H,7,0),1)</f>
        <v>1</v>
      </c>
    </row>
    <row r="6866" spans="10:10" ht="35.450000000000003" hidden="1" customHeight="1">
      <c r="J6866" s="28">
        <f>IFERROR(VLOOKUP(TEXT(B6866,"0"),STOCK!A:H,7,0),1)</f>
        <v>1</v>
      </c>
    </row>
    <row r="6867" spans="10:10" ht="35.450000000000003" hidden="1" customHeight="1">
      <c r="J6867" s="28">
        <f>IFERROR(VLOOKUP(TEXT(B6867,"0"),STOCK!A:H,7,0),1)</f>
        <v>1</v>
      </c>
    </row>
    <row r="6868" spans="10:10" ht="35.450000000000003" hidden="1" customHeight="1">
      <c r="J6868" s="28">
        <f>IFERROR(VLOOKUP(TEXT(B6868,"0"),STOCK!A:H,7,0),1)</f>
        <v>1</v>
      </c>
    </row>
    <row r="6869" spans="10:10" ht="35.450000000000003" hidden="1" customHeight="1">
      <c r="J6869" s="28">
        <f>IFERROR(VLOOKUP(TEXT(B6869,"0"),STOCK!A:H,7,0),1)</f>
        <v>1</v>
      </c>
    </row>
    <row r="6870" spans="10:10" ht="35.450000000000003" hidden="1" customHeight="1">
      <c r="J6870" s="28">
        <f>IFERROR(VLOOKUP(TEXT(B6870,"0"),STOCK!A:H,7,0),1)</f>
        <v>1</v>
      </c>
    </row>
    <row r="6871" spans="10:10" ht="35.450000000000003" hidden="1" customHeight="1">
      <c r="J6871" s="28">
        <f>IFERROR(VLOOKUP(TEXT(B6871,"0"),STOCK!A:H,7,0),1)</f>
        <v>1</v>
      </c>
    </row>
    <row r="6872" spans="10:10" ht="35.450000000000003" hidden="1" customHeight="1">
      <c r="J6872" s="28">
        <f>IFERROR(VLOOKUP(TEXT(B6872,"0"),STOCK!A:H,7,0),1)</f>
        <v>1</v>
      </c>
    </row>
    <row r="6873" spans="10:10" ht="35.450000000000003" hidden="1" customHeight="1">
      <c r="J6873" s="28">
        <f>IFERROR(VLOOKUP(TEXT(B6873,"0"),STOCK!A:H,7,0),1)</f>
        <v>1</v>
      </c>
    </row>
    <row r="6874" spans="10:10" ht="35.450000000000003" hidden="1" customHeight="1">
      <c r="J6874" s="28">
        <f>IFERROR(VLOOKUP(TEXT(B6874,"0"),STOCK!A:H,7,0),1)</f>
        <v>1</v>
      </c>
    </row>
    <row r="6875" spans="10:10" ht="35.450000000000003" hidden="1" customHeight="1">
      <c r="J6875" s="28">
        <f>IFERROR(VLOOKUP(TEXT(B6875,"0"),STOCK!A:H,7,0),1)</f>
        <v>1</v>
      </c>
    </row>
    <row r="6876" spans="10:10" ht="35.450000000000003" hidden="1" customHeight="1">
      <c r="J6876" s="28">
        <f>IFERROR(VLOOKUP(TEXT(B6876,"0"),STOCK!A:H,7,0),1)</f>
        <v>1</v>
      </c>
    </row>
    <row r="6877" spans="10:10" ht="35.450000000000003" hidden="1" customHeight="1">
      <c r="J6877" s="28">
        <f>IFERROR(VLOOKUP(TEXT(B6877,"0"),STOCK!A:H,7,0),1)</f>
        <v>1</v>
      </c>
    </row>
    <row r="6878" spans="10:10" ht="35.450000000000003" hidden="1" customHeight="1">
      <c r="J6878" s="28">
        <f>IFERROR(VLOOKUP(TEXT(B6878,"0"),STOCK!A:H,7,0),1)</f>
        <v>1</v>
      </c>
    </row>
    <row r="6879" spans="10:10" ht="35.450000000000003" hidden="1" customHeight="1">
      <c r="J6879" s="28">
        <f>IFERROR(VLOOKUP(TEXT(B6879,"0"),STOCK!A:H,7,0),1)</f>
        <v>1</v>
      </c>
    </row>
    <row r="6880" spans="10:10" ht="35.450000000000003" hidden="1" customHeight="1">
      <c r="J6880" s="28">
        <f>IFERROR(VLOOKUP(TEXT(B6880,"0"),STOCK!A:H,7,0),1)</f>
        <v>1</v>
      </c>
    </row>
    <row r="6881" spans="10:10" ht="35.450000000000003" hidden="1" customHeight="1">
      <c r="J6881" s="28">
        <f>IFERROR(VLOOKUP(TEXT(B6881,"0"),STOCK!A:H,7,0),1)</f>
        <v>1</v>
      </c>
    </row>
    <row r="6882" spans="10:10" ht="35.450000000000003" hidden="1" customHeight="1">
      <c r="J6882" s="28">
        <f>IFERROR(VLOOKUP(TEXT(B6882,"0"),STOCK!A:H,7,0),1)</f>
        <v>1</v>
      </c>
    </row>
    <row r="6883" spans="10:10" ht="35.450000000000003" hidden="1" customHeight="1">
      <c r="J6883" s="28">
        <f>IFERROR(VLOOKUP(TEXT(B6883,"0"),STOCK!A:H,7,0),1)</f>
        <v>1</v>
      </c>
    </row>
    <row r="6884" spans="10:10" ht="35.450000000000003" hidden="1" customHeight="1">
      <c r="J6884" s="28">
        <f>IFERROR(VLOOKUP(TEXT(B6884,"0"),STOCK!A:H,7,0),1)</f>
        <v>1</v>
      </c>
    </row>
    <row r="6885" spans="10:10" ht="35.450000000000003" hidden="1" customHeight="1">
      <c r="J6885" s="28">
        <f>IFERROR(VLOOKUP(TEXT(B6885,"0"),STOCK!A:H,7,0),1)</f>
        <v>1</v>
      </c>
    </row>
    <row r="6886" spans="10:10" ht="35.450000000000003" hidden="1" customHeight="1">
      <c r="J6886" s="28">
        <f>IFERROR(VLOOKUP(TEXT(B6886,"0"),STOCK!A:H,7,0),1)</f>
        <v>1</v>
      </c>
    </row>
    <row r="6887" spans="10:10" ht="35.450000000000003" hidden="1" customHeight="1">
      <c r="J6887" s="28">
        <f>IFERROR(VLOOKUP(TEXT(B6887,"0"),STOCK!A:H,7,0),1)</f>
        <v>1</v>
      </c>
    </row>
    <row r="6888" spans="10:10" ht="35.450000000000003" hidden="1" customHeight="1">
      <c r="J6888" s="28">
        <f>IFERROR(VLOOKUP(TEXT(B6888,"0"),STOCK!A:H,7,0),1)</f>
        <v>1</v>
      </c>
    </row>
    <row r="6889" spans="10:10" ht="35.450000000000003" hidden="1" customHeight="1">
      <c r="J6889" s="28">
        <f>IFERROR(VLOOKUP(TEXT(B6889,"0"),STOCK!A:H,7,0),1)</f>
        <v>1</v>
      </c>
    </row>
    <row r="6890" spans="10:10" ht="35.450000000000003" hidden="1" customHeight="1">
      <c r="J6890" s="28">
        <f>IFERROR(VLOOKUP(TEXT(B6890,"0"),STOCK!A:H,7,0),1)</f>
        <v>1</v>
      </c>
    </row>
    <row r="6891" spans="10:10" ht="35.450000000000003" hidden="1" customHeight="1">
      <c r="J6891" s="28">
        <f>IFERROR(VLOOKUP(TEXT(B6891,"0"),STOCK!A:H,7,0),1)</f>
        <v>1</v>
      </c>
    </row>
    <row r="6892" spans="10:10" ht="35.450000000000003" hidden="1" customHeight="1">
      <c r="J6892" s="28">
        <f>IFERROR(VLOOKUP(TEXT(B6892,"0"),STOCK!A:H,7,0),1)</f>
        <v>1</v>
      </c>
    </row>
    <row r="6893" spans="10:10" ht="35.450000000000003" hidden="1" customHeight="1">
      <c r="J6893" s="28">
        <f>IFERROR(VLOOKUP(TEXT(B6893,"0"),STOCK!A:H,7,0),1)</f>
        <v>1</v>
      </c>
    </row>
    <row r="6894" spans="10:10" ht="35.450000000000003" hidden="1" customHeight="1">
      <c r="J6894" s="28">
        <f>IFERROR(VLOOKUP(TEXT(B6894,"0"),STOCK!A:H,7,0),1)</f>
        <v>1</v>
      </c>
    </row>
    <row r="6895" spans="10:10" ht="35.450000000000003" hidden="1" customHeight="1">
      <c r="J6895" s="28">
        <f>IFERROR(VLOOKUP(TEXT(B6895,"0"),STOCK!A:H,7,0),1)</f>
        <v>1</v>
      </c>
    </row>
    <row r="6896" spans="10:10" ht="35.450000000000003" hidden="1" customHeight="1">
      <c r="J6896" s="28">
        <f>IFERROR(VLOOKUP(TEXT(B6896,"0"),STOCK!A:H,7,0),1)</f>
        <v>1</v>
      </c>
    </row>
    <row r="6897" spans="10:10" ht="35.450000000000003" hidden="1" customHeight="1">
      <c r="J6897" s="28">
        <f>IFERROR(VLOOKUP(TEXT(B6897,"0"),STOCK!A:H,7,0),1)</f>
        <v>1</v>
      </c>
    </row>
    <row r="6898" spans="10:10" ht="35.450000000000003" hidden="1" customHeight="1">
      <c r="J6898" s="28">
        <f>IFERROR(VLOOKUP(TEXT(B6898,"0"),STOCK!A:H,7,0),1)</f>
        <v>1</v>
      </c>
    </row>
    <row r="6899" spans="10:10" ht="35.450000000000003" hidden="1" customHeight="1">
      <c r="J6899" s="28">
        <f>IFERROR(VLOOKUP(TEXT(B6899,"0"),STOCK!A:H,7,0),1)</f>
        <v>1</v>
      </c>
    </row>
    <row r="6900" spans="10:10" ht="35.450000000000003" hidden="1" customHeight="1">
      <c r="J6900" s="28">
        <f>IFERROR(VLOOKUP(TEXT(B6900,"0"),STOCK!A:H,7,0),1)</f>
        <v>1</v>
      </c>
    </row>
    <row r="6901" spans="10:10" ht="35.450000000000003" hidden="1" customHeight="1">
      <c r="J6901" s="28">
        <f>IFERROR(VLOOKUP(TEXT(B6901,"0"),STOCK!A:H,7,0),1)</f>
        <v>1</v>
      </c>
    </row>
    <row r="6902" spans="10:10" ht="35.450000000000003" hidden="1" customHeight="1">
      <c r="J6902" s="28">
        <f>IFERROR(VLOOKUP(TEXT(B6902,"0"),STOCK!A:H,7,0),1)</f>
        <v>1</v>
      </c>
    </row>
    <row r="6903" spans="10:10" ht="35.450000000000003" hidden="1" customHeight="1">
      <c r="J6903" s="28">
        <f>IFERROR(VLOOKUP(TEXT(B6903,"0"),STOCK!A:H,7,0),1)</f>
        <v>1</v>
      </c>
    </row>
    <row r="6904" spans="10:10" ht="35.450000000000003" hidden="1" customHeight="1">
      <c r="J6904" s="28">
        <f>IFERROR(VLOOKUP(TEXT(B6904,"0"),STOCK!A:H,7,0),1)</f>
        <v>1</v>
      </c>
    </row>
    <row r="6905" spans="10:10" ht="35.450000000000003" hidden="1" customHeight="1">
      <c r="J6905" s="28">
        <f>IFERROR(VLOOKUP(TEXT(B6905,"0"),STOCK!A:H,7,0),1)</f>
        <v>1</v>
      </c>
    </row>
    <row r="6906" spans="10:10" ht="35.450000000000003" hidden="1" customHeight="1">
      <c r="J6906" s="28">
        <f>IFERROR(VLOOKUP(TEXT(B6906,"0"),STOCK!A:H,7,0),1)</f>
        <v>1</v>
      </c>
    </row>
    <row r="6907" spans="10:10" ht="35.450000000000003" hidden="1" customHeight="1">
      <c r="J6907" s="28">
        <f>IFERROR(VLOOKUP(TEXT(B6907,"0"),STOCK!A:H,7,0),1)</f>
        <v>1</v>
      </c>
    </row>
    <row r="6908" spans="10:10" ht="35.450000000000003" hidden="1" customHeight="1">
      <c r="J6908" s="28">
        <f>IFERROR(VLOOKUP(TEXT(B6908,"0"),STOCK!A:H,7,0),1)</f>
        <v>1</v>
      </c>
    </row>
    <row r="6909" spans="10:10" ht="35.450000000000003" hidden="1" customHeight="1">
      <c r="J6909" s="28">
        <f>IFERROR(VLOOKUP(TEXT(B6909,"0"),STOCK!A:H,7,0),1)</f>
        <v>1</v>
      </c>
    </row>
    <row r="6910" spans="10:10" ht="35.450000000000003" hidden="1" customHeight="1">
      <c r="J6910" s="28">
        <f>IFERROR(VLOOKUP(TEXT(B6910,"0"),STOCK!A:H,7,0),1)</f>
        <v>1</v>
      </c>
    </row>
    <row r="6911" spans="10:10" ht="35.450000000000003" hidden="1" customHeight="1">
      <c r="J6911" s="28">
        <f>IFERROR(VLOOKUP(TEXT(B6911,"0"),STOCK!A:H,7,0),1)</f>
        <v>1</v>
      </c>
    </row>
    <row r="6912" spans="10:10" ht="35.450000000000003" hidden="1" customHeight="1">
      <c r="J6912" s="28">
        <f>IFERROR(VLOOKUP(TEXT(B6912,"0"),STOCK!A:H,7,0),1)</f>
        <v>1</v>
      </c>
    </row>
    <row r="6913" spans="10:10" ht="35.450000000000003" hidden="1" customHeight="1">
      <c r="J6913" s="28">
        <f>IFERROR(VLOOKUP(TEXT(B6913,"0"),STOCK!A:H,7,0),1)</f>
        <v>1</v>
      </c>
    </row>
    <row r="6914" spans="10:10" ht="35.450000000000003" hidden="1" customHeight="1">
      <c r="J6914" s="28">
        <f>IFERROR(VLOOKUP(TEXT(B6914,"0"),STOCK!A:H,7,0),1)</f>
        <v>1</v>
      </c>
    </row>
    <row r="6915" spans="10:10" ht="35.450000000000003" hidden="1" customHeight="1">
      <c r="J6915" s="28">
        <f>IFERROR(VLOOKUP(TEXT(B6915,"0"),STOCK!A:H,7,0),1)</f>
        <v>1</v>
      </c>
    </row>
    <row r="6916" spans="10:10" ht="35.450000000000003" hidden="1" customHeight="1">
      <c r="J6916" s="28">
        <f>IFERROR(VLOOKUP(TEXT(B6916,"0"),STOCK!A:H,7,0),1)</f>
        <v>1</v>
      </c>
    </row>
    <row r="6917" spans="10:10" ht="35.450000000000003" hidden="1" customHeight="1">
      <c r="J6917" s="28">
        <f>IFERROR(VLOOKUP(TEXT(B6917,"0"),STOCK!A:H,7,0),1)</f>
        <v>1</v>
      </c>
    </row>
    <row r="6918" spans="10:10" ht="35.450000000000003" hidden="1" customHeight="1">
      <c r="J6918" s="28">
        <f>IFERROR(VLOOKUP(TEXT(B6918,"0"),STOCK!A:H,7,0),1)</f>
        <v>1</v>
      </c>
    </row>
    <row r="6919" spans="10:10" ht="35.450000000000003" hidden="1" customHeight="1">
      <c r="J6919" s="28">
        <f>IFERROR(VLOOKUP(TEXT(B6919,"0"),STOCK!A:H,7,0),1)</f>
        <v>1</v>
      </c>
    </row>
    <row r="6920" spans="10:10" ht="35.450000000000003" hidden="1" customHeight="1">
      <c r="J6920" s="28">
        <f>IFERROR(VLOOKUP(TEXT(B6920,"0"),STOCK!A:H,7,0),1)</f>
        <v>1</v>
      </c>
    </row>
    <row r="6921" spans="10:10" ht="35.450000000000003" hidden="1" customHeight="1">
      <c r="J6921" s="28">
        <f>IFERROR(VLOOKUP(TEXT(B6921,"0"),STOCK!A:H,7,0),1)</f>
        <v>1</v>
      </c>
    </row>
    <row r="6922" spans="10:10" ht="35.450000000000003" hidden="1" customHeight="1">
      <c r="J6922" s="28">
        <f>IFERROR(VLOOKUP(TEXT(B6922,"0"),STOCK!A:H,7,0),1)</f>
        <v>1</v>
      </c>
    </row>
    <row r="6923" spans="10:10" ht="35.450000000000003" hidden="1" customHeight="1">
      <c r="J6923" s="28">
        <f>IFERROR(VLOOKUP(TEXT(B6923,"0"),STOCK!A:H,7,0),1)</f>
        <v>1</v>
      </c>
    </row>
    <row r="6924" spans="10:10" ht="35.450000000000003" hidden="1" customHeight="1">
      <c r="J6924" s="28">
        <f>IFERROR(VLOOKUP(TEXT(B6924,"0"),STOCK!A:H,7,0),1)</f>
        <v>1</v>
      </c>
    </row>
    <row r="6925" spans="10:10" ht="35.450000000000003" hidden="1" customHeight="1">
      <c r="J6925" s="28">
        <f>IFERROR(VLOOKUP(TEXT(B6925,"0"),STOCK!A:H,7,0),1)</f>
        <v>1</v>
      </c>
    </row>
    <row r="6926" spans="10:10" ht="35.450000000000003" hidden="1" customHeight="1">
      <c r="J6926" s="28">
        <f>IFERROR(VLOOKUP(TEXT(B6926,"0"),STOCK!A:H,7,0),1)</f>
        <v>1</v>
      </c>
    </row>
    <row r="6927" spans="10:10" ht="35.450000000000003" hidden="1" customHeight="1">
      <c r="J6927" s="28">
        <f>IFERROR(VLOOKUP(TEXT(B6927,"0"),STOCK!A:H,7,0),1)</f>
        <v>1</v>
      </c>
    </row>
    <row r="6928" spans="10:10" ht="35.450000000000003" hidden="1" customHeight="1"/>
    <row r="6929" ht="2.4500000000000002" customHeight="1"/>
  </sheetData>
  <mergeCells count="5">
    <mergeCell ref="D8:E8"/>
    <mergeCell ref="D9:E9"/>
    <mergeCell ref="D10:E10"/>
    <mergeCell ref="D11:E11"/>
    <mergeCell ref="E41:F41"/>
  </mergeCells>
  <pageMargins left="0.25" right="0.25" top="0.75" bottom="0.75" header="0.3" footer="0.3"/>
  <pageSetup scale="86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7CE4-769C-45B0-AA03-8745820DBD59}">
  <sheetPr codeName="STOCK">
    <pageSetUpPr fitToPage="1"/>
  </sheetPr>
  <dimension ref="A1:K3"/>
  <sheetViews>
    <sheetView showGridLines="0" zoomScale="85" zoomScaleNormal="85" workbookViewId="0">
      <pane ySplit="1" topLeftCell="A2" activePane="bottomLeft" state="frozen"/>
      <selection pane="bottomLeft" activeCell="K3" sqref="K3"/>
    </sheetView>
  </sheetViews>
  <sheetFormatPr baseColWidth="10" defaultColWidth="0" defaultRowHeight="17.25"/>
  <cols>
    <col min="1" max="1" width="16" style="25" customWidth="1"/>
    <col min="2" max="2" width="63.42578125" style="26" customWidth="1"/>
    <col min="3" max="3" width="26.7109375" style="26" bestFit="1" customWidth="1"/>
    <col min="4" max="4" width="18.42578125" style="119" customWidth="1"/>
    <col min="5" max="5" width="21.28515625" style="119" customWidth="1"/>
    <col min="6" max="6" width="23.7109375" style="119" customWidth="1"/>
    <col min="7" max="7" width="15.42578125" style="120" customWidth="1"/>
    <col min="8" max="8" width="17.5703125" style="119" customWidth="1"/>
    <col min="9" max="9" width="11.42578125" customWidth="1"/>
    <col min="10" max="10" width="14.42578125" style="24" bestFit="1" customWidth="1"/>
    <col min="11" max="11" width="5.7109375" style="56" customWidth="1"/>
    <col min="12" max="16384" width="4.7109375" style="24" hidden="1"/>
  </cols>
  <sheetData>
    <row r="1" spans="1:11">
      <c r="A1" s="121" t="s">
        <v>0</v>
      </c>
      <c r="B1" s="122" t="s">
        <v>1</v>
      </c>
      <c r="C1" s="122" t="s">
        <v>5</v>
      </c>
      <c r="D1" s="124" t="s">
        <v>33</v>
      </c>
      <c r="E1" s="124" t="s">
        <v>32</v>
      </c>
      <c r="F1" s="124" t="s">
        <v>31</v>
      </c>
      <c r="G1" s="123" t="s">
        <v>7</v>
      </c>
      <c r="H1" s="123" t="s">
        <v>6</v>
      </c>
      <c r="I1" s="125">
        <f>SUMIF(INGRESOS!B:B,STOCK!A1,INGRESOS!D:D)+SUMIF(HISTORICO!B:B,STOCK!A1,HISTORICO!D:D)</f>
        <v>0</v>
      </c>
      <c r="J1" s="122" t="s">
        <v>39</v>
      </c>
      <c r="K1" s="126">
        <f>IF(AND(I1&gt;=J1,I1&gt;0),1,0)</f>
        <v>0</v>
      </c>
    </row>
    <row r="2" spans="1:11">
      <c r="A2" s="25" t="s">
        <v>104</v>
      </c>
      <c r="B2" s="26" t="s">
        <v>105</v>
      </c>
      <c r="C2" s="26" t="s">
        <v>106</v>
      </c>
      <c r="D2" s="119">
        <v>10</v>
      </c>
      <c r="E2" s="119">
        <v>0</v>
      </c>
      <c r="F2" s="119">
        <v>0</v>
      </c>
      <c r="G2" s="120">
        <v>1</v>
      </c>
      <c r="H2" s="119">
        <v>0</v>
      </c>
      <c r="I2">
        <f>SUMIF(INGRESOS!B:B,STOCK!A2,INGRESOS!D:D)+SUMIF(HISTORICO!B:B,STOCK!A2,HISTORICO!D:D)</f>
        <v>8</v>
      </c>
      <c r="J2" s="24">
        <v>10</v>
      </c>
      <c r="K2" s="56">
        <f>IF(AND(I2&gt;=J2,I2&gt;0),1,0)</f>
        <v>0</v>
      </c>
    </row>
    <row r="3" spans="1:11">
      <c r="A3" s="25" t="s">
        <v>107</v>
      </c>
      <c r="B3" s="26" t="s">
        <v>108</v>
      </c>
      <c r="C3" s="26" t="s">
        <v>106</v>
      </c>
      <c r="D3" s="119">
        <v>10</v>
      </c>
      <c r="E3" s="119">
        <v>0</v>
      </c>
      <c r="F3" s="119">
        <v>0</v>
      </c>
      <c r="G3" s="120">
        <v>1</v>
      </c>
      <c r="H3" s="119">
        <v>0</v>
      </c>
      <c r="I3">
        <f>SUMIF(INGRESOS!B:B,STOCK!A3,INGRESOS!D:D)+SUMIF(HISTORICO!B:B,STOCK!A3,HISTORICO!D:D)</f>
        <v>10</v>
      </c>
      <c r="J3" s="24">
        <v>10</v>
      </c>
      <c r="K3" s="56">
        <f>IF(AND(I3&gt;=J3,I3&gt;0),1,0)</f>
        <v>1</v>
      </c>
    </row>
  </sheetData>
  <phoneticPr fontId="3" type="noConversion"/>
  <conditionalFormatting sqref="A1:A1048576">
    <cfRule type="duplicateValues" dxfId="8" priority="929"/>
  </conditionalFormatting>
  <pageMargins left="0.25" right="0.25" top="0.75" bottom="0.75" header="0.3" footer="0.3"/>
  <pageSetup scale="5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D3708358-B52F-4F06-931C-6803BE97BF6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3Symbols" iconId="0"/>
              <x14:cfIcon iconSet="3Symbols" iconId="2"/>
            </x14:iconSet>
          </x14:cfRule>
          <xm:sqref>K1:K1048576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F975-9134-4813-9848-528DB34954FF}">
  <sheetPr codeName="HISTORICO"/>
  <dimension ref="A1:H2"/>
  <sheetViews>
    <sheetView showGridLines="0" workbookViewId="0">
      <pane ySplit="1" topLeftCell="A2" activePane="bottomLeft" state="frozen"/>
      <selection pane="bottomLeft"/>
    </sheetView>
  </sheetViews>
  <sheetFormatPr baseColWidth="10" defaultColWidth="0" defaultRowHeight="15"/>
  <cols>
    <col min="1" max="1" width="14.5703125" style="1" bestFit="1" customWidth="1"/>
    <col min="2" max="2" width="7.7109375" style="1" bestFit="1" customWidth="1"/>
    <col min="3" max="3" width="20.42578125" style="1" bestFit="1" customWidth="1"/>
    <col min="4" max="4" width="10.7109375" style="1" bestFit="1" customWidth="1"/>
    <col min="5" max="5" width="12.85546875" style="11" bestFit="1" customWidth="1"/>
    <col min="6" max="6" width="10.7109375" style="11" bestFit="1" customWidth="1"/>
    <col min="7" max="7" width="16.28515625" style="11" bestFit="1" customWidth="1"/>
    <col min="8" max="8" width="20.140625" style="18" bestFit="1" customWidth="1"/>
    <col min="9" max="16384" width="11.5703125" style="1" hidden="1"/>
  </cols>
  <sheetData>
    <row r="1" spans="1:8" ht="15.75" thickBot="1">
      <c r="A1" s="14" t="s">
        <v>3</v>
      </c>
      <c r="B1" s="15" t="s">
        <v>0</v>
      </c>
      <c r="C1" s="12" t="s">
        <v>1</v>
      </c>
      <c r="D1" s="12" t="s">
        <v>8</v>
      </c>
      <c r="E1" s="12" t="s">
        <v>9</v>
      </c>
      <c r="F1" s="12" t="s">
        <v>2</v>
      </c>
      <c r="G1" s="13" t="s">
        <v>10</v>
      </c>
      <c r="H1" s="17" t="s">
        <v>11</v>
      </c>
    </row>
    <row r="2" spans="1:8">
      <c r="A2" s="198">
        <v>46057.383599537039</v>
      </c>
      <c r="B2" s="1" t="s">
        <v>104</v>
      </c>
      <c r="C2" s="1" t="s">
        <v>105</v>
      </c>
      <c r="D2" s="1">
        <v>-2</v>
      </c>
      <c r="E2" s="11">
        <v>0</v>
      </c>
      <c r="F2" s="11">
        <v>0</v>
      </c>
      <c r="G2" s="11" t="s">
        <v>54</v>
      </c>
      <c r="H2" s="18" t="s">
        <v>114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C54-2BDD-4055-939A-BC6B367E4A80}">
  <sheetPr codeName="INGRESOS"/>
  <dimension ref="A1:I3"/>
  <sheetViews>
    <sheetView showGridLines="0" workbookViewId="0">
      <selection activeCell="H1" sqref="H1"/>
    </sheetView>
  </sheetViews>
  <sheetFormatPr baseColWidth="10" defaultColWidth="0" defaultRowHeight="15"/>
  <cols>
    <col min="1" max="1" width="17.42578125" style="1" customWidth="1"/>
    <col min="2" max="2" width="11.7109375" style="1" customWidth="1"/>
    <col min="3" max="3" width="44" customWidth="1"/>
    <col min="4" max="4" width="14" style="19" customWidth="1"/>
    <col min="5" max="5" width="18.7109375" style="16" customWidth="1"/>
    <col min="6" max="6" width="17.85546875" style="16" customWidth="1"/>
    <col min="7" max="7" width="20.7109375" customWidth="1"/>
    <col min="8" max="8" width="20.7109375" style="21" customWidth="1"/>
    <col min="9" max="9" width="11.5703125" style="21" customWidth="1"/>
    <col min="10" max="16384" width="11.5703125" hidden="1"/>
  </cols>
  <sheetData>
    <row r="1" spans="1:9" s="1" customFormat="1" ht="15.75" thickBot="1">
      <c r="A1" s="14" t="s">
        <v>3</v>
      </c>
      <c r="B1" s="15" t="s">
        <v>0</v>
      </c>
      <c r="C1" s="12" t="s">
        <v>1</v>
      </c>
      <c r="D1" s="12" t="s">
        <v>8</v>
      </c>
      <c r="E1" s="12" t="s">
        <v>12</v>
      </c>
      <c r="F1" s="12" t="s">
        <v>2</v>
      </c>
      <c r="G1" s="12" t="s">
        <v>5</v>
      </c>
      <c r="H1" s="20" t="s">
        <v>13</v>
      </c>
      <c r="I1" s="45">
        <v>2</v>
      </c>
    </row>
    <row r="2" spans="1:9">
      <c r="A2" s="198">
        <v>46057.380046296297</v>
      </c>
      <c r="B2" s="1" t="s">
        <v>104</v>
      </c>
      <c r="C2" t="s">
        <v>105</v>
      </c>
      <c r="D2" s="19">
        <v>10</v>
      </c>
      <c r="E2" s="16">
        <v>10</v>
      </c>
      <c r="F2" s="16">
        <v>100</v>
      </c>
      <c r="G2" t="s">
        <v>109</v>
      </c>
      <c r="H2" s="21">
        <v>2</v>
      </c>
    </row>
    <row r="3" spans="1:9">
      <c r="A3" s="198">
        <v>46057.380046296297</v>
      </c>
      <c r="B3" s="1" t="s">
        <v>107</v>
      </c>
      <c r="C3" t="s">
        <v>108</v>
      </c>
      <c r="D3" s="19">
        <v>10</v>
      </c>
      <c r="E3" s="16">
        <v>10</v>
      </c>
      <c r="F3" s="16">
        <v>100</v>
      </c>
      <c r="G3" t="s">
        <v>109</v>
      </c>
      <c r="H3" s="21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D1ACE-1B0E-4C36-B23D-8041FD263588}">
  <sheetPr codeName="CIERRE_CAJA"/>
  <dimension ref="A1:G21"/>
  <sheetViews>
    <sheetView showGridLines="0" workbookViewId="0">
      <selection activeCell="E18" sqref="E18:F20"/>
    </sheetView>
  </sheetViews>
  <sheetFormatPr baseColWidth="10" defaultColWidth="0" defaultRowHeight="15" zeroHeight="1"/>
  <cols>
    <col min="1" max="1" width="2.140625" customWidth="1"/>
    <col min="2" max="2" width="21.7109375" customWidth="1"/>
    <col min="3" max="3" width="22" customWidth="1"/>
    <col min="4" max="4" width="4" customWidth="1"/>
    <col min="5" max="5" width="21.5703125" customWidth="1"/>
    <col min="6" max="6" width="23" customWidth="1"/>
    <col min="7" max="7" width="1.7109375" customWidth="1"/>
    <col min="8" max="16384" width="11.5703125" hidden="1"/>
  </cols>
  <sheetData>
    <row r="1" spans="2:6"/>
    <row r="2" spans="2:6">
      <c r="B2" t="s">
        <v>57</v>
      </c>
      <c r="C2" t="str">
        <f>TITULO</f>
        <v>UNIVERSAL PC, SOCIEDAD ANÓNIMA</v>
      </c>
    </row>
    <row r="3" spans="2:6"/>
    <row r="4" spans="2:6">
      <c r="B4" s="182" t="s">
        <v>58</v>
      </c>
      <c r="C4" s="182"/>
    </row>
    <row r="5" spans="2:6">
      <c r="B5" s="183">
        <v>45604</v>
      </c>
      <c r="C5" s="184"/>
    </row>
    <row r="6" spans="2:6">
      <c r="B6" s="83"/>
      <c r="C6" s="1"/>
    </row>
    <row r="7" spans="2:6">
      <c r="B7" s="180" t="s">
        <v>59</v>
      </c>
      <c r="C7" s="180"/>
      <c r="E7" s="180" t="s">
        <v>62</v>
      </c>
      <c r="F7" s="180"/>
    </row>
    <row r="8" spans="2:6" ht="7.15" customHeight="1"/>
    <row r="9" spans="2:6" ht="18.600000000000001" customHeight="1">
      <c r="B9" t="s">
        <v>23</v>
      </c>
      <c r="C9" s="85">
        <f>SUMIFS('FACTURAS EMITIDAS'!D:D,'FACTURAS EMITIDAS'!A:A,FECHA_CIERRE,'FACTURAS EMITIDAS'!C:C,CIERRE_DE_CAJA!B9,'FACTURAS EMITIDAS'!D:D,"&gt;="&amp;0)</f>
        <v>0</v>
      </c>
      <c r="E9" t="s">
        <v>63</v>
      </c>
      <c r="F9" s="16">
        <f>SUMIF(B9:B15,"EFECTIVO",C9:C15)</f>
        <v>0</v>
      </c>
    </row>
    <row r="10" spans="2:6" ht="7.15" customHeight="1">
      <c r="C10" s="84"/>
    </row>
    <row r="11" spans="2:6" ht="18.600000000000001" customHeight="1">
      <c r="B11" t="s">
        <v>24</v>
      </c>
      <c r="C11" s="85">
        <f>SUMIFS('FACTURAS EMITIDAS'!D:D,'FACTURAS EMITIDAS'!A:A,FECHA_CIERRE,'FACTURAS EMITIDAS'!C:C,CIERRE_DE_CAJA!B11,'FACTURAS EMITIDAS'!D:D,"&gt;="&amp;0)</f>
        <v>0</v>
      </c>
      <c r="E11" t="s">
        <v>64</v>
      </c>
      <c r="F11" s="16">
        <f ca="1">SUMIF(RETIROS!C:C,RETIROS!A:A,FECHA_CIERRE)</f>
        <v>0</v>
      </c>
    </row>
    <row r="12" spans="2:6" ht="7.15" customHeight="1"/>
    <row r="13" spans="2:6" ht="18.600000000000001" customHeight="1">
      <c r="B13" t="s">
        <v>61</v>
      </c>
      <c r="C13" s="85">
        <f>SUMIFS('FACTURAS EMITIDAS'!D:D,'FACTURAS EMITIDAS'!A:A,FECHA_CIERRE,'FACTURAS EMITIDAS'!C:C,CIERRE_DE_CAJA!B13,'FACTURAS EMITIDAS'!D:D,"&gt;="&amp;0)</f>
        <v>0</v>
      </c>
      <c r="E13" t="s">
        <v>96</v>
      </c>
      <c r="F13" s="16">
        <f>SUMIFS('FACTURAS EMITIDAS'!D:D,'FACTURAS EMITIDAS'!A:A,FECHA_CIERRE,'FACTURAS EMITIDAS'!D:D,"&lt;"&amp;0)</f>
        <v>0</v>
      </c>
    </row>
    <row r="14" spans="2:6" ht="7.15" customHeight="1"/>
    <row r="15" spans="2:6" ht="20.45" customHeight="1">
      <c r="B15" t="s">
        <v>42</v>
      </c>
      <c r="C15" s="85">
        <f>SUMIFS('FACTURAS EMITIDAS'!D:D,'FACTURAS EMITIDAS'!A:A,FECHA_CIERRE,'FACTURAS EMITIDAS'!C:C,CIERRE_DE_CAJA!B15,'FACTURAS EMITIDAS'!D:D,"&gt;="&amp;0)</f>
        <v>0</v>
      </c>
      <c r="E15" t="s">
        <v>65</v>
      </c>
      <c r="F15" s="16">
        <f ca="1">F9-F11-DEVOLUCIONES_TOTAL</f>
        <v>0</v>
      </c>
    </row>
    <row r="16" spans="2:6"/>
    <row r="17" spans="2:6" ht="24" customHeight="1">
      <c r="B17" t="s">
        <v>60</v>
      </c>
      <c r="C17" s="86">
        <f>SUM(C9:C15)</f>
        <v>0</v>
      </c>
      <c r="E17" s="181" t="s">
        <v>66</v>
      </c>
      <c r="F17" s="181"/>
    </row>
    <row r="18" spans="2:6">
      <c r="E18" s="179" t="str">
        <f ca="1">IF(F15=0,"",IF(F15&gt;0.01,"EXISTE UN FALTANTE DE CAJA DE $ " &amp;F15,"EXISTE UN SOBRANTE DE CAJA DE $ " &amp;-F15))</f>
        <v/>
      </c>
      <c r="F18" s="179"/>
    </row>
    <row r="19" spans="2:6">
      <c r="E19" s="179"/>
      <c r="F19" s="179"/>
    </row>
    <row r="20" spans="2:6">
      <c r="E20" s="179"/>
      <c r="F20" s="179"/>
    </row>
    <row r="21" spans="2:6"/>
  </sheetData>
  <mergeCells count="6">
    <mergeCell ref="E18:F20"/>
    <mergeCell ref="B7:C7"/>
    <mergeCell ref="E7:F7"/>
    <mergeCell ref="E17:F17"/>
    <mergeCell ref="B4:C4"/>
    <mergeCell ref="B5:C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6FDA4-AE7A-49CF-A6E8-20375633A2AC}">
  <sheetPr codeName="FACT_EMIT"/>
  <dimension ref="A1:I6"/>
  <sheetViews>
    <sheetView showGridLines="0" workbookViewId="0">
      <selection activeCell="G1" sqref="G1"/>
    </sheetView>
  </sheetViews>
  <sheetFormatPr baseColWidth="10" defaultColWidth="0" defaultRowHeight="15"/>
  <cols>
    <col min="1" max="1" width="11.5703125" style="3" customWidth="1"/>
    <col min="2" max="2" width="20.140625" style="3" bestFit="1" customWidth="1"/>
    <col min="3" max="3" width="32.28515625" style="3" customWidth="1"/>
    <col min="4" max="4" width="15.28515625" style="8" customWidth="1"/>
    <col min="5" max="5" width="17.7109375" style="3" customWidth="1"/>
    <col min="6" max="6" width="2.28515625" customWidth="1"/>
    <col min="7" max="7" width="20.7109375" style="21" customWidth="1"/>
    <col min="8" max="8" width="18" customWidth="1"/>
    <col min="9" max="9" width="1.5703125" hidden="1" customWidth="1"/>
    <col min="10" max="16384" width="11.5703125" hidden="1"/>
  </cols>
  <sheetData>
    <row r="1" spans="1:8" ht="15.75" thickBot="1">
      <c r="A1" s="4" t="s">
        <v>3</v>
      </c>
      <c r="B1" s="5" t="s">
        <v>14</v>
      </c>
      <c r="C1" s="5" t="s">
        <v>25</v>
      </c>
      <c r="D1" s="6" t="s">
        <v>4</v>
      </c>
      <c r="E1" s="7" t="s">
        <v>10</v>
      </c>
      <c r="G1" s="20" t="str">
        <f>"00001-"&amp;TEXT(H1,"00000000")</f>
        <v>00001-00000002</v>
      </c>
      <c r="H1" s="27">
        <f>COUNTA(B:B)</f>
        <v>2</v>
      </c>
    </row>
    <row r="2" spans="1:8" ht="15.75" thickBot="1">
      <c r="A2" s="55">
        <v>46057</v>
      </c>
      <c r="B2" s="3" t="s">
        <v>113</v>
      </c>
      <c r="C2" s="3" t="s">
        <v>23</v>
      </c>
      <c r="D2" s="8">
        <v>0</v>
      </c>
      <c r="E2" s="3" t="s">
        <v>54</v>
      </c>
      <c r="G2" s="20" t="s">
        <v>98</v>
      </c>
      <c r="H2" s="20">
        <f>SUMIF(B:B,CONSULTA_FC,D:D)</f>
        <v>0</v>
      </c>
    </row>
    <row r="3" spans="1:8">
      <c r="A3" s="55"/>
    </row>
    <row r="4" spans="1:8">
      <c r="A4" s="55"/>
    </row>
    <row r="5" spans="1:8">
      <c r="A5" s="55"/>
    </row>
    <row r="6" spans="1:8">
      <c r="A6" s="5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B3D3-4290-42A3-AAF3-2C18442E8ACB}">
  <sheetPr codeName="CLIENTES"/>
  <dimension ref="A1:E2"/>
  <sheetViews>
    <sheetView showGridLines="0" zoomScale="85" zoomScaleNormal="85" workbookViewId="0">
      <selection activeCell="D2" sqref="D2"/>
    </sheetView>
  </sheetViews>
  <sheetFormatPr baseColWidth="10" defaultColWidth="0" defaultRowHeight="15"/>
  <cols>
    <col min="1" max="1" width="31.7109375" style="2" customWidth="1"/>
    <col min="2" max="2" width="27.28515625" style="2" customWidth="1"/>
    <col min="3" max="3" width="21.42578125" style="23" customWidth="1"/>
    <col min="4" max="4" width="24.7109375" style="16" customWidth="1"/>
    <col min="5" max="5" width="24.7109375" style="1" customWidth="1"/>
    <col min="6" max="16384" width="7" hidden="1"/>
  </cols>
  <sheetData>
    <row r="1" spans="1:5" ht="15.75" thickBot="1">
      <c r="A1" s="9" t="s">
        <v>15</v>
      </c>
      <c r="B1" s="10" t="s">
        <v>50</v>
      </c>
      <c r="C1" s="22" t="s">
        <v>19</v>
      </c>
      <c r="D1" s="57">
        <f>SUMIFS('FACTURAS EMITIDAS'!D:D,'FACTURAS EMITIDAS'!C:C,"CUENTA CORRIENTE",'FACTURAS EMITIDAS'!E:E,CLIENTES!A1)-SUMIF(PAGOS!B:B,CLIENTES!A1,PAGOS!C:C)</f>
        <v>0</v>
      </c>
      <c r="E1" s="63" t="s">
        <v>51</v>
      </c>
    </row>
    <row r="2" spans="1:5">
      <c r="A2" s="2" t="s">
        <v>110</v>
      </c>
      <c r="B2" s="2">
        <v>1111</v>
      </c>
      <c r="C2" s="23" t="s">
        <v>111</v>
      </c>
      <c r="D2" s="16">
        <f>SUMIFS('FACTURAS EMITIDAS'!D:D,'FACTURAS EMITIDAS'!C:C,"CUENTA CORRIENTE",'FACTURAS EMITIDAS'!E:E,CLIENTES!A2)-SUMIF(PAGOS!B:B,CLIENTES!A2,PAGOS!C:C)</f>
        <v>0</v>
      </c>
      <c r="E2" s="1" t="s">
        <v>112</v>
      </c>
    </row>
  </sheetData>
  <conditionalFormatting sqref="A1">
    <cfRule type="duplicateValues" dxfId="7" priority="6"/>
  </conditionalFormatting>
  <conditionalFormatting sqref="C1:E1">
    <cfRule type="duplicateValues" dxfId="6" priority="7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29ED0-5EC6-4234-95FD-86251C5CD725}">
  <sheetPr codeName="CIERRE_CAJA1"/>
  <dimension ref="A1:G21"/>
  <sheetViews>
    <sheetView showGridLines="0" topLeftCell="A5" workbookViewId="0">
      <selection activeCell="F15" sqref="F15"/>
    </sheetView>
  </sheetViews>
  <sheetFormatPr baseColWidth="10" defaultColWidth="0" defaultRowHeight="14.45" customHeight="1" zeroHeight="1"/>
  <cols>
    <col min="1" max="1" width="2.140625" customWidth="1"/>
    <col min="2" max="2" width="21.7109375" customWidth="1"/>
    <col min="3" max="3" width="22" customWidth="1"/>
    <col min="4" max="4" width="13.7109375" customWidth="1"/>
    <col min="5" max="5" width="21.5703125" customWidth="1"/>
    <col min="6" max="6" width="23" customWidth="1"/>
    <col min="7" max="7" width="1.7109375" customWidth="1"/>
    <col min="8" max="16384" width="11.5703125" hidden="1"/>
  </cols>
  <sheetData>
    <row r="1" spans="2:6" ht="15"/>
    <row r="2" spans="2:6" ht="15">
      <c r="B2" t="s">
        <v>57</v>
      </c>
      <c r="C2" t="s">
        <v>94</v>
      </c>
    </row>
    <row r="3" spans="2:6" ht="15"/>
    <row r="4" spans="2:6" ht="21.6" customHeight="1">
      <c r="B4" s="186" t="s">
        <v>58</v>
      </c>
      <c r="C4" s="186"/>
    </row>
    <row r="5" spans="2:6" ht="23.45" customHeight="1">
      <c r="B5" s="187">
        <v>45604</v>
      </c>
      <c r="C5" s="188"/>
    </row>
    <row r="6" spans="2:6" ht="15">
      <c r="B6" s="83"/>
      <c r="C6" s="1"/>
    </row>
    <row r="7" spans="2:6" ht="15">
      <c r="B7" s="189" t="s">
        <v>59</v>
      </c>
      <c r="C7" s="189"/>
      <c r="E7" s="189" t="s">
        <v>62</v>
      </c>
      <c r="F7" s="189"/>
    </row>
    <row r="8" spans="2:6" ht="7.15" customHeight="1"/>
    <row r="9" spans="2:6" ht="18.600000000000001" customHeight="1">
      <c r="B9" t="s">
        <v>23</v>
      </c>
      <c r="C9" s="157">
        <f>SUMIFS('FACTURAS EMITIDAS'!$D:$D,'FACTURAS EMITIDAS'!$A:$A,"="&amp;FECHA_CIERRE,'FACTURAS EMITIDAS'!$C:$C,"="&amp;B9,'FACTURAS EMITIDAS'!$D:$D,"&gt;"&amp;0)</f>
        <v>0</v>
      </c>
      <c r="E9" t="s">
        <v>63</v>
      </c>
      <c r="F9" s="158">
        <f>VENTAS_CIERRE</f>
        <v>0</v>
      </c>
    </row>
    <row r="10" spans="2:6" ht="7.15" customHeight="1">
      <c r="C10" s="84"/>
    </row>
    <row r="11" spans="2:6" ht="18.600000000000001" customHeight="1">
      <c r="B11" t="s">
        <v>24</v>
      </c>
      <c r="C11" s="157">
        <f>SUMIFS('FACTURAS EMITIDAS'!$D:$D,'FACTURAS EMITIDAS'!$A:$A,"="&amp;FECHA_CIERRE,'FACTURAS EMITIDAS'!$C:$C,"="&amp;B11,'FACTURAS EMITIDAS'!$D:$D,"&gt;"&amp;0)</f>
        <v>0</v>
      </c>
      <c r="E11" t="s">
        <v>64</v>
      </c>
      <c r="F11" s="158">
        <f>SUMIFS(RETIROS!C:C,RETIROS!A:A,CIERRE_CAJA!FECHA_CIERRE)</f>
        <v>0</v>
      </c>
    </row>
    <row r="12" spans="2:6" ht="7.15" customHeight="1"/>
    <row r="13" spans="2:6" ht="18.600000000000001" customHeight="1">
      <c r="B13" t="s">
        <v>61</v>
      </c>
      <c r="C13" s="157">
        <f>SUMIFS('FACTURAS EMITIDAS'!$D:$D,'FACTURAS EMITIDAS'!$A:$A,"="&amp;FECHA_CIERRE,'FACTURAS EMITIDAS'!$C:$C,"="&amp;B13,'FACTURAS EMITIDAS'!$D:$D,"&gt;"&amp;0)</f>
        <v>0</v>
      </c>
      <c r="E13" t="s">
        <v>96</v>
      </c>
      <c r="F13" s="158">
        <f>SUMIFS('FACTURAS EMITIDAS'!D:D,'FACTURAS EMITIDAS'!D:D,"&lt;"&amp;0,'FACTURAS EMITIDAS'!A:A,CIERRE_CAJA!FECHA_CIERRE,'FACTURAS EMITIDAS'!C:C,CIERRE_CAJA!B9)</f>
        <v>0</v>
      </c>
    </row>
    <row r="14" spans="2:6" ht="7.15" customHeight="1"/>
    <row r="15" spans="2:6" ht="20.45" customHeight="1">
      <c r="B15" t="s">
        <v>42</v>
      </c>
      <c r="C15" s="157">
        <f>SUMIFS('FACTURAS EMITIDAS'!$D:$D,'FACTURAS EMITIDAS'!$A:$A,"="&amp;FECHA_CIERRE,'FACTURAS EMITIDAS'!$C:$C,"="&amp;B15,'FACTURAS EMITIDAS'!$D:$D,"&gt;"&amp;0)</f>
        <v>0</v>
      </c>
      <c r="E15" t="s">
        <v>65</v>
      </c>
      <c r="F15" s="158">
        <f>DECLARADO-(VENTAS_EFECTIVO-DEVOLUCIONES_TOTAL)</f>
        <v>0</v>
      </c>
    </row>
    <row r="16" spans="2:6" ht="15"/>
    <row r="17" spans="2:6" ht="24" customHeight="1">
      <c r="B17" t="s">
        <v>60</v>
      </c>
      <c r="C17" s="159">
        <f>SUM(C9:C15)</f>
        <v>0</v>
      </c>
      <c r="E17" s="190" t="s">
        <v>66</v>
      </c>
      <c r="F17" s="190"/>
    </row>
    <row r="18" spans="2:6" s="3" customFormat="1" ht="76.900000000000006" customHeight="1">
      <c r="E18" s="185" t="str">
        <f>IF(F15&lt;0,"Faltante de "&amp;TEXT(F15,"#.##0,00"),IF(F15=0,"Cierre Sin Diferencias","Sobrante de "&amp;TEXT(F15,"#.##0,00")))</f>
        <v>Cierre Sin Diferencias</v>
      </c>
      <c r="F18" s="185"/>
    </row>
    <row r="19" spans="2:6" ht="2.4500000000000002" customHeight="1">
      <c r="E19" s="185"/>
      <c r="F19" s="185"/>
    </row>
    <row r="20" spans="2:6" ht="2.4500000000000002" customHeight="1">
      <c r="E20" s="185"/>
      <c r="F20" s="185"/>
    </row>
    <row r="21" spans="2:6" ht="2.4500000000000002" customHeight="1"/>
  </sheetData>
  <mergeCells count="6">
    <mergeCell ref="E18:F20"/>
    <mergeCell ref="B4:C4"/>
    <mergeCell ref="B5:C5"/>
    <mergeCell ref="B7:C7"/>
    <mergeCell ref="E7:F7"/>
    <mergeCell ref="E17:F17"/>
  </mergeCells>
  <pageMargins left="0.25" right="0.25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4612C-8BDD-4659-A625-9BF38EE2A7E7}">
  <sheetPr codeName="PAGOS"/>
  <dimension ref="A1:D1"/>
  <sheetViews>
    <sheetView showGridLines="0" workbookViewId="0"/>
  </sheetViews>
  <sheetFormatPr baseColWidth="10" defaultColWidth="0" defaultRowHeight="15"/>
  <cols>
    <col min="1" max="1" width="31.7109375" style="2" customWidth="1"/>
    <col min="2" max="2" width="27.28515625" style="2" customWidth="1"/>
    <col min="3" max="3" width="21.42578125" style="58" customWidth="1"/>
    <col min="4" max="4" width="0" hidden="1" customWidth="1"/>
    <col min="5" max="16384" width="11.5703125" hidden="1"/>
  </cols>
  <sheetData>
    <row r="1" spans="1:3" ht="15.75" thickBot="1">
      <c r="A1" s="9" t="s">
        <v>3</v>
      </c>
      <c r="B1" s="10" t="s">
        <v>10</v>
      </c>
      <c r="C1" s="57" t="s">
        <v>41</v>
      </c>
    </row>
  </sheetData>
  <conditionalFormatting sqref="A1">
    <cfRule type="duplicateValues" dxfId="5" priority="1"/>
  </conditionalFormatting>
  <conditionalFormatting sqref="C1">
    <cfRule type="duplicateValues" dxfId="4" priority="8"/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C92D0-F2A2-42D3-80E0-C18834AAA545}">
  <sheetPr codeName="Balanz">
    <tabColor rgb="FF92D050"/>
  </sheetPr>
  <dimension ref="A1:M40"/>
  <sheetViews>
    <sheetView showGridLines="0" topLeftCell="A3" workbookViewId="0">
      <selection activeCell="J26" sqref="J26"/>
    </sheetView>
  </sheetViews>
  <sheetFormatPr baseColWidth="10" defaultColWidth="0" defaultRowHeight="14.45" customHeight="1" zeroHeight="1"/>
  <cols>
    <col min="1" max="1" width="2.140625" customWidth="1"/>
    <col min="2" max="2" width="13.28515625" customWidth="1"/>
    <col min="3" max="3" width="15" customWidth="1"/>
    <col min="4" max="4" width="4" customWidth="1"/>
    <col min="5" max="6" width="13.7109375" customWidth="1"/>
    <col min="7" max="7" width="1.7109375" customWidth="1"/>
    <col min="8" max="12" width="11.5703125" customWidth="1"/>
    <col min="13" max="13" width="2.7109375" customWidth="1"/>
    <col min="14" max="16384" width="11.5703125" hidden="1"/>
  </cols>
  <sheetData>
    <row r="1" spans="2:12" ht="15"/>
    <row r="2" spans="2:12" ht="18.75">
      <c r="B2" s="90" t="s">
        <v>57</v>
      </c>
      <c r="C2" s="91" t="str">
        <f>TITULO</f>
        <v>UNIVERSAL PC, SOCIEDAD ANÓNIMA</v>
      </c>
      <c r="L2" s="89" t="s">
        <v>89</v>
      </c>
    </row>
    <row r="3" spans="2:12" ht="15"/>
    <row r="4" spans="2:12" ht="15">
      <c r="B4" s="182" t="s">
        <v>67</v>
      </c>
      <c r="C4" s="182"/>
      <c r="E4" s="182" t="s">
        <v>68</v>
      </c>
      <c r="F4" s="182"/>
    </row>
    <row r="5" spans="2:12" ht="15">
      <c r="B5" s="183">
        <v>45597</v>
      </c>
      <c r="C5" s="184"/>
      <c r="E5" s="183" t="s">
        <v>95</v>
      </c>
      <c r="F5" s="184"/>
    </row>
    <row r="6" spans="2:12" ht="15">
      <c r="B6" s="83"/>
      <c r="C6" s="1"/>
      <c r="E6" s="83"/>
      <c r="F6" s="1"/>
    </row>
    <row r="7" spans="2:12" ht="15">
      <c r="B7" s="180" t="s">
        <v>69</v>
      </c>
      <c r="C7" s="180"/>
      <c r="D7" s="180"/>
      <c r="E7" s="180"/>
      <c r="F7" s="180"/>
      <c r="H7" s="196" t="s">
        <v>72</v>
      </c>
      <c r="I7" s="196"/>
      <c r="J7" s="196"/>
      <c r="K7" s="196"/>
      <c r="L7" s="196"/>
    </row>
    <row r="8" spans="2:12" ht="7.15" customHeight="1"/>
    <row r="9" spans="2:12" ht="15">
      <c r="B9" s="184" t="s">
        <v>23</v>
      </c>
      <c r="C9" s="184"/>
      <c r="E9" s="191">
        <f>SUMIFS('FACTURAS EMITIDAS'!D:D,'FACTURAS EMITIDAS'!C:C,BALANCE!B9,'FACTURAS EMITIDAS'!A:A,"&gt;="&amp;FECHA_BASE,'FACTURAS EMITIDAS'!A:A,"&lt;="&amp;FECHA_CIERRE)</f>
        <v>0</v>
      </c>
      <c r="F9" s="191"/>
      <c r="H9" s="184" t="s">
        <v>73</v>
      </c>
      <c r="I9" s="184"/>
      <c r="K9" s="191">
        <f>-(SUMIFS(INGRESOS!F:F,INGRESOS!A:A,"&lt;="&amp;BALANCE!FECHA_CIERRE,INGRESOS!A:A,"&gt;="&amp;[0]!FECHA_BASE))</f>
        <v>-200</v>
      </c>
      <c r="L9" s="191"/>
    </row>
    <row r="10" spans="2:12" ht="7.15" customHeight="1">
      <c r="F10" s="84"/>
      <c r="L10" s="84"/>
    </row>
    <row r="11" spans="2:12" ht="15">
      <c r="B11" s="184" t="s">
        <v>24</v>
      </c>
      <c r="C11" s="184"/>
      <c r="E11" s="191">
        <f>SUMIFS('FACTURAS EMITIDAS'!D:D, 'FACTURAS EMITIDAS'!A:A, "&gt;="&amp;FECHA_BASE, 'FACTURAS EMITIDAS'!A:A, "&lt;="&amp;FECHA_CIERRE,'FACTURAS EMITIDAS'!C:C,BALANCE!B11)</f>
        <v>0</v>
      </c>
      <c r="F11" s="191"/>
      <c r="H11" s="184" t="s">
        <v>78</v>
      </c>
      <c r="I11" s="184"/>
      <c r="K11" s="191">
        <f>-(VENTAS_TARJETA-E25)</f>
        <v>0</v>
      </c>
      <c r="L11" s="191"/>
    </row>
    <row r="12" spans="2:12" ht="7.15" customHeight="1"/>
    <row r="13" spans="2:12" ht="15">
      <c r="B13" s="184" t="s">
        <v>61</v>
      </c>
      <c r="C13" s="184"/>
      <c r="E13" s="191">
        <f>SUMIFS('FACTURAS EMITIDAS'!D:D, 'FACTURAS EMITIDAS'!A:A, "&gt;="&amp;FECHA_BASE, 'FACTURAS EMITIDAS'!A:A, "&lt;="&amp;FECHA_CIERRE,'FACTURAS EMITIDAS'!C:C,BALANCE!B13)</f>
        <v>0</v>
      </c>
      <c r="F13" s="191"/>
      <c r="H13" s="194" t="s">
        <v>72</v>
      </c>
      <c r="I13" s="194"/>
      <c r="J13" s="21"/>
      <c r="K13" s="195">
        <f>SUM(K9:L11)</f>
        <v>-200</v>
      </c>
      <c r="L13" s="195"/>
    </row>
    <row r="14" spans="2:12" ht="7.15" customHeight="1"/>
    <row r="15" spans="2:12" ht="15">
      <c r="B15" s="184" t="s">
        <v>42</v>
      </c>
      <c r="C15" s="184"/>
      <c r="E15" s="191">
        <f>SUMIFS('FACTURAS EMITIDAS'!D:D, 'FACTURAS EMITIDAS'!A:A, "&gt;="&amp;FECHA_BASE, 'FACTURAS EMITIDAS'!A:A, "&lt;="&amp;FECHA_CIERRE,'FACTURAS EMITIDAS'!C:C,BALANCE!B15)</f>
        <v>0</v>
      </c>
      <c r="F15" s="191"/>
    </row>
    <row r="16" spans="2:12" ht="6.6" customHeight="1">
      <c r="B16" s="1"/>
      <c r="C16" s="1"/>
      <c r="E16" s="11"/>
      <c r="F16" s="11"/>
    </row>
    <row r="17" spans="2:6" ht="15">
      <c r="B17" s="184" t="s">
        <v>76</v>
      </c>
      <c r="C17" s="184"/>
      <c r="E17" s="191">
        <f>SUMIFS(INGRESOS!F:F,INGRESOS!A:A,"&lt;="&amp;BALANCE!FECHA_CIERRE,INGRESOS!A:A,"&gt;="&amp;[0]!FECHA_BASE)</f>
        <v>200</v>
      </c>
      <c r="F17" s="191"/>
    </row>
    <row r="18" spans="2:6" ht="15">
      <c r="B18" s="1"/>
      <c r="C18" s="1"/>
      <c r="E18" s="11"/>
      <c r="F18" s="11"/>
    </row>
    <row r="19" spans="2:6" ht="15">
      <c r="B19" s="182" t="s">
        <v>71</v>
      </c>
      <c r="C19" s="182"/>
      <c r="D19" s="87"/>
      <c r="E19" s="197">
        <f>SUM(E9:F15)</f>
        <v>0</v>
      </c>
      <c r="F19" s="197"/>
    </row>
    <row r="20" spans="2:6" ht="15"/>
    <row r="21" spans="2:6" ht="15">
      <c r="B21" s="192" t="s">
        <v>42</v>
      </c>
      <c r="C21" s="192"/>
      <c r="D21" s="192"/>
      <c r="E21" s="192"/>
      <c r="F21" s="192"/>
    </row>
    <row r="22" spans="2:6" ht="15"/>
    <row r="23" spans="2:6" ht="15">
      <c r="B23" s="184" t="s">
        <v>75</v>
      </c>
      <c r="C23" s="184"/>
      <c r="E23" s="191">
        <f>VENTAS_TARJETA</f>
        <v>0</v>
      </c>
      <c r="F23" s="191"/>
    </row>
    <row r="24" spans="2:6" ht="8.4499999999999993" customHeight="1">
      <c r="B24" s="1"/>
      <c r="C24" s="1"/>
      <c r="E24" s="11"/>
      <c r="F24" s="11"/>
    </row>
    <row r="25" spans="2:6" ht="15">
      <c r="B25" s="184" t="s">
        <v>70</v>
      </c>
      <c r="C25" s="184"/>
      <c r="E25" s="191">
        <f>SUMIFS(PAGOS!C:C,PAGOS!A:A,"&lt;="&amp;BALANCE!FECHA_CIERRE,PAGOS!A:A,"&gt;="&amp;[0]!FECHA_BASE)</f>
        <v>0</v>
      </c>
      <c r="F25" s="191"/>
    </row>
    <row r="26" spans="2:6" ht="15"/>
    <row r="27" spans="2:6" ht="15">
      <c r="B27" s="192" t="s">
        <v>74</v>
      </c>
      <c r="C27" s="192"/>
      <c r="D27" s="88"/>
      <c r="E27" s="193">
        <f>E23-E25</f>
        <v>0</v>
      </c>
      <c r="F27" s="193"/>
    </row>
    <row r="28" spans="2:6" ht="15"/>
    <row r="29" spans="2:6" ht="15" hidden="1"/>
    <row r="30" spans="2:6" ht="15" hidden="1"/>
    <row r="31" spans="2:6" ht="15" hidden="1"/>
    <row r="32" spans="2:6" ht="6" hidden="1" customHeight="1"/>
    <row r="33" ht="15" hidden="1"/>
    <row r="34" ht="15" hidden="1"/>
    <row r="35" ht="15" hidden="1"/>
    <row r="36" ht="15" hidden="1"/>
    <row r="37" ht="15" hidden="1"/>
    <row r="38" ht="15" hidden="1"/>
    <row r="39" ht="15" hidden="1"/>
    <row r="40" ht="15" hidden="1"/>
  </sheetData>
  <mergeCells count="31">
    <mergeCell ref="B21:F21"/>
    <mergeCell ref="B17:C17"/>
    <mergeCell ref="E17:F17"/>
    <mergeCell ref="E19:F19"/>
    <mergeCell ref="E4:F4"/>
    <mergeCell ref="B5:C5"/>
    <mergeCell ref="B4:C4"/>
    <mergeCell ref="E5:F5"/>
    <mergeCell ref="E9:F9"/>
    <mergeCell ref="E11:F11"/>
    <mergeCell ref="E13:F13"/>
    <mergeCell ref="E15:F15"/>
    <mergeCell ref="B9:C9"/>
    <mergeCell ref="B11:C11"/>
    <mergeCell ref="B13:C13"/>
    <mergeCell ref="H11:I11"/>
    <mergeCell ref="K11:L11"/>
    <mergeCell ref="B27:C27"/>
    <mergeCell ref="E27:F27"/>
    <mergeCell ref="B7:F7"/>
    <mergeCell ref="B23:C23"/>
    <mergeCell ref="E23:F23"/>
    <mergeCell ref="B25:C25"/>
    <mergeCell ref="E25:F25"/>
    <mergeCell ref="H13:I13"/>
    <mergeCell ref="K13:L13"/>
    <mergeCell ref="H7:L7"/>
    <mergeCell ref="H9:I9"/>
    <mergeCell ref="K9:L9"/>
    <mergeCell ref="B15:C15"/>
    <mergeCell ref="B19:C1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CF4A-870A-44FE-8638-A36A33C5C117}">
  <sheetPr codeName="RETIROS">
    <tabColor rgb="FFFFFF00"/>
  </sheetPr>
  <dimension ref="A1:D1"/>
  <sheetViews>
    <sheetView showGridLines="0" workbookViewId="0">
      <selection activeCell="A2" sqref="A2:XFD2"/>
    </sheetView>
  </sheetViews>
  <sheetFormatPr baseColWidth="10" defaultColWidth="0" defaultRowHeight="15"/>
  <cols>
    <col min="1" max="1" width="13.7109375" style="96" customWidth="1"/>
    <col min="2" max="2" width="15.85546875" style="2" hidden="1" customWidth="1"/>
    <col min="3" max="3" width="38.85546875" style="58" customWidth="1"/>
    <col min="4" max="4" width="0" hidden="1" customWidth="1"/>
    <col min="5" max="16384" width="11.5703125" hidden="1"/>
  </cols>
  <sheetData>
    <row r="1" spans="1:3" ht="15.75" thickBot="1">
      <c r="A1" s="95" t="s">
        <v>3</v>
      </c>
      <c r="B1" s="15" t="s">
        <v>86</v>
      </c>
      <c r="C1" s="12" t="s">
        <v>4</v>
      </c>
    </row>
  </sheetData>
  <conditionalFormatting sqref="A1">
    <cfRule type="duplicateValues" dxfId="3" priority="1"/>
  </conditionalFormatting>
  <conditionalFormatting sqref="C1">
    <cfRule type="duplicateValues" dxfId="2" priority="2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7C04-25D3-454A-8776-A14FE580D966}">
  <sheetPr codeName="CAJEROS">
    <tabColor rgb="FFFFFF00"/>
  </sheetPr>
  <dimension ref="A1:D4"/>
  <sheetViews>
    <sheetView showGridLines="0" workbookViewId="0"/>
  </sheetViews>
  <sheetFormatPr baseColWidth="10" defaultColWidth="0" defaultRowHeight="15"/>
  <cols>
    <col min="1" max="1" width="31.7109375" style="2" customWidth="1"/>
    <col min="2" max="2" width="6.140625" style="2" hidden="1" customWidth="1"/>
    <col min="3" max="3" width="6.140625" style="58" hidden="1" customWidth="1"/>
    <col min="4" max="4" width="0" hidden="1" customWidth="1"/>
    <col min="5" max="16384" width="11.5703125" hidden="1"/>
  </cols>
  <sheetData>
    <row r="1" spans="1:3" ht="15.75" thickBot="1">
      <c r="A1" s="9" t="s">
        <v>15</v>
      </c>
      <c r="B1" s="10"/>
      <c r="C1" s="57"/>
    </row>
    <row r="2" spans="1:3">
      <c r="A2" s="2" t="s">
        <v>83</v>
      </c>
    </row>
    <row r="3" spans="1:3">
      <c r="A3" s="2" t="s">
        <v>84</v>
      </c>
    </row>
    <row r="4" spans="1:3">
      <c r="A4" s="2" t="s">
        <v>85</v>
      </c>
    </row>
  </sheetData>
  <phoneticPr fontId="3" type="noConversion"/>
  <conditionalFormatting sqref="A1">
    <cfRule type="duplicateValues" dxfId="1" priority="1"/>
  </conditionalFormatting>
  <conditionalFormatting sqref="C1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89</vt:i4>
      </vt:variant>
    </vt:vector>
  </HeadingPairs>
  <TitlesOfParts>
    <vt:vector size="103" baseType="lpstr">
      <vt:lpstr>CONFIG</vt:lpstr>
      <vt:lpstr>INICIO</vt:lpstr>
      <vt:lpstr>FACTURA</vt:lpstr>
      <vt:lpstr>FACTURA_BACKUP</vt:lpstr>
      <vt:lpstr>STOCK</vt:lpstr>
      <vt:lpstr>HISTORICO</vt:lpstr>
      <vt:lpstr>INGRESOS</vt:lpstr>
      <vt:lpstr>FACTURAS EMITIDAS</vt:lpstr>
      <vt:lpstr>CLIENTES</vt:lpstr>
      <vt:lpstr>CIERRE_CAJA</vt:lpstr>
      <vt:lpstr>PAGOS</vt:lpstr>
      <vt:lpstr>BALANCE</vt:lpstr>
      <vt:lpstr>RETIROS</vt:lpstr>
      <vt:lpstr>CAJEROS</vt:lpstr>
      <vt:lpstr>ABRIR_FACTURA</vt:lpstr>
      <vt:lpstr>CIERRE_CAJA!Área_de_impresión</vt:lpstr>
      <vt:lpstr>BUSCADOR_PRODUCTO</vt:lpstr>
      <vt:lpstr>BALANCE!C_FECHA</vt:lpstr>
      <vt:lpstr>CIERRE_CAJA!C_FECHA</vt:lpstr>
      <vt:lpstr>C_FECHA</vt:lpstr>
      <vt:lpstr>FACTURA_BACKUP!CLIENTE</vt:lpstr>
      <vt:lpstr>CLIENTE</vt:lpstr>
      <vt:lpstr>CONSULTA_FC</vt:lpstr>
      <vt:lpstr>FACTURA_BACKUP!CORREO</vt:lpstr>
      <vt:lpstr>CORREO</vt:lpstr>
      <vt:lpstr>CIERRE_CAJA!DECLARADO</vt:lpstr>
      <vt:lpstr>FACTURA_BACKUP!DESCUENTO</vt:lpstr>
      <vt:lpstr>DESCUENTO</vt:lpstr>
      <vt:lpstr>DESDE</vt:lpstr>
      <vt:lpstr>CIERRE_CAJA!DETALLE</vt:lpstr>
      <vt:lpstr>DETALLE</vt:lpstr>
      <vt:lpstr>DEVOLUCIONES</vt:lpstr>
      <vt:lpstr>CIERRE_CAJA!DEVOLUCIONES_TOTAL</vt:lpstr>
      <vt:lpstr>DEVOLUCIONES_TOTAL</vt:lpstr>
      <vt:lpstr>DIFERENCIA</vt:lpstr>
      <vt:lpstr>DIFERENCIAS</vt:lpstr>
      <vt:lpstr>FACTURA_BACKUP!EMPRESA</vt:lpstr>
      <vt:lpstr>EMPRESA</vt:lpstr>
      <vt:lpstr>FECHA_BASE</vt:lpstr>
      <vt:lpstr>BALANCE!FECHA_CIERRE</vt:lpstr>
      <vt:lpstr>CIERRE_CAJA!FECHA_CIERRE</vt:lpstr>
      <vt:lpstr>FECHA_CIERRE</vt:lpstr>
      <vt:lpstr>HASTA</vt:lpstr>
      <vt:lpstr>HOY</vt:lpstr>
      <vt:lpstr>FACTURA_BACKUP!IDENTIFICACION</vt:lpstr>
      <vt:lpstr>IDENTIFICACION</vt:lpstr>
      <vt:lpstr>FACTURA_BACKUP!IMPRESION_FACTURA</vt:lpstr>
      <vt:lpstr>IMPRESION_FACTURA</vt:lpstr>
      <vt:lpstr>INICIO_AUTOMATICO</vt:lpstr>
      <vt:lpstr>FACTURA_BACKUP!LB_PENDIENTE</vt:lpstr>
      <vt:lpstr>LB_PENDIENTE</vt:lpstr>
      <vt:lpstr>FACTURA_BACKUP!LB_SENA</vt:lpstr>
      <vt:lpstr>LB_SENA</vt:lpstr>
      <vt:lpstr>MAYORISTA</vt:lpstr>
      <vt:lpstr>MODO_PUNTO_DE_VENTA</vt:lpstr>
      <vt:lpstr>MONEDA</vt:lpstr>
      <vt:lpstr>FACTURA_BACKUP!NFACTURA</vt:lpstr>
      <vt:lpstr>NFACTURA</vt:lpstr>
      <vt:lpstr>PARRAFO_1</vt:lpstr>
      <vt:lpstr>PARRAFO_2</vt:lpstr>
      <vt:lpstr>PARRAFO_3</vt:lpstr>
      <vt:lpstr>FACTURA_BACKUP!PENDIENTE</vt:lpstr>
      <vt:lpstr>PENDIENTE</vt:lpstr>
      <vt:lpstr>PRECIOS_MINORISTA</vt:lpstr>
      <vt:lpstr>PROX_FACTURA</vt:lpstr>
      <vt:lpstr>PROXIMO_INGRESO</vt:lpstr>
      <vt:lpstr>RETIROS</vt:lpstr>
      <vt:lpstr>FACTURA_BACKUP!SENA</vt:lpstr>
      <vt:lpstr>SENA</vt:lpstr>
      <vt:lpstr>CAJEROS!SIN_ITEM</vt:lpstr>
      <vt:lpstr>CLIENTES!SIN_ITEM</vt:lpstr>
      <vt:lpstr>PAGOS!SIN_ITEM</vt:lpstr>
      <vt:lpstr>RETIROS!SIN_ITEM</vt:lpstr>
      <vt:lpstr>SIN_ITEM</vt:lpstr>
      <vt:lpstr>STOCK_NEGATIVO</vt:lpstr>
      <vt:lpstr>SUBTITULO</vt:lpstr>
      <vt:lpstr>SUBTOTAL</vt:lpstr>
      <vt:lpstr>FACTURA_BACKUP!TELEFONO</vt:lpstr>
      <vt:lpstr>TELEFONO</vt:lpstr>
      <vt:lpstr>TITULO</vt:lpstr>
      <vt:lpstr>FACTURA_BACKUP!TOTAL</vt:lpstr>
      <vt:lpstr>TOTAL</vt:lpstr>
      <vt:lpstr>FACTURA_BACKUP!TOTAL_FINAL</vt:lpstr>
      <vt:lpstr>TOTAL_FINAL</vt:lpstr>
      <vt:lpstr>TOTAL_HOY</vt:lpstr>
      <vt:lpstr>TOTAL_SIMPLE</vt:lpstr>
      <vt:lpstr>TOTAL_VENTAS_CALCULADO</vt:lpstr>
      <vt:lpstr>TOTALIZADOR</vt:lpstr>
      <vt:lpstr>VENTAS</vt:lpstr>
      <vt:lpstr>BALANCE!VENTAS_CIERRE</vt:lpstr>
      <vt:lpstr>CIERRE_CAJA!VENTAS_CIERRE</vt:lpstr>
      <vt:lpstr>VENTAS_CIERRE</vt:lpstr>
      <vt:lpstr>BALANCE!VENTAS_CUENTAS</vt:lpstr>
      <vt:lpstr>CIERRE_CAJA!VENTAS_CUENTAS</vt:lpstr>
      <vt:lpstr>VENTAS_CUENTAS</vt:lpstr>
      <vt:lpstr>VENTAS_EFECTIVO</vt:lpstr>
      <vt:lpstr>VENTAS_HOY</vt:lpstr>
      <vt:lpstr>BALANCE!VENTAS_TARJETA</vt:lpstr>
      <vt:lpstr>CIERRE_CAJA!VENTAS_TARJETA</vt:lpstr>
      <vt:lpstr>VENTAS_TARJETA</vt:lpstr>
      <vt:lpstr>BALANCE!VENTAS_TRASNFER</vt:lpstr>
      <vt:lpstr>CIERRE_CAJA!VENTAS_TRASNFER</vt:lpstr>
      <vt:lpstr>VENTAS_TRASNFER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</dc:creator>
  <cp:keywords/>
  <dc:description/>
  <cp:lastModifiedBy>HP</cp:lastModifiedBy>
  <cp:revision/>
  <cp:lastPrinted>2026-02-04T15:12:22Z</cp:lastPrinted>
  <dcterms:created xsi:type="dcterms:W3CDTF">2022-08-07T23:55:39Z</dcterms:created>
  <dcterms:modified xsi:type="dcterms:W3CDTF">2026-02-04T15:13:52Z</dcterms:modified>
  <cp:category/>
  <cp:contentStatus/>
</cp:coreProperties>
</file>